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llieMyhand\Desktop\TPC_Workbooks_JOLINA &amp; KIER WILL FILL IN COLUMNS\"/>
    </mc:Choice>
  </mc:AlternateContent>
  <xr:revisionPtr revIDLastSave="0" documentId="13_ncr:1_{1952B706-472E-42F5-8F9C-5EF105D68E91}" xr6:coauthVersionLast="47" xr6:coauthVersionMax="47" xr10:uidLastSave="{00000000-0000-0000-0000-000000000000}"/>
  <bookViews>
    <workbookView xWindow="-108" yWindow="-108" windowWidth="23256" windowHeight="13896" tabRatio="851" activeTab="3" xr2:uid="{00000000-000D-0000-FFFF-FFFF00000000}"/>
  </bookViews>
  <sheets>
    <sheet name="Overview" sheetId="1" r:id="rId1"/>
    <sheet name="Checklist" sheetId="35" r:id="rId2"/>
    <sheet name="Locations" sheetId="28" r:id="rId3"/>
    <sheet name="Cast &amp; Crew List" sheetId="27" r:id="rId4"/>
    <sheet name="Crew Payroll" sheetId="17" r:id="rId5"/>
    <sheet name="Crew - Indepen. Contractors" sheetId="18" r:id="rId6"/>
    <sheet name="Talent Payroll" sheetId="22" r:id="rId7"/>
    <sheet name="Talent - Indep. Contract" sheetId="24" r:id="rId8"/>
    <sheet name="AP (POs + Reimbursement)" sheetId="2" r:id="rId9"/>
    <sheet name="Petty Cash" sheetId="3" r:id="rId10"/>
    <sheet name="Agency Vendor Exps" sheetId="26" r:id="rId11"/>
    <sheet name="Post Production" sheetId="37" r:id="rId12"/>
    <sheet name="Legend" sheetId="9" r:id="rId13"/>
  </sheets>
  <definedNames>
    <definedName name="_xlnm._FilterDatabase" localSheetId="10" hidden="1">'Agency Vendor Exps'!$B$8:$X$29</definedName>
    <definedName name="_xlnm._FilterDatabase" localSheetId="8" hidden="1">'AP (POs + Reimbursement)'!$B$8:$W$88</definedName>
    <definedName name="_xlnm._FilterDatabase" localSheetId="5" hidden="1">'Crew - Indepen. Contractors'!$B$8:$AB$39</definedName>
    <definedName name="_xlnm._FilterDatabase" localSheetId="4" hidden="1">'Crew Payroll'!$B$8:$AK$56</definedName>
    <definedName name="_xlnm._FilterDatabase" localSheetId="9" hidden="1">'Petty Cash'!$B$6:$V$107</definedName>
    <definedName name="_xlnm._FilterDatabase" localSheetId="11" hidden="1">'Post Production'!$B$8:$X$29</definedName>
    <definedName name="_xlnm._FilterDatabase" localSheetId="7" hidden="1">'Talent - Indep. Contract'!$B$7:$AB$38</definedName>
    <definedName name="_xlnm._FilterDatabase" localSheetId="6" hidden="1">'Talent Payroll'!$B$8:$AG$41</definedName>
    <definedName name="OLE_LINK1">#REF!</definedName>
    <definedName name="Z_064F1E00_4E44_40D8_9D84_C13C3FC17883_.wvu.Cols" localSheetId="4" hidden="1">'Crew Payroll'!#REF!</definedName>
    <definedName name="Z_064F1E00_4E44_40D8_9D84_C13C3FC17883_.wvu.Cols" localSheetId="9" hidden="1">'Petty Cash'!#REF!,'Petty Cash'!#REF!</definedName>
    <definedName name="Z_064F1E00_4E44_40D8_9D84_C13C3FC17883_.wvu.FilterData" localSheetId="10" hidden="1">'Agency Vendor Exps'!$B$8:$W$27</definedName>
    <definedName name="Z_064F1E00_4E44_40D8_9D84_C13C3FC17883_.wvu.FilterData" localSheetId="8" hidden="1">'AP (POs + Reimbursement)'!$B$8:$W$43</definedName>
    <definedName name="Z_064F1E00_4E44_40D8_9D84_C13C3FC17883_.wvu.FilterData" localSheetId="5" hidden="1">'Crew - Indepen. Contractors'!$B$8:$AB$34</definedName>
    <definedName name="Z_064F1E00_4E44_40D8_9D84_C13C3FC17883_.wvu.FilterData" localSheetId="4" hidden="1">'Crew Payroll'!$B$8:$AK$56</definedName>
    <definedName name="Z_064F1E00_4E44_40D8_9D84_C13C3FC17883_.wvu.FilterData" localSheetId="9" hidden="1">'Petty Cash'!$B$6:$V$106</definedName>
    <definedName name="Z_064F1E00_4E44_40D8_9D84_C13C3FC17883_.wvu.FilterData" localSheetId="11" hidden="1">'Post Production'!$B$8:$W$27</definedName>
    <definedName name="Z_064F1E00_4E44_40D8_9D84_C13C3FC17883_.wvu.FilterData" localSheetId="7" hidden="1">'Talent - Indep. Contract'!$B$7:$AB$33</definedName>
    <definedName name="Z_064F1E00_4E44_40D8_9D84_C13C3FC17883_.wvu.FilterData" localSheetId="6" hidden="1">'Talent Payroll'!$B$8:$AG$39</definedName>
    <definedName name="Z_14C8854E_48EC_4FF0_8495_678A66A79974_.wvu.Cols" localSheetId="4" hidden="1">'Crew Payroll'!#REF!</definedName>
    <definedName name="Z_14C8854E_48EC_4FF0_8495_678A66A79974_.wvu.Cols" localSheetId="9" hidden="1">'Petty Cash'!#REF!,'Petty Cash'!#REF!</definedName>
    <definedName name="Z_14C8854E_48EC_4FF0_8495_678A66A79974_.wvu.FilterData" localSheetId="10" hidden="1">'Agency Vendor Exps'!$B$8:$W$27</definedName>
    <definedName name="Z_14C8854E_48EC_4FF0_8495_678A66A79974_.wvu.FilterData" localSheetId="8" hidden="1">'AP (POs + Reimbursement)'!$B$8:$W$43</definedName>
    <definedName name="Z_14C8854E_48EC_4FF0_8495_678A66A79974_.wvu.FilterData" localSheetId="5" hidden="1">'Crew - Indepen. Contractors'!$B$8:$AB$34</definedName>
    <definedName name="Z_14C8854E_48EC_4FF0_8495_678A66A79974_.wvu.FilterData" localSheetId="4" hidden="1">'Crew Payroll'!$B$8:$AK$56</definedName>
    <definedName name="Z_14C8854E_48EC_4FF0_8495_678A66A79974_.wvu.FilterData" localSheetId="9" hidden="1">'Petty Cash'!$B$6:$V$106</definedName>
    <definedName name="Z_14C8854E_48EC_4FF0_8495_678A66A79974_.wvu.FilterData" localSheetId="11" hidden="1">'Post Production'!$B$8:$W$27</definedName>
    <definedName name="Z_14C8854E_48EC_4FF0_8495_678A66A79974_.wvu.FilterData" localSheetId="7" hidden="1">'Talent - Indep. Contract'!$B$7:$AB$33</definedName>
    <definedName name="Z_14C8854E_48EC_4FF0_8495_678A66A79974_.wvu.FilterData" localSheetId="6" hidden="1">'Talent Payroll'!$B$8:$AG$39</definedName>
  </definedNames>
  <calcPr calcId="191028"/>
  <customWorkbookViews>
    <customWorkbookView name="Tina Dankova - Personal View" guid="{14C8854E-48EC-4FF0-8495-678A66A79974}" mergeInterval="0" personalView="1" maximized="1" windowWidth="1676" windowHeight="825" activeSheetId="6"/>
    <customWorkbookView name="John Ryan - Personal View" guid="{064F1E00-4E44-40D8-9D84-C13C3FC17883}" mergeInterval="0" changesSavedWin="1" personalView="1" maximized="1" windowWidth="1676" windowHeight="805" activeSheetId="6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7" l="1"/>
  <c r="H3" i="9"/>
  <c r="AP9" i="17"/>
  <c r="AQ9" i="17"/>
  <c r="AR9" i="17"/>
  <c r="AP10" i="17"/>
  <c r="AP55" i="17" s="1"/>
  <c r="AQ10" i="17"/>
  <c r="AQ55" i="17" s="1"/>
  <c r="AR10" i="17"/>
  <c r="AP11" i="17"/>
  <c r="AR11" i="17" s="1"/>
  <c r="AQ11" i="17"/>
  <c r="AQ57" i="17" s="1"/>
  <c r="AP12" i="17"/>
  <c r="AQ12" i="17"/>
  <c r="AR12" i="17"/>
  <c r="AP13" i="17"/>
  <c r="AQ13" i="17"/>
  <c r="AR13" i="17"/>
  <c r="AP14" i="17"/>
  <c r="AR14" i="17" s="1"/>
  <c r="AQ14" i="17"/>
  <c r="AP15" i="17"/>
  <c r="AQ15" i="17"/>
  <c r="AR15" i="17"/>
  <c r="AP16" i="17"/>
  <c r="AQ16" i="17"/>
  <c r="AR16" i="17"/>
  <c r="AP17" i="17"/>
  <c r="AQ17" i="17"/>
  <c r="AR17" i="17"/>
  <c r="AP18" i="17"/>
  <c r="AQ18" i="17"/>
  <c r="AR18" i="17"/>
  <c r="AP19" i="17"/>
  <c r="AR19" i="17" s="1"/>
  <c r="AQ19" i="17"/>
  <c r="AP20" i="17"/>
  <c r="AQ20" i="17"/>
  <c r="AR20" i="17"/>
  <c r="AP21" i="17"/>
  <c r="AQ21" i="17"/>
  <c r="AR21" i="17"/>
  <c r="AP22" i="17"/>
  <c r="AR22" i="17" s="1"/>
  <c r="AQ22" i="17"/>
  <c r="AP23" i="17"/>
  <c r="AQ23" i="17"/>
  <c r="AR23" i="17"/>
  <c r="AP24" i="17"/>
  <c r="AQ24" i="17"/>
  <c r="AR24" i="17"/>
  <c r="AP25" i="17"/>
  <c r="AQ25" i="17"/>
  <c r="AR25" i="17"/>
  <c r="AP26" i="17"/>
  <c r="AQ26" i="17"/>
  <c r="AR26" i="17"/>
  <c r="AP27" i="17"/>
  <c r="AR27" i="17" s="1"/>
  <c r="AQ27" i="17"/>
  <c r="AP28" i="17"/>
  <c r="AQ28" i="17"/>
  <c r="AR28" i="17"/>
  <c r="AP29" i="17"/>
  <c r="AQ29" i="17"/>
  <c r="AR29" i="17"/>
  <c r="AP30" i="17"/>
  <c r="AR30" i="17" s="1"/>
  <c r="AQ30" i="17"/>
  <c r="AP31" i="17"/>
  <c r="AQ31" i="17"/>
  <c r="AR31" i="17"/>
  <c r="AP32" i="17"/>
  <c r="AQ32" i="17"/>
  <c r="AR32" i="17"/>
  <c r="AP33" i="17"/>
  <c r="AQ33" i="17"/>
  <c r="AR33" i="17"/>
  <c r="AP34" i="17"/>
  <c r="AQ34" i="17"/>
  <c r="AR34" i="17"/>
  <c r="AP35" i="17"/>
  <c r="AR35" i="17" s="1"/>
  <c r="AQ35" i="17"/>
  <c r="AP36" i="17"/>
  <c r="AQ36" i="17"/>
  <c r="AR36" i="17"/>
  <c r="AP37" i="17"/>
  <c r="AQ37" i="17"/>
  <c r="AR37" i="17"/>
  <c r="AP38" i="17"/>
  <c r="AR38" i="17" s="1"/>
  <c r="AQ38" i="17"/>
  <c r="AP39" i="17"/>
  <c r="AQ39" i="17"/>
  <c r="AR39" i="17"/>
  <c r="AP40" i="17"/>
  <c r="AQ40" i="17"/>
  <c r="AR40" i="17"/>
  <c r="AP41" i="17"/>
  <c r="AQ41" i="17"/>
  <c r="AR41" i="17"/>
  <c r="AP42" i="17"/>
  <c r="AQ42" i="17"/>
  <c r="AR42" i="17"/>
  <c r="AP43" i="17"/>
  <c r="AR43" i="17" s="1"/>
  <c r="AQ43" i="17"/>
  <c r="AP44" i="17"/>
  <c r="AQ44" i="17"/>
  <c r="AR44" i="17"/>
  <c r="AP45" i="17"/>
  <c r="AQ45" i="17"/>
  <c r="AR45" i="17"/>
  <c r="AP46" i="17"/>
  <c r="AR46" i="17" s="1"/>
  <c r="AQ46" i="17"/>
  <c r="AP47" i="17"/>
  <c r="AQ47" i="17"/>
  <c r="AR47" i="17"/>
  <c r="AP48" i="17"/>
  <c r="AQ48" i="17"/>
  <c r="AR48" i="17"/>
  <c r="AP49" i="17"/>
  <c r="AQ49" i="17"/>
  <c r="AR49" i="17"/>
  <c r="AP50" i="17"/>
  <c r="AQ50" i="17"/>
  <c r="AR50" i="17"/>
  <c r="AP51" i="17"/>
  <c r="AR51" i="17" s="1"/>
  <c r="AQ51" i="17"/>
  <c r="AP52" i="17"/>
  <c r="AQ52" i="17"/>
  <c r="AR52" i="17"/>
  <c r="AP53" i="17"/>
  <c r="AQ53" i="17"/>
  <c r="AR53" i="17"/>
  <c r="AP54" i="17"/>
  <c r="AR54" i="17" s="1"/>
  <c r="AQ54" i="17"/>
  <c r="K7" i="27"/>
  <c r="K8" i="27"/>
  <c r="I51" i="37"/>
  <c r="J51" i="37" s="1"/>
  <c r="H51" i="37"/>
  <c r="I50" i="37"/>
  <c r="H50" i="37"/>
  <c r="J50" i="37" s="1"/>
  <c r="I49" i="37"/>
  <c r="I52" i="37" s="1"/>
  <c r="I53" i="37" s="1"/>
  <c r="H49" i="37"/>
  <c r="J49" i="37" s="1"/>
  <c r="L39" i="37"/>
  <c r="K39" i="37"/>
  <c r="M39" i="37" s="1"/>
  <c r="J39" i="37"/>
  <c r="F39" i="37"/>
  <c r="H42" i="37" s="1"/>
  <c r="E39" i="37"/>
  <c r="D39" i="37"/>
  <c r="H43" i="37" s="1"/>
  <c r="G33" i="37"/>
  <c r="F33" i="37"/>
  <c r="K30" i="37"/>
  <c r="G30" i="37"/>
  <c r="F30" i="37"/>
  <c r="H29" i="37"/>
  <c r="H28" i="37"/>
  <c r="H27" i="37"/>
  <c r="H26" i="37"/>
  <c r="H25" i="37"/>
  <c r="H24" i="37"/>
  <c r="H23" i="37"/>
  <c r="H22" i="37"/>
  <c r="H21" i="37"/>
  <c r="H20" i="37"/>
  <c r="H19" i="37"/>
  <c r="H18" i="37"/>
  <c r="H17" i="37"/>
  <c r="H16" i="37"/>
  <c r="H15" i="37"/>
  <c r="H14" i="37"/>
  <c r="H13" i="37"/>
  <c r="H12" i="37"/>
  <c r="H11" i="37"/>
  <c r="H10" i="37"/>
  <c r="H33" i="37" s="1"/>
  <c r="H9" i="37"/>
  <c r="H30" i="37" s="1"/>
  <c r="K5" i="27"/>
  <c r="L55" i="17"/>
  <c r="AR57" i="17" l="1"/>
  <c r="AR55" i="17"/>
  <c r="AP57" i="17"/>
  <c r="H45" i="37"/>
  <c r="J52" i="37"/>
  <c r="J53" i="37" s="1"/>
  <c r="M40" i="37"/>
  <c r="H44" i="37"/>
  <c r="H52" i="37"/>
  <c r="H53" i="37" s="1"/>
  <c r="G39" i="37"/>
  <c r="G40" i="37" s="1"/>
  <c r="B55" i="27"/>
  <c r="B56" i="27" s="1"/>
  <c r="B57" i="27" s="1"/>
  <c r="B58" i="27" s="1"/>
  <c r="B59" i="27" s="1"/>
  <c r="B60" i="27" s="1"/>
  <c r="B61" i="27" s="1"/>
  <c r="B62" i="27" s="1"/>
  <c r="B63" i="27" s="1"/>
  <c r="B64" i="27" s="1"/>
  <c r="B65" i="27" s="1"/>
  <c r="B66" i="27" s="1"/>
  <c r="B67" i="27" s="1"/>
  <c r="B68" i="27" s="1"/>
  <c r="B69" i="27" s="1"/>
  <c r="B70" i="27" s="1"/>
  <c r="B71" i="27" s="1"/>
  <c r="B72" i="27" s="1"/>
  <c r="B73" i="27" s="1"/>
  <c r="B74" i="27" s="1"/>
  <c r="B75" i="27" s="1"/>
  <c r="B76" i="27" s="1"/>
  <c r="B77" i="27" s="1"/>
  <c r="B78" i="27" s="1"/>
  <c r="B79" i="27" s="1"/>
  <c r="B6" i="27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40" i="27" s="1"/>
  <c r="B41" i="27" s="1"/>
  <c r="B42" i="27" s="1"/>
  <c r="B43" i="27" s="1"/>
  <c r="B44" i="27" s="1"/>
  <c r="B45" i="27" s="1"/>
  <c r="B46" i="27" s="1"/>
  <c r="B47" i="27" s="1"/>
  <c r="B48" i="27" s="1"/>
  <c r="B49" i="27" s="1"/>
  <c r="B50" i="27" s="1"/>
  <c r="B51" i="27" s="1"/>
  <c r="B52" i="27" s="1"/>
  <c r="B53" i="27" s="1"/>
  <c r="E62" i="1" l="1"/>
  <c r="E55" i="1"/>
  <c r="E54" i="1"/>
  <c r="E56" i="1" s="1"/>
  <c r="K9" i="27" l="1"/>
  <c r="E63" i="1"/>
  <c r="E64" i="1" s="1"/>
  <c r="H28" i="26"/>
  <c r="B10" i="24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U10" i="22"/>
  <c r="U11" i="22"/>
  <c r="U12" i="22"/>
  <c r="U15" i="22"/>
  <c r="U16" i="22"/>
  <c r="U17" i="22"/>
  <c r="U18" i="22"/>
  <c r="U19" i="22"/>
  <c r="U20" i="22"/>
  <c r="U23" i="22"/>
  <c r="U24" i="22"/>
  <c r="U25" i="22"/>
  <c r="U26" i="22"/>
  <c r="U27" i="22"/>
  <c r="U28" i="22"/>
  <c r="U31" i="22"/>
  <c r="U32" i="22"/>
  <c r="U33" i="22"/>
  <c r="U34" i="22"/>
  <c r="U35" i="22"/>
  <c r="U36" i="22"/>
  <c r="U39" i="22"/>
  <c r="U9" i="22"/>
  <c r="T10" i="22"/>
  <c r="T11" i="22"/>
  <c r="T12" i="22"/>
  <c r="T13" i="22"/>
  <c r="T14" i="22"/>
  <c r="T15" i="22"/>
  <c r="T16" i="22"/>
  <c r="T17" i="22"/>
  <c r="T18" i="22"/>
  <c r="T19" i="22"/>
  <c r="T20" i="22"/>
  <c r="T21" i="22"/>
  <c r="T22" i="22"/>
  <c r="T23" i="22"/>
  <c r="T24" i="22"/>
  <c r="T25" i="22"/>
  <c r="T26" i="22"/>
  <c r="T27" i="22"/>
  <c r="T28" i="22"/>
  <c r="T29" i="22"/>
  <c r="T30" i="22"/>
  <c r="T31" i="22"/>
  <c r="T32" i="22"/>
  <c r="T33" i="22"/>
  <c r="T34" i="22"/>
  <c r="T35" i="22"/>
  <c r="T36" i="22"/>
  <c r="T37" i="22"/>
  <c r="T38" i="22"/>
  <c r="T39" i="22"/>
  <c r="T9" i="22"/>
  <c r="S10" i="22"/>
  <c r="S11" i="22"/>
  <c r="S12" i="22"/>
  <c r="S13" i="22"/>
  <c r="U13" i="22" s="1"/>
  <c r="S14" i="22"/>
  <c r="U14" i="22" s="1"/>
  <c r="S15" i="22"/>
  <c r="S16" i="22"/>
  <c r="S17" i="22"/>
  <c r="S18" i="22"/>
  <c r="S19" i="22"/>
  <c r="S20" i="22"/>
  <c r="S21" i="22"/>
  <c r="U21" i="22" s="1"/>
  <c r="S22" i="22"/>
  <c r="U22" i="22" s="1"/>
  <c r="S23" i="22"/>
  <c r="S24" i="22"/>
  <c r="S25" i="22"/>
  <c r="S26" i="22"/>
  <c r="S27" i="22"/>
  <c r="S28" i="22"/>
  <c r="S29" i="22"/>
  <c r="U29" i="22" s="1"/>
  <c r="S30" i="22"/>
  <c r="U30" i="22" s="1"/>
  <c r="S31" i="22"/>
  <c r="S32" i="22"/>
  <c r="S33" i="22"/>
  <c r="S34" i="22"/>
  <c r="S35" i="22"/>
  <c r="S36" i="22"/>
  <c r="S37" i="22"/>
  <c r="U37" i="22" s="1"/>
  <c r="S38" i="22"/>
  <c r="U38" i="22" s="1"/>
  <c r="S39" i="22"/>
  <c r="S9" i="22"/>
  <c r="AI37" i="22" l="1"/>
  <c r="AK37" i="22" s="1"/>
  <c r="AJ37" i="22"/>
  <c r="AN37" i="22" l="1"/>
  <c r="AO37" i="22" s="1"/>
  <c r="AL37" i="22"/>
  <c r="AI10" i="22"/>
  <c r="AJ10" i="22"/>
  <c r="AK10" i="22"/>
  <c r="AI11" i="22"/>
  <c r="AJ11" i="22"/>
  <c r="AI12" i="22"/>
  <c r="AJ12" i="22"/>
  <c r="AI13" i="22"/>
  <c r="AJ13" i="22"/>
  <c r="AI14" i="22"/>
  <c r="AJ14" i="22"/>
  <c r="AI15" i="22"/>
  <c r="AJ15" i="22"/>
  <c r="AI16" i="22"/>
  <c r="AK16" i="22" s="1"/>
  <c r="AJ16" i="22"/>
  <c r="AI17" i="22"/>
  <c r="AJ17" i="22"/>
  <c r="AI18" i="22"/>
  <c r="AJ18" i="22"/>
  <c r="AI19" i="22"/>
  <c r="AJ19" i="22"/>
  <c r="AI20" i="22"/>
  <c r="AJ20" i="22"/>
  <c r="AI21" i="22"/>
  <c r="AJ21" i="22"/>
  <c r="AI22" i="22"/>
  <c r="AJ22" i="22"/>
  <c r="AI23" i="22"/>
  <c r="AJ23" i="22"/>
  <c r="AI24" i="22"/>
  <c r="AJ24" i="22"/>
  <c r="AI25" i="22"/>
  <c r="AJ25" i="22"/>
  <c r="AI26" i="22"/>
  <c r="AJ26" i="22"/>
  <c r="AK26" i="22" s="1"/>
  <c r="AI27" i="22"/>
  <c r="AJ27" i="22"/>
  <c r="AI28" i="22"/>
  <c r="AJ28" i="22"/>
  <c r="AI29" i="22"/>
  <c r="AJ29" i="22"/>
  <c r="AI30" i="22"/>
  <c r="AJ30" i="22"/>
  <c r="AK30" i="22" s="1"/>
  <c r="AI31" i="22"/>
  <c r="AJ31" i="22"/>
  <c r="AI32" i="22"/>
  <c r="AJ32" i="22"/>
  <c r="AK32" i="22"/>
  <c r="AI33" i="22"/>
  <c r="AJ33" i="22"/>
  <c r="AI34" i="22"/>
  <c r="AJ34" i="22"/>
  <c r="AI35" i="22"/>
  <c r="AK35" i="22" s="1"/>
  <c r="AJ35" i="22"/>
  <c r="AI36" i="22"/>
  <c r="AJ36" i="22"/>
  <c r="AI38" i="22"/>
  <c r="AJ38" i="22"/>
  <c r="AI9" i="22"/>
  <c r="AK15" i="22" l="1"/>
  <c r="AK22" i="22"/>
  <c r="AK18" i="22"/>
  <c r="AK24" i="22"/>
  <c r="AK20" i="22"/>
  <c r="AK27" i="22"/>
  <c r="AK36" i="22"/>
  <c r="AK34" i="22"/>
  <c r="AK23" i="22"/>
  <c r="AK14" i="22"/>
  <c r="AK12" i="22"/>
  <c r="AK31" i="22"/>
  <c r="AK28" i="22"/>
  <c r="AK33" i="22"/>
  <c r="AK25" i="22"/>
  <c r="AK17" i="22"/>
  <c r="AK19" i="22"/>
  <c r="AK11" i="22"/>
  <c r="AK38" i="22"/>
  <c r="AK29" i="22"/>
  <c r="AK21" i="22"/>
  <c r="AK13" i="22"/>
  <c r="L43" i="22"/>
  <c r="AN38" i="22" l="1"/>
  <c r="AO38" i="22" s="1"/>
  <c r="AL38" i="22" l="1"/>
  <c r="I109" i="2" l="1"/>
  <c r="H109" i="2"/>
  <c r="H107" i="2"/>
  <c r="M35" i="1"/>
  <c r="J109" i="2" l="1"/>
  <c r="F60" i="17" l="1"/>
  <c r="AN30" i="22" l="1"/>
  <c r="AN24" i="22"/>
  <c r="AO24" i="22" s="1"/>
  <c r="AO30" i="22" l="1"/>
  <c r="AL24" i="22"/>
  <c r="AL30" i="22"/>
  <c r="AL25" i="22" l="1"/>
  <c r="AN25" i="22"/>
  <c r="AO25" i="22" s="1"/>
  <c r="AL32" i="22"/>
  <c r="AN32" i="22"/>
  <c r="AO32" i="22" s="1"/>
  <c r="AL31" i="22"/>
  <c r="AN31" i="22"/>
  <c r="AO31" i="22" s="1"/>
  <c r="AL27" i="22"/>
  <c r="AN27" i="22"/>
  <c r="AO27" i="22" s="1"/>
  <c r="AL28" i="22"/>
  <c r="AN28" i="22"/>
  <c r="AO28" i="22" s="1"/>
  <c r="AL23" i="22"/>
  <c r="AN23" i="22"/>
  <c r="AO23" i="22" s="1"/>
  <c r="AL34" i="22"/>
  <c r="AN34" i="22"/>
  <c r="AO34" i="22" s="1"/>
  <c r="AL33" i="22"/>
  <c r="AN33" i="22"/>
  <c r="AO33" i="22" s="1"/>
  <c r="AL29" i="22"/>
  <c r="AN29" i="22"/>
  <c r="AO29" i="22" s="1"/>
  <c r="AL26" i="22"/>
  <c r="AN26" i="22"/>
  <c r="AO26" i="22" s="1"/>
  <c r="H9" i="26"/>
  <c r="I49" i="26" s="1"/>
  <c r="H10" i="26"/>
  <c r="H11" i="26"/>
  <c r="I51" i="26"/>
  <c r="H51" i="26"/>
  <c r="I50" i="26"/>
  <c r="H50" i="26"/>
  <c r="H49" i="26"/>
  <c r="L39" i="26"/>
  <c r="K39" i="26"/>
  <c r="J39" i="26"/>
  <c r="D39" i="26"/>
  <c r="G33" i="26"/>
  <c r="F33" i="26"/>
  <c r="K30" i="26"/>
  <c r="G30" i="26"/>
  <c r="F30" i="26"/>
  <c r="H29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K48" i="24"/>
  <c r="J48" i="24"/>
  <c r="I48" i="24"/>
  <c r="F48" i="24"/>
  <c r="E48" i="24"/>
  <c r="D48" i="24"/>
  <c r="K42" i="24"/>
  <c r="J42" i="24"/>
  <c r="I42" i="24"/>
  <c r="H42" i="24"/>
  <c r="G42" i="24"/>
  <c r="Q39" i="24"/>
  <c r="K39" i="24"/>
  <c r="J39" i="24"/>
  <c r="I39" i="24"/>
  <c r="H39" i="24"/>
  <c r="G39" i="24"/>
  <c r="L38" i="24"/>
  <c r="L37" i="24"/>
  <c r="L36" i="24"/>
  <c r="L35" i="24"/>
  <c r="L34" i="24"/>
  <c r="L33" i="24"/>
  <c r="L32" i="24"/>
  <c r="L31" i="24"/>
  <c r="L30" i="24"/>
  <c r="L29" i="24"/>
  <c r="L28" i="24"/>
  <c r="L27" i="24"/>
  <c r="L26" i="24"/>
  <c r="L25" i="24"/>
  <c r="L24" i="24"/>
  <c r="L23" i="24"/>
  <c r="L22" i="24"/>
  <c r="L21" i="24"/>
  <c r="L20" i="24"/>
  <c r="L19" i="24"/>
  <c r="L18" i="24"/>
  <c r="L17" i="24"/>
  <c r="L16" i="24"/>
  <c r="L15" i="24"/>
  <c r="L14" i="24"/>
  <c r="L13" i="24"/>
  <c r="L12" i="24"/>
  <c r="L11" i="24"/>
  <c r="L10" i="24"/>
  <c r="L9" i="24"/>
  <c r="L8" i="24"/>
  <c r="H33" i="26" l="1"/>
  <c r="H22" i="1" s="1"/>
  <c r="M39" i="26"/>
  <c r="M40" i="26" s="1"/>
  <c r="L39" i="24"/>
  <c r="G48" i="24"/>
  <c r="I52" i="24"/>
  <c r="J51" i="26"/>
  <c r="H52" i="26"/>
  <c r="I52" i="26"/>
  <c r="J49" i="26"/>
  <c r="E39" i="26"/>
  <c r="F39" i="26"/>
  <c r="H42" i="26" s="1"/>
  <c r="K22" i="1" s="1"/>
  <c r="H30" i="26"/>
  <c r="J50" i="26"/>
  <c r="I51" i="24"/>
  <c r="L42" i="24"/>
  <c r="L48" i="24"/>
  <c r="L49" i="24" s="1"/>
  <c r="M22" i="1" l="1"/>
  <c r="G49" i="24"/>
  <c r="I53" i="24"/>
  <c r="I54" i="24" s="1"/>
  <c r="I53" i="26"/>
  <c r="H43" i="26"/>
  <c r="H44" i="26" s="1"/>
  <c r="G39" i="26"/>
  <c r="G40" i="26" s="1"/>
  <c r="J52" i="26"/>
  <c r="H53" i="26" l="1"/>
  <c r="H45" i="26"/>
  <c r="J53" i="26"/>
  <c r="H67" i="22" l="1"/>
  <c r="G67" i="22"/>
  <c r="F67" i="22"/>
  <c r="D67" i="22"/>
  <c r="H66" i="22"/>
  <c r="G66" i="22"/>
  <c r="F66" i="22"/>
  <c r="D66" i="22"/>
  <c r="H65" i="22"/>
  <c r="G65" i="22"/>
  <c r="F65" i="22"/>
  <c r="D65" i="22"/>
  <c r="H64" i="22"/>
  <c r="G64" i="22"/>
  <c r="F64" i="22"/>
  <c r="D64" i="22"/>
  <c r="H63" i="22"/>
  <c r="G63" i="22"/>
  <c r="F63" i="22"/>
  <c r="D63" i="22"/>
  <c r="H62" i="22"/>
  <c r="G62" i="22"/>
  <c r="F62" i="22"/>
  <c r="D62" i="22"/>
  <c r="H61" i="22"/>
  <c r="G61" i="22"/>
  <c r="F61" i="22"/>
  <c r="D61" i="22"/>
  <c r="H60" i="22"/>
  <c r="G60" i="22"/>
  <c r="F60" i="22"/>
  <c r="D60" i="22"/>
  <c r="H59" i="22"/>
  <c r="G59" i="22"/>
  <c r="F59" i="22"/>
  <c r="D59" i="22"/>
  <c r="H58" i="22"/>
  <c r="G58" i="22"/>
  <c r="F58" i="22"/>
  <c r="D58" i="22"/>
  <c r="H57" i="22"/>
  <c r="G57" i="22"/>
  <c r="F57" i="22"/>
  <c r="D57" i="22"/>
  <c r="H56" i="22"/>
  <c r="G56" i="22"/>
  <c r="F56" i="22"/>
  <c r="D56" i="22"/>
  <c r="H55" i="22"/>
  <c r="G55" i="22"/>
  <c r="F55" i="22"/>
  <c r="D55" i="22"/>
  <c r="H54" i="22"/>
  <c r="G54" i="22"/>
  <c r="F54" i="22"/>
  <c r="D54" i="22"/>
  <c r="H53" i="22"/>
  <c r="G53" i="22"/>
  <c r="F53" i="22"/>
  <c r="D53" i="22"/>
  <c r="H52" i="22"/>
  <c r="G52" i="22"/>
  <c r="F52" i="22"/>
  <c r="D52" i="22"/>
  <c r="H51" i="22"/>
  <c r="G51" i="22"/>
  <c r="F51" i="22"/>
  <c r="D51" i="22"/>
  <c r="H50" i="22"/>
  <c r="G50" i="22"/>
  <c r="F50" i="22"/>
  <c r="D50" i="22"/>
  <c r="T49" i="22"/>
  <c r="P49" i="22"/>
  <c r="N49" i="22"/>
  <c r="H49" i="22"/>
  <c r="G49" i="22"/>
  <c r="F49" i="22"/>
  <c r="D49" i="22"/>
  <c r="H48" i="22"/>
  <c r="G48" i="22"/>
  <c r="F48" i="22"/>
  <c r="D48" i="22"/>
  <c r="H47" i="22"/>
  <c r="G47" i="22"/>
  <c r="F47" i="22"/>
  <c r="D47" i="22"/>
  <c r="H46" i="22"/>
  <c r="G46" i="22"/>
  <c r="F46" i="22"/>
  <c r="D46" i="22"/>
  <c r="R43" i="22"/>
  <c r="Q43" i="22"/>
  <c r="P43" i="22"/>
  <c r="O43" i="22"/>
  <c r="M43" i="22"/>
  <c r="K43" i="22"/>
  <c r="R40" i="22"/>
  <c r="Q40" i="22"/>
  <c r="P40" i="22"/>
  <c r="O40" i="22"/>
  <c r="M40" i="22"/>
  <c r="K40" i="22"/>
  <c r="AN36" i="22"/>
  <c r="AN35" i="22"/>
  <c r="AO35" i="22" s="1"/>
  <c r="AN22" i="22"/>
  <c r="AN21" i="22"/>
  <c r="AO21" i="22" s="1"/>
  <c r="AN20" i="22"/>
  <c r="AN19" i="22"/>
  <c r="AO19" i="22" s="1"/>
  <c r="AN18" i="22"/>
  <c r="AN17" i="22"/>
  <c r="AO17" i="22" s="1"/>
  <c r="AN16" i="22"/>
  <c r="AN15" i="22"/>
  <c r="AO15" i="22" s="1"/>
  <c r="AN14" i="22"/>
  <c r="AN13" i="22"/>
  <c r="AO13" i="22" s="1"/>
  <c r="AN12" i="22"/>
  <c r="AN11" i="22"/>
  <c r="AO11" i="22" s="1"/>
  <c r="AN10" i="22"/>
  <c r="AJ9" i="22"/>
  <c r="AO10" i="22" l="1"/>
  <c r="AO12" i="22"/>
  <c r="AO14" i="22"/>
  <c r="AO16" i="22"/>
  <c r="AO18" i="22"/>
  <c r="AO20" i="22"/>
  <c r="AO22" i="22"/>
  <c r="AO36" i="22"/>
  <c r="AL10" i="22"/>
  <c r="AL12" i="22"/>
  <c r="AL13" i="22"/>
  <c r="AL14" i="22"/>
  <c r="AL36" i="22"/>
  <c r="AL35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AJ43" i="22"/>
  <c r="H68" i="22"/>
  <c r="AL11" i="22"/>
  <c r="AL16" i="22"/>
  <c r="AL17" i="22"/>
  <c r="AL18" i="22"/>
  <c r="AL20" i="22"/>
  <c r="AL21" i="22"/>
  <c r="AL22" i="22"/>
  <c r="AL19" i="22"/>
  <c r="S43" i="22"/>
  <c r="H21" i="1" s="1"/>
  <c r="AL15" i="22"/>
  <c r="I46" i="22"/>
  <c r="I48" i="22"/>
  <c r="I49" i="22"/>
  <c r="F68" i="22"/>
  <c r="G68" i="22"/>
  <c r="I47" i="22"/>
  <c r="T40" i="22"/>
  <c r="AK9" i="22"/>
  <c r="AI43" i="22"/>
  <c r="S40" i="22"/>
  <c r="D68" i="22"/>
  <c r="T43" i="22"/>
  <c r="O49" i="22" l="1"/>
  <c r="Q52" i="22" s="1"/>
  <c r="K21" i="1" s="1"/>
  <c r="M49" i="22"/>
  <c r="I68" i="22"/>
  <c r="I70" i="22" s="1"/>
  <c r="AK43" i="22"/>
  <c r="AL9" i="22"/>
  <c r="AN9" i="22"/>
  <c r="U43" i="22"/>
  <c r="U40" i="22"/>
  <c r="Q49" i="22" l="1"/>
  <c r="Q50" i="22" s="1"/>
  <c r="U49" i="22"/>
  <c r="S49" i="22"/>
  <c r="AO9" i="22"/>
  <c r="AN43" i="22"/>
  <c r="V49" i="22" l="1"/>
  <c r="V50" i="22" s="1"/>
  <c r="Q53" i="22"/>
  <c r="Q54" i="22" s="1"/>
  <c r="H132" i="3" l="1"/>
  <c r="G127" i="3"/>
  <c r="G128" i="3"/>
  <c r="G129" i="3"/>
  <c r="G130" i="3"/>
  <c r="G131" i="3"/>
  <c r="G132" i="3"/>
  <c r="G133" i="3"/>
  <c r="G134" i="3"/>
  <c r="G126" i="3"/>
  <c r="I132" i="3" l="1"/>
  <c r="Z10" i="17" l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9" i="17"/>
  <c r="I107" i="2" l="1"/>
  <c r="J107" i="2" l="1"/>
  <c r="J98" i="2" l="1"/>
  <c r="I98" i="2"/>
  <c r="E98" i="2"/>
  <c r="Y54" i="17" l="1"/>
  <c r="E63" i="17"/>
  <c r="Y53" i="17"/>
  <c r="Y52" i="17"/>
  <c r="Y51" i="17"/>
  <c r="Y50" i="17"/>
  <c r="Y49" i="17"/>
  <c r="Y48" i="17"/>
  <c r="AS48" i="17" l="1"/>
  <c r="AU48" i="17"/>
  <c r="AV48" i="17" s="1"/>
  <c r="AS49" i="17"/>
  <c r="AU49" i="17"/>
  <c r="AV49" i="17" s="1"/>
  <c r="AS50" i="17"/>
  <c r="AU50" i="17"/>
  <c r="AV50" i="17" s="1"/>
  <c r="AS51" i="17"/>
  <c r="AU51" i="17"/>
  <c r="AV51" i="17" s="1"/>
  <c r="AS52" i="17"/>
  <c r="AU52" i="17"/>
  <c r="AV52" i="17" s="1"/>
  <c r="AS53" i="17"/>
  <c r="AU53" i="17"/>
  <c r="AV53" i="17" s="1"/>
  <c r="AU54" i="17"/>
  <c r="AV54" i="17" s="1"/>
  <c r="AS54" i="17"/>
  <c r="AA50" i="17"/>
  <c r="AA48" i="17"/>
  <c r="AA49" i="17"/>
  <c r="AA51" i="17"/>
  <c r="AA52" i="17"/>
  <c r="AA53" i="17"/>
  <c r="F63" i="17"/>
  <c r="G63" i="17" s="1"/>
  <c r="AA54" i="17"/>
  <c r="G108" i="3"/>
  <c r="H133" i="3" l="1"/>
  <c r="I133" i="3" s="1"/>
  <c r="H134" i="3"/>
  <c r="I134" i="3" s="1"/>
  <c r="H130" i="3"/>
  <c r="I130" i="3" s="1"/>
  <c r="H129" i="3"/>
  <c r="I129" i="3" s="1"/>
  <c r="H131" i="3"/>
  <c r="I131" i="3" s="1"/>
  <c r="H128" i="3"/>
  <c r="I128" i="3" s="1"/>
  <c r="K98" i="2" l="1"/>
  <c r="H108" i="2" l="1"/>
  <c r="H110" i="2" s="1"/>
  <c r="I108" i="2"/>
  <c r="J108" i="2" l="1"/>
  <c r="J110" i="2" s="1"/>
  <c r="I110" i="2"/>
  <c r="F49" i="18"/>
  <c r="H40" i="18" l="1"/>
  <c r="I40" i="18"/>
  <c r="J40" i="18"/>
  <c r="K40" i="18"/>
  <c r="L39" i="18"/>
  <c r="L38" i="18"/>
  <c r="L37" i="18"/>
  <c r="L36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49" i="18"/>
  <c r="K49" i="18"/>
  <c r="J49" i="18"/>
  <c r="G49" i="18"/>
  <c r="I52" i="18" s="1"/>
  <c r="K20" i="1" s="1"/>
  <c r="E49" i="18"/>
  <c r="D49" i="18"/>
  <c r="Q40" i="18"/>
  <c r="G40" i="18"/>
  <c r="N58" i="17"/>
  <c r="N55" i="17"/>
  <c r="O58" i="17"/>
  <c r="O55" i="17"/>
  <c r="L43" i="18" l="1"/>
  <c r="L40" i="18"/>
  <c r="I53" i="18"/>
  <c r="I54" i="18" s="1"/>
  <c r="H49" i="18"/>
  <c r="H50" i="18" s="1"/>
  <c r="M49" i="18"/>
  <c r="M50" i="18" s="1"/>
  <c r="K23" i="1"/>
  <c r="F98" i="2"/>
  <c r="I55" i="18" l="1"/>
  <c r="H20" i="1"/>
  <c r="M20" i="1" s="1"/>
  <c r="H127" i="3"/>
  <c r="I127" i="3" s="1"/>
  <c r="D98" i="2"/>
  <c r="Y44" i="17"/>
  <c r="Y43" i="17"/>
  <c r="Y42" i="17"/>
  <c r="Y41" i="17"/>
  <c r="Y40" i="17"/>
  <c r="Y39" i="17"/>
  <c r="Y38" i="17"/>
  <c r="Y37" i="17"/>
  <c r="Y36" i="17"/>
  <c r="Y35" i="17"/>
  <c r="Y34" i="17"/>
  <c r="Z58" i="17"/>
  <c r="Y10" i="17"/>
  <c r="Y11" i="17"/>
  <c r="Y13" i="17"/>
  <c r="Y12" i="17"/>
  <c r="Y14" i="17"/>
  <c r="Y15" i="17"/>
  <c r="Y16" i="17"/>
  <c r="Y17" i="17"/>
  <c r="Y18" i="17"/>
  <c r="Y19" i="17"/>
  <c r="Y20" i="17"/>
  <c r="Y21" i="17"/>
  <c r="Y22" i="17"/>
  <c r="Y23" i="17"/>
  <c r="Y24" i="17"/>
  <c r="Y25" i="17"/>
  <c r="Y26" i="17"/>
  <c r="Y27" i="17"/>
  <c r="Y28" i="17"/>
  <c r="Y29" i="17"/>
  <c r="Y30" i="17"/>
  <c r="Y31" i="17"/>
  <c r="Y32" i="17"/>
  <c r="Y33" i="17"/>
  <c r="Y45" i="17"/>
  <c r="Y46" i="17"/>
  <c r="Y47" i="17"/>
  <c r="AS33" i="17" l="1"/>
  <c r="AU33" i="17"/>
  <c r="AV33" i="17" s="1"/>
  <c r="AS25" i="17"/>
  <c r="AU25" i="17"/>
  <c r="AV25" i="17" s="1"/>
  <c r="AS17" i="17"/>
  <c r="AU17" i="17"/>
  <c r="AV17" i="17" s="1"/>
  <c r="AS41" i="17"/>
  <c r="AU41" i="17"/>
  <c r="AV41" i="17" s="1"/>
  <c r="AS32" i="17"/>
  <c r="AU32" i="17"/>
  <c r="AV32" i="17" s="1"/>
  <c r="AU24" i="17"/>
  <c r="AV24" i="17" s="1"/>
  <c r="AS24" i="17"/>
  <c r="AS16" i="17"/>
  <c r="AU16" i="17"/>
  <c r="AV16" i="17" s="1"/>
  <c r="AS34" i="17"/>
  <c r="AU34" i="17"/>
  <c r="AV34" i="17" s="1"/>
  <c r="AS42" i="17"/>
  <c r="AU42" i="17"/>
  <c r="AV42" i="17" s="1"/>
  <c r="AS31" i="17"/>
  <c r="AU31" i="17"/>
  <c r="AV31" i="17" s="1"/>
  <c r="AS23" i="17"/>
  <c r="AU23" i="17"/>
  <c r="AV23" i="17" s="1"/>
  <c r="AS15" i="17"/>
  <c r="AU15" i="17"/>
  <c r="AV15" i="17" s="1"/>
  <c r="AS35" i="17"/>
  <c r="AU35" i="17"/>
  <c r="AV35" i="17" s="1"/>
  <c r="AS43" i="17"/>
  <c r="AU43" i="17"/>
  <c r="AV43" i="17" s="1"/>
  <c r="AU30" i="17"/>
  <c r="AV30" i="17" s="1"/>
  <c r="AS30" i="17"/>
  <c r="AU22" i="17"/>
  <c r="AV22" i="17" s="1"/>
  <c r="AS22" i="17"/>
  <c r="E62" i="17"/>
  <c r="AU14" i="17"/>
  <c r="AV14" i="17" s="1"/>
  <c r="AS14" i="17"/>
  <c r="AS36" i="17"/>
  <c r="AU36" i="17"/>
  <c r="AV36" i="17" s="1"/>
  <c r="AS44" i="17"/>
  <c r="AU44" i="17"/>
  <c r="AV44" i="17" s="1"/>
  <c r="AS29" i="17"/>
  <c r="AU29" i="17"/>
  <c r="AV29" i="17" s="1"/>
  <c r="AS21" i="17"/>
  <c r="AU21" i="17"/>
  <c r="AV21" i="17" s="1"/>
  <c r="AS12" i="17"/>
  <c r="AU12" i="17"/>
  <c r="AV12" i="17" s="1"/>
  <c r="AS37" i="17"/>
  <c r="AU37" i="17"/>
  <c r="AV37" i="17" s="1"/>
  <c r="AS47" i="17"/>
  <c r="AU47" i="17"/>
  <c r="AV47" i="17" s="1"/>
  <c r="AS28" i="17"/>
  <c r="AU28" i="17"/>
  <c r="AV28" i="17" s="1"/>
  <c r="AS20" i="17"/>
  <c r="AU20" i="17"/>
  <c r="AV20" i="17" s="1"/>
  <c r="AS13" i="17"/>
  <c r="AU13" i="17"/>
  <c r="AV13" i="17" s="1"/>
  <c r="AU38" i="17"/>
  <c r="AV38" i="17" s="1"/>
  <c r="AS38" i="17"/>
  <c r="AU46" i="17"/>
  <c r="AV46" i="17" s="1"/>
  <c r="AS46" i="17"/>
  <c r="AS27" i="17"/>
  <c r="AU27" i="17"/>
  <c r="AV27" i="17" s="1"/>
  <c r="AS19" i="17"/>
  <c r="AU19" i="17"/>
  <c r="AV19" i="17" s="1"/>
  <c r="AU11" i="17"/>
  <c r="AV11" i="17" s="1"/>
  <c r="AS11" i="17"/>
  <c r="AS39" i="17"/>
  <c r="AU39" i="17"/>
  <c r="AV39" i="17" s="1"/>
  <c r="AU45" i="17"/>
  <c r="AV45" i="17" s="1"/>
  <c r="AS45" i="17"/>
  <c r="AS26" i="17"/>
  <c r="AU26" i="17"/>
  <c r="AV26" i="17" s="1"/>
  <c r="AS18" i="17"/>
  <c r="AU18" i="17"/>
  <c r="AV18" i="17" s="1"/>
  <c r="AS10" i="17"/>
  <c r="AU10" i="17"/>
  <c r="AV10" i="17" s="1"/>
  <c r="AS40" i="17"/>
  <c r="AU40" i="17"/>
  <c r="AV40" i="17" s="1"/>
  <c r="E61" i="17"/>
  <c r="AA46" i="17"/>
  <c r="AA27" i="17"/>
  <c r="AA47" i="17"/>
  <c r="AA45" i="17"/>
  <c r="AA33" i="17"/>
  <c r="AA16" i="17"/>
  <c r="AA14" i="17"/>
  <c r="AA24" i="17"/>
  <c r="AA11" i="17"/>
  <c r="AA32" i="17"/>
  <c r="AA26" i="17"/>
  <c r="AA25" i="17"/>
  <c r="AA13" i="17"/>
  <c r="AA22" i="17"/>
  <c r="AA10" i="17"/>
  <c r="AA21" i="17"/>
  <c r="AA23" i="17"/>
  <c r="AA28" i="17"/>
  <c r="AA15" i="17"/>
  <c r="AA12" i="17"/>
  <c r="AA20" i="17"/>
  <c r="AA31" i="17"/>
  <c r="AA19" i="17"/>
  <c r="AA30" i="17"/>
  <c r="AA18" i="17"/>
  <c r="AA29" i="17"/>
  <c r="AA17" i="17"/>
  <c r="Z55" i="17"/>
  <c r="AA34" i="17"/>
  <c r="AA35" i="17"/>
  <c r="AA36" i="17"/>
  <c r="AA37" i="17"/>
  <c r="AA38" i="17"/>
  <c r="AA39" i="17"/>
  <c r="AA40" i="17"/>
  <c r="AA41" i="17"/>
  <c r="AA42" i="17"/>
  <c r="AA43" i="17"/>
  <c r="AA44" i="17"/>
  <c r="F61" i="17" l="1"/>
  <c r="G61" i="17" s="1"/>
  <c r="F62" i="17"/>
  <c r="G62" i="17" s="1"/>
  <c r="X58" i="17"/>
  <c r="W58" i="17"/>
  <c r="V58" i="17"/>
  <c r="U58" i="17"/>
  <c r="T58" i="17"/>
  <c r="S58" i="17"/>
  <c r="R58" i="17"/>
  <c r="Q58" i="17"/>
  <c r="P58" i="17"/>
  <c r="M58" i="17"/>
  <c r="L58" i="17"/>
  <c r="X55" i="17"/>
  <c r="W55" i="17"/>
  <c r="V55" i="17"/>
  <c r="U55" i="17"/>
  <c r="T55" i="17"/>
  <c r="S55" i="17"/>
  <c r="R55" i="17"/>
  <c r="Q55" i="17"/>
  <c r="P55" i="17"/>
  <c r="M55" i="17"/>
  <c r="Y9" i="17"/>
  <c r="H101" i="2"/>
  <c r="E117" i="3"/>
  <c r="J117" i="3"/>
  <c r="K117" i="3"/>
  <c r="L117" i="3"/>
  <c r="F89" i="2"/>
  <c r="M23" i="1"/>
  <c r="G111" i="3"/>
  <c r="H18" i="1" s="1"/>
  <c r="I13" i="1"/>
  <c r="H11" i="9"/>
  <c r="H10" i="9"/>
  <c r="H9" i="9"/>
  <c r="H8" i="9"/>
  <c r="H7" i="9"/>
  <c r="H6" i="9"/>
  <c r="H5" i="9"/>
  <c r="H4" i="9"/>
  <c r="H13" i="1"/>
  <c r="K89" i="2"/>
  <c r="G89" i="2"/>
  <c r="H92" i="2"/>
  <c r="E60" i="17" l="1"/>
  <c r="AS9" i="17"/>
  <c r="AU9" i="17"/>
  <c r="H17" i="1"/>
  <c r="K16" i="1"/>
  <c r="I111" i="2"/>
  <c r="F64" i="17"/>
  <c r="E64" i="17"/>
  <c r="G60" i="17"/>
  <c r="G64" i="17" s="1"/>
  <c r="H126" i="3"/>
  <c r="H16" i="1"/>
  <c r="G117" i="3"/>
  <c r="I120" i="3" s="1"/>
  <c r="K18" i="1" s="1"/>
  <c r="K17" i="1"/>
  <c r="H102" i="2"/>
  <c r="F117" i="3"/>
  <c r="M117" i="3"/>
  <c r="M118" i="3" s="1"/>
  <c r="H89" i="2"/>
  <c r="L98" i="2"/>
  <c r="L99" i="2" s="1"/>
  <c r="Y58" i="17"/>
  <c r="H19" i="1" s="1"/>
  <c r="AA9" i="17"/>
  <c r="Y55" i="17"/>
  <c r="AS55" i="17" s="1"/>
  <c r="U64" i="17"/>
  <c r="AV9" i="17" l="1"/>
  <c r="AU55" i="17"/>
  <c r="AU57" i="17"/>
  <c r="M17" i="1"/>
  <c r="M16" i="1"/>
  <c r="K29" i="1"/>
  <c r="H103" i="2"/>
  <c r="J111" i="2"/>
  <c r="E65" i="17"/>
  <c r="M21" i="1"/>
  <c r="I126" i="3"/>
  <c r="H135" i="3"/>
  <c r="H136" i="3" s="1"/>
  <c r="M18" i="1"/>
  <c r="H117" i="3"/>
  <c r="H118" i="3" s="1"/>
  <c r="G98" i="2"/>
  <c r="G99" i="2" s="1"/>
  <c r="H25" i="1"/>
  <c r="W64" i="17"/>
  <c r="Y67" i="17" s="1"/>
  <c r="F65" i="17" s="1"/>
  <c r="V64" i="17"/>
  <c r="I121" i="3"/>
  <c r="I122" i="3" s="1"/>
  <c r="J123" i="3" s="1"/>
  <c r="AA58" i="17"/>
  <c r="AA55" i="17"/>
  <c r="H104" i="2" l="1"/>
  <c r="H111" i="2"/>
  <c r="K19" i="1"/>
  <c r="Z64" i="17"/>
  <c r="X64" i="17"/>
  <c r="X65" i="17" s="1"/>
  <c r="AB64" i="17"/>
  <c r="AA64" i="17"/>
  <c r="K28" i="1" l="1"/>
  <c r="M19" i="1"/>
  <c r="M25" i="1" s="1"/>
  <c r="K27" i="1"/>
  <c r="K25" i="1"/>
  <c r="AC64" i="17"/>
  <c r="AC65" i="17" s="1"/>
  <c r="Y68" i="17"/>
  <c r="G135" i="3"/>
  <c r="G136" i="3" s="1"/>
  <c r="I135" i="3"/>
  <c r="I136" i="3" s="1"/>
  <c r="K30" i="1" l="1"/>
  <c r="K33" i="1" s="1"/>
  <c r="K35" i="1" s="1"/>
  <c r="Y69" i="17"/>
  <c r="Y70" i="17" s="1"/>
  <c r="G65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Ryan</author>
  </authors>
  <commentList>
    <comment ref="H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"Intent to Film"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CPA/ State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Zscient Tharra D. Paraiso</author>
    <author>Admin User</author>
  </authors>
  <commentList>
    <comment ref="F8" authorId="0" shapeId="0" xr:uid="{57115FE5-6F6E-4DFE-A944-DB530750D149}">
      <text>
        <r>
          <rPr>
            <b/>
            <sz val="9"/>
            <color indexed="81"/>
            <rFont val="Tahoma"/>
            <family val="2"/>
          </rPr>
          <t>Zscient Tharra D. Paraiso:</t>
        </r>
        <r>
          <rPr>
            <sz val="9"/>
            <color indexed="81"/>
            <rFont val="Tahoma"/>
            <family val="2"/>
          </rPr>
          <t xml:space="preserve">
Pay date from payroll report, check number, last 4 digits of Social Security Number</t>
        </r>
      </text>
    </comment>
    <comment ref="AB8" authorId="0" shapeId="0" xr:uid="{850E75EB-8446-4AF7-B211-C552CE6AB5C5}">
      <text>
        <r>
          <rPr>
            <b/>
            <sz val="9"/>
            <color indexed="81"/>
            <rFont val="Tahoma"/>
            <family val="2"/>
          </rPr>
          <t>Zscient Tharra D. Paraiso:</t>
        </r>
        <r>
          <rPr>
            <sz val="9"/>
            <color indexed="81"/>
            <rFont val="Tahoma"/>
            <family val="2"/>
          </rPr>
          <t xml:space="preserve">
If applicable, should be placed before Submitted Amount Column</t>
        </r>
      </text>
    </comment>
    <comment ref="AP8" authorId="1" shapeId="0" xr:uid="{10C4C8D8-D705-4461-9ADE-66102B14E496}">
      <text>
        <r>
          <rPr>
            <b/>
            <sz val="9"/>
            <color indexed="81"/>
            <rFont val="Tahoma"/>
            <family val="2"/>
          </rPr>
          <t>Admin User:</t>
        </r>
        <r>
          <rPr>
            <sz val="9"/>
            <color indexed="81"/>
            <rFont val="Tahoma"/>
            <family val="2"/>
          </rPr>
          <t xml:space="preserve">
Includes Taxable, Non-Taxable &amp; Corp -- Vac/Holiday Pay is included as a benefit</t>
        </r>
      </text>
    </comment>
    <comment ref="AQ8" authorId="1" shapeId="0" xr:uid="{0593C6E8-B2C8-4809-86A2-02E5081E0227}">
      <text>
        <r>
          <rPr>
            <b/>
            <sz val="9"/>
            <color indexed="81"/>
            <rFont val="Tahoma"/>
            <family val="2"/>
          </rPr>
          <t>Admin User:</t>
        </r>
        <r>
          <rPr>
            <sz val="9"/>
            <color indexed="81"/>
            <rFont val="Tahoma"/>
            <family val="2"/>
          </rPr>
          <t xml:space="preserve">
includes, FICA, Medi, FUI, SUI &amp; PH&amp;W &amp; Hoiday/Vacation Pay</t>
        </r>
      </text>
    </comment>
  </commentList>
</comments>
</file>

<file path=xl/sharedStrings.xml><?xml version="1.0" encoding="utf-8"?>
<sst xmlns="http://schemas.openxmlformats.org/spreadsheetml/2006/main" count="611" uniqueCount="307">
  <si>
    <t>Elite CIS</t>
  </si>
  <si>
    <t>Commercial Project Summary</t>
  </si>
  <si>
    <t>Project Description</t>
  </si>
  <si>
    <t>Project Title:</t>
  </si>
  <si>
    <t>ECIS LA</t>
  </si>
  <si>
    <t>State:</t>
  </si>
  <si>
    <t>TX</t>
  </si>
  <si>
    <t>Client:</t>
  </si>
  <si>
    <t>Client Brand:</t>
  </si>
  <si>
    <t>Estimated Production Budget</t>
  </si>
  <si>
    <t>Product:</t>
  </si>
  <si>
    <t xml:space="preserve"> In-State:</t>
  </si>
  <si>
    <t>Out of State</t>
  </si>
  <si>
    <t>Total</t>
  </si>
  <si>
    <t>Agency:</t>
  </si>
  <si>
    <t>OOS Agency</t>
  </si>
  <si>
    <t>Estimated Total</t>
  </si>
  <si>
    <t>Production Company:</t>
  </si>
  <si>
    <t>OOS ProdCo</t>
  </si>
  <si>
    <t>Prodco direct costs</t>
  </si>
  <si>
    <t>Crew Payroll Company:</t>
  </si>
  <si>
    <t>Total:</t>
  </si>
  <si>
    <t>Celebrity Payroll Company:</t>
  </si>
  <si>
    <t>Talent Payroll Company:</t>
  </si>
  <si>
    <t>Production Insurance:</t>
  </si>
  <si>
    <t>Other Payor 2:</t>
  </si>
  <si>
    <t xml:space="preserve">Other Payor 3: </t>
  </si>
  <si>
    <t>Submitted:</t>
  </si>
  <si>
    <t>Qualified</t>
  </si>
  <si>
    <t>DNQ</t>
  </si>
  <si>
    <t>Check</t>
  </si>
  <si>
    <t>Credit Card</t>
  </si>
  <si>
    <t>Celebrity Name(s):</t>
  </si>
  <si>
    <t>Production</t>
  </si>
  <si>
    <t>Prod. Crew Reimb.</t>
  </si>
  <si>
    <t>Job Description:</t>
  </si>
  <si>
    <t>Petty Cash</t>
  </si>
  <si>
    <t>Agency Job Name:</t>
  </si>
  <si>
    <t>Crew Payroll (3rd Party)</t>
  </si>
  <si>
    <t>Agency Job Number:</t>
  </si>
  <si>
    <t>Crew Payroll (Independent Contractors)</t>
  </si>
  <si>
    <t>Talent Payroll</t>
  </si>
  <si>
    <t>AICP Bid</t>
  </si>
  <si>
    <t>Agency</t>
  </si>
  <si>
    <t>AICP Bid TX Only</t>
  </si>
  <si>
    <t>Other</t>
  </si>
  <si>
    <t>Award Letter</t>
  </si>
  <si>
    <t>Grant Agreement</t>
  </si>
  <si>
    <t>Total Submitted costs:</t>
  </si>
  <si>
    <t>Call Sheet</t>
  </si>
  <si>
    <t>Production Contract</t>
  </si>
  <si>
    <t>Submitted Payroll Expenditures:</t>
  </si>
  <si>
    <t>Submitted AP Expenditures:</t>
  </si>
  <si>
    <t>Application</t>
  </si>
  <si>
    <t>Submitted PC/CC Expenditures:</t>
  </si>
  <si>
    <t>Agency Estimate</t>
  </si>
  <si>
    <t>Total Submitted Expenditures:</t>
  </si>
  <si>
    <t>Pre-Production Book</t>
  </si>
  <si>
    <t>Spots:</t>
  </si>
  <si>
    <t>Actuals</t>
  </si>
  <si>
    <t>Maximum Allowed</t>
  </si>
  <si>
    <t>Qualifying Spending:</t>
  </si>
  <si>
    <t>Anticipated Grant Pct:</t>
  </si>
  <si>
    <t>Estimated Grant Amount:</t>
  </si>
  <si>
    <t>Inv #</t>
  </si>
  <si>
    <t>Amount Issued</t>
  </si>
  <si>
    <t>Per Michelle Habecker on X/XX/21</t>
  </si>
  <si>
    <t>TEXAS PRODUCTION DAYS VERIFICATION</t>
  </si>
  <si>
    <t>Total Production (Shoot) Days:</t>
  </si>
  <si>
    <t>Texas Production (Shoot) Days:</t>
  </si>
  <si>
    <t>Texas Production Shoot Days Pct:</t>
  </si>
  <si>
    <t>60% of total production days must be completed in TX</t>
  </si>
  <si>
    <t>Since ineligible amounts were removed, should we modify the receipt?</t>
  </si>
  <si>
    <t>CPA Audit</t>
  </si>
  <si>
    <t>No</t>
  </si>
  <si>
    <t>Loan-out Registration</t>
  </si>
  <si>
    <t>Income tax withholding</t>
  </si>
  <si>
    <t>Not required for both individual and loan-out</t>
  </si>
  <si>
    <t>W/C &amp; Handling Fees DNQ unless a local vendor was used</t>
  </si>
  <si>
    <t>***typically payroll companies are self-insured - as such DNQ</t>
  </si>
  <si>
    <t>If applicable</t>
  </si>
  <si>
    <t>N/A</t>
  </si>
  <si>
    <t>Check# to Reference#</t>
  </si>
  <si>
    <t>CPA</t>
  </si>
  <si>
    <t>Ineligible</t>
  </si>
  <si>
    <t>ITEM #</t>
  </si>
  <si>
    <t xml:space="preserve"> Invoice Date</t>
  </si>
  <si>
    <t>Pay Period (WE)</t>
  </si>
  <si>
    <t>Ref Number</t>
  </si>
  <si>
    <t>Crew Name (Last, First)</t>
  </si>
  <si>
    <t>Crew Position</t>
  </si>
  <si>
    <t>Valid DTR Form</t>
  </si>
  <si>
    <t>Work State</t>
  </si>
  <si>
    <t>Resident State</t>
  </si>
  <si>
    <t>Taxable Wages $</t>
  </si>
  <si>
    <t>Corporate $</t>
  </si>
  <si>
    <t>FICA</t>
  </si>
  <si>
    <t>Medi</t>
  </si>
  <si>
    <t>FUI</t>
  </si>
  <si>
    <t>SUI</t>
  </si>
  <si>
    <t>W/C</t>
  </si>
  <si>
    <t>PH&amp;W</t>
  </si>
  <si>
    <t>Vac/Hol</t>
  </si>
  <si>
    <t>Hand</t>
  </si>
  <si>
    <t>Non Taxable - Mileage</t>
  </si>
  <si>
    <t>Non Taxable - Kit Rental</t>
  </si>
  <si>
    <t>Non Taxable - Other Rental</t>
  </si>
  <si>
    <t>Ineligible $</t>
  </si>
  <si>
    <t>Submitted Amount</t>
  </si>
  <si>
    <t>Time Allocated</t>
  </si>
  <si>
    <t>Proof of Payment</t>
  </si>
  <si>
    <t>Payment Entity</t>
  </si>
  <si>
    <t>Loan Out</t>
  </si>
  <si>
    <t>Qualify?</t>
  </si>
  <si>
    <t>Home address</t>
  </si>
  <si>
    <t>City</t>
  </si>
  <si>
    <t>State</t>
  </si>
  <si>
    <t>Zip</t>
  </si>
  <si>
    <t>Notes:</t>
  </si>
  <si>
    <t>On Call Sheet</t>
  </si>
  <si>
    <t>Name on Call sheet</t>
  </si>
  <si>
    <t>GROSS</t>
  </si>
  <si>
    <t>BENEFITS (P, H &amp; W)</t>
  </si>
  <si>
    <t>TOTAL</t>
  </si>
  <si>
    <t>Invoice #</t>
  </si>
  <si>
    <t>Qualified Amount</t>
  </si>
  <si>
    <t>Unqualified Amount</t>
  </si>
  <si>
    <t>ELIGIBLE TOTAL</t>
  </si>
  <si>
    <t>INELIGIBLE TOTAL</t>
  </si>
  <si>
    <t>NO-OOS</t>
  </si>
  <si>
    <t>NO-TX</t>
  </si>
  <si>
    <t>YES</t>
  </si>
  <si>
    <t>Total Eligible</t>
  </si>
  <si>
    <t>Total Ineligible</t>
  </si>
  <si>
    <t>Total Expenses</t>
  </si>
  <si>
    <t>Pay period to Check Number</t>
  </si>
  <si>
    <t xml:space="preserve"> -</t>
  </si>
  <si>
    <t>PO #</t>
  </si>
  <si>
    <t>Pay Period/Invoice Date</t>
  </si>
  <si>
    <t>Check Number</t>
  </si>
  <si>
    <t>Gross Wages</t>
  </si>
  <si>
    <t>Mileage</t>
  </si>
  <si>
    <t>Kit Rental</t>
  </si>
  <si>
    <t>Submitted Amount $</t>
  </si>
  <si>
    <t>Pymt Method</t>
  </si>
  <si>
    <t>Pymt #</t>
  </si>
  <si>
    <t>Proof of Payment?</t>
  </si>
  <si>
    <t>Type</t>
  </si>
  <si>
    <t>Description</t>
  </si>
  <si>
    <t>Address</t>
  </si>
  <si>
    <t xml:space="preserve">City </t>
  </si>
  <si>
    <t>Contact #</t>
  </si>
  <si>
    <t>Y</t>
  </si>
  <si>
    <t>SUBMITTED TOTAL</t>
  </si>
  <si>
    <t>Invoice $</t>
  </si>
  <si>
    <t>Submitted Amount$</t>
  </si>
  <si>
    <t>Vendor Name</t>
  </si>
  <si>
    <t>Pay Date</t>
  </si>
  <si>
    <t>Location Name</t>
  </si>
  <si>
    <t>Street Number</t>
  </si>
  <si>
    <t>Street Name</t>
  </si>
  <si>
    <t>Zip Code</t>
  </si>
  <si>
    <t>Production Date/Range</t>
  </si>
  <si>
    <t>Unknown</t>
  </si>
  <si>
    <t>Notes</t>
  </si>
  <si>
    <t>If no Address, please add PDF file of adress obtained from website</t>
  </si>
  <si>
    <t>Env #</t>
  </si>
  <si>
    <t>Line #</t>
  </si>
  <si>
    <t>Receipt Date</t>
  </si>
  <si>
    <t>Petty $ Amount</t>
  </si>
  <si>
    <t>Qualified Total</t>
  </si>
  <si>
    <t>Name</t>
  </si>
  <si>
    <t>Vendor</t>
  </si>
  <si>
    <t>Subtotal:</t>
  </si>
  <si>
    <t>Employee Name</t>
  </si>
  <si>
    <t>Ineligible Amount</t>
  </si>
  <si>
    <t>Category/Department</t>
  </si>
  <si>
    <t>1st Shoot date</t>
  </si>
  <si>
    <t>120 Days Prior to Shoot date</t>
  </si>
  <si>
    <t>Crew Name</t>
  </si>
  <si>
    <t>Diversity</t>
  </si>
  <si>
    <t>Qualify</t>
  </si>
  <si>
    <t>PRODUCTION LOCATIONS</t>
  </si>
  <si>
    <t>Taxes need to be broken Down: FICA, FUTA MEDI, SUTA</t>
  </si>
  <si>
    <t>Include</t>
  </si>
  <si>
    <t>Ref Number (Check #)</t>
  </si>
  <si>
    <t>Talent Name</t>
  </si>
  <si>
    <t>Title</t>
  </si>
  <si>
    <t>Location</t>
  </si>
  <si>
    <t>TX Resident</t>
  </si>
  <si>
    <t>Gross Wages $</t>
  </si>
  <si>
    <t>Misc Payment</t>
  </si>
  <si>
    <t>ER Payroll Taxes</t>
  </si>
  <si>
    <t>Workers Comp</t>
  </si>
  <si>
    <t>Handling/Vendor Fee</t>
  </si>
  <si>
    <t>Pension &amp; Health</t>
  </si>
  <si>
    <t xml:space="preserve">Loan Out </t>
  </si>
  <si>
    <t>Home Address</t>
  </si>
  <si>
    <t>Job Number</t>
  </si>
  <si>
    <t>FRINGES</t>
  </si>
  <si>
    <t>Wages &amp; Misc Pymts</t>
  </si>
  <si>
    <t>Payroll Taxes</t>
  </si>
  <si>
    <t>P&amp;H Contributions</t>
  </si>
  <si>
    <t>YES-HANDLING</t>
  </si>
  <si>
    <t>Ptype</t>
  </si>
  <si>
    <t>Entity</t>
  </si>
  <si>
    <t>Value</t>
  </si>
  <si>
    <t>Payroll Value</t>
  </si>
  <si>
    <t>Comp Description</t>
  </si>
  <si>
    <t>Goods</t>
  </si>
  <si>
    <t>Session Fee</t>
  </si>
  <si>
    <t>Principal</t>
  </si>
  <si>
    <t>African American</t>
  </si>
  <si>
    <t>P-Card</t>
  </si>
  <si>
    <t>ECIS NC</t>
  </si>
  <si>
    <t>NO</t>
  </si>
  <si>
    <t>Services</t>
  </si>
  <si>
    <t>Holding Fee</t>
  </si>
  <si>
    <t>Extra</t>
  </si>
  <si>
    <t>Asian American</t>
  </si>
  <si>
    <t>N/A - (P/R)</t>
  </si>
  <si>
    <t>Compensation</t>
  </si>
  <si>
    <t>Re-use Fee</t>
  </si>
  <si>
    <t>Incomplete - expired ID</t>
  </si>
  <si>
    <t>Agent</t>
  </si>
  <si>
    <t>Caucasian (White) American</t>
  </si>
  <si>
    <t>N/A - (OOS)</t>
  </si>
  <si>
    <t>Cancellation Fee</t>
  </si>
  <si>
    <t>Incomplete - Missing signature</t>
  </si>
  <si>
    <t>Hispanic American</t>
  </si>
  <si>
    <t>EFT/WIRE</t>
  </si>
  <si>
    <t>Native American</t>
  </si>
  <si>
    <t>Payroll Company</t>
  </si>
  <si>
    <t>Prefer not to Answer</t>
  </si>
  <si>
    <t>Internal</t>
  </si>
  <si>
    <t>n/a</t>
  </si>
  <si>
    <t>TOTAL TX ONLY - CREW &amp; CAST</t>
  </si>
  <si>
    <t>TOTAL ALL CREW &amp; CAST</t>
  </si>
  <si>
    <t>N</t>
  </si>
  <si>
    <t>CREW #1</t>
  </si>
  <si>
    <t>CREW #2</t>
  </si>
  <si>
    <t>CAST #1</t>
  </si>
  <si>
    <t>CAST #2</t>
  </si>
  <si>
    <t>CAST #3</t>
  </si>
  <si>
    <t>TX ONLY %</t>
  </si>
  <si>
    <t>TPC</t>
  </si>
  <si>
    <t>35% of paid cast &amp; crew, including extras, must be Texas Residents</t>
  </si>
  <si>
    <t>TX County</t>
  </si>
  <si>
    <t>35% of paid crew must be Texas Residents</t>
  </si>
  <si>
    <t>Veteran Percentage (2.5%)</t>
  </si>
  <si>
    <t>Post Production (1%)</t>
  </si>
  <si>
    <t>Texas Historic Site (2.5%)</t>
  </si>
  <si>
    <t>Workforce Development (2.5%)</t>
  </si>
  <si>
    <t>Texas Heritage (2.5%)</t>
  </si>
  <si>
    <t>Rural Area (2.5%</t>
  </si>
  <si>
    <t>Faith-Based (2.5%)</t>
  </si>
  <si>
    <t>Harris</t>
  </si>
  <si>
    <t>Dallas</t>
  </si>
  <si>
    <t>Tarrant</t>
  </si>
  <si>
    <t>Bexar</t>
  </si>
  <si>
    <t>Travis</t>
  </si>
  <si>
    <t>Collin</t>
  </si>
  <si>
    <t>Denton</t>
  </si>
  <si>
    <t>Fort Bend</t>
  </si>
  <si>
    <t>Hidalgo</t>
  </si>
  <si>
    <t>El Paso</t>
  </si>
  <si>
    <t>Montgomery</t>
  </si>
  <si>
    <t>Williamson</t>
  </si>
  <si>
    <t>Cameron</t>
  </si>
  <si>
    <t>Brazoria</t>
  </si>
  <si>
    <t>Bell</t>
  </si>
  <si>
    <t>Galveston</t>
  </si>
  <si>
    <t>Nueces</t>
  </si>
  <si>
    <t>Lubbock</t>
  </si>
  <si>
    <r>
      <t xml:space="preserve">Any County </t>
    </r>
    <r>
      <rPr>
        <b/>
        <sz val="12"/>
        <color rgb="FFFF0000"/>
        <rFont val="Calibri"/>
        <family val="2"/>
        <scheme val="minor"/>
      </rPr>
      <t>EXCEPT</t>
    </r>
    <r>
      <rPr>
        <b/>
        <sz val="12"/>
        <color theme="1"/>
        <rFont val="Calibri"/>
        <family val="2"/>
        <scheme val="minor"/>
      </rPr>
      <t xml:space="preserve"> the following will qualify for Rural Uplift: </t>
    </r>
  </si>
  <si>
    <t>UPLIFTS FOR THIS JOB</t>
  </si>
  <si>
    <t>TEXAS CREW AND CAST VERIFICATION</t>
  </si>
  <si>
    <t>Total Cast &amp; Crew</t>
  </si>
  <si>
    <t>Total TEXAS Cast &amp; Crew</t>
  </si>
  <si>
    <t>35% of Cast &amp; Crew Must be Texas Residents</t>
  </si>
  <si>
    <t>W-9 for All Vendors</t>
  </si>
  <si>
    <t>Have we gotten DTRs from All Crew Listed on the Callsheet?</t>
  </si>
  <si>
    <t>Have we gotten DTRs from All Crew Listed on the Payroll Report?</t>
  </si>
  <si>
    <t>Have we gotten DTRs from All Crew Listed on the Invoices?</t>
  </si>
  <si>
    <t>Have we gotten DTRs from All Talent Listed on the Callsheet?</t>
  </si>
  <si>
    <t>Have we gotten DTRs from All Talent Listed on the Payroll Report?</t>
  </si>
  <si>
    <t>Are all DTRs verified by the production Company?</t>
  </si>
  <si>
    <t>Have Driver's licences been put into the Database?</t>
  </si>
  <si>
    <t>CAST &amp; CREW LIST</t>
  </si>
  <si>
    <t>Crew Or Talent</t>
  </si>
  <si>
    <t>Crew Position / Role</t>
  </si>
  <si>
    <t>Add a column for who paid the talent (Prodco vs Agency) if needed</t>
  </si>
  <si>
    <t>Name (Last, First)</t>
  </si>
  <si>
    <t>Alphabetized by Last Name</t>
  </si>
  <si>
    <t>DTR Form (Y/N)</t>
  </si>
  <si>
    <t>Parent Name (for Minors)</t>
  </si>
  <si>
    <t>Notes (Basecamp, Non-TX)</t>
  </si>
  <si>
    <t>Shoot Day</t>
  </si>
  <si>
    <t>DAY 1 of 4</t>
  </si>
  <si>
    <t>DAY 2 of 4</t>
  </si>
  <si>
    <t>DAY 3 of 4</t>
  </si>
  <si>
    <t>DAY 4 of 4</t>
  </si>
  <si>
    <t>Award Date</t>
  </si>
  <si>
    <t>Pre Pro Date</t>
  </si>
  <si>
    <t>Shoot Date</t>
  </si>
  <si>
    <t>Production Wrap Date</t>
  </si>
  <si>
    <t>Post Production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</si>
</sst>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&lt;=9999999]###\-####;\(###\)\ ###\-####"/>
    <numFmt numFmtId="165" formatCode="00000"/>
    <numFmt numFmtId="166" formatCode="0000"/>
    <numFmt numFmtId="167" formatCode="m/dd/yy"/>
    <numFmt numFmtId="168" formatCode="m/d/yy;@"/>
    <numFmt numFmtId="169" formatCode="0.000%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 val="singleAccounting"/>
      <sz val="11"/>
      <color rgb="FF0000FF"/>
      <name val="Calibri"/>
      <family val="2"/>
      <scheme val="minor"/>
    </font>
    <font>
      <sz val="8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99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A7FFC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10" fillId="0" borderId="0"/>
    <xf numFmtId="44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8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4" fillId="0" borderId="0"/>
  </cellStyleXfs>
  <cellXfs count="437">
    <xf numFmtId="0" fontId="0" fillId="0" borderId="0" xfId="0"/>
    <xf numFmtId="0" fontId="0" fillId="0" borderId="1" xfId="0" applyBorder="1"/>
    <xf numFmtId="44" fontId="1" fillId="0" borderId="1" xfId="0" applyNumberFormat="1" applyFont="1" applyBorder="1"/>
    <xf numFmtId="8" fontId="0" fillId="0" borderId="0" xfId="0" applyNumberForma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/>
    <xf numFmtId="0" fontId="1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8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" fontId="0" fillId="0" borderId="1" xfId="1" applyNumberFormat="1" applyFont="1" applyBorder="1" applyAlignment="1">
      <alignment horizontal="center"/>
    </xf>
    <xf numFmtId="44" fontId="1" fillId="0" borderId="3" xfId="0" applyNumberFormat="1" applyFont="1" applyBorder="1" applyAlignment="1">
      <alignment horizontal="center"/>
    </xf>
    <xf numFmtId="44" fontId="1" fillId="0" borderId="2" xfId="0" applyNumberFormat="1" applyFont="1" applyBorder="1" applyAlignment="1">
      <alignment horizontal="center"/>
    </xf>
    <xf numFmtId="44" fontId="1" fillId="0" borderId="4" xfId="0" applyNumberFormat="1" applyFont="1" applyBorder="1" applyAlignment="1">
      <alignment horizontal="center"/>
    </xf>
    <xf numFmtId="8" fontId="1" fillId="0" borderId="0" xfId="0" applyNumberFormat="1" applyFont="1" applyAlignment="1">
      <alignment horizontal="right"/>
    </xf>
    <xf numFmtId="0" fontId="1" fillId="0" borderId="6" xfId="0" applyFont="1" applyBorder="1"/>
    <xf numFmtId="44" fontId="1" fillId="0" borderId="4" xfId="0" applyNumberFormat="1" applyFont="1" applyBorder="1"/>
    <xf numFmtId="0" fontId="8" fillId="0" borderId="0" xfId="3" applyAlignment="1">
      <alignment horizontal="left"/>
    </xf>
    <xf numFmtId="44" fontId="8" fillId="0" borderId="5" xfId="3" applyNumberFormat="1" applyBorder="1"/>
    <xf numFmtId="14" fontId="5" fillId="0" borderId="0" xfId="0" applyNumberFormat="1" applyFont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right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44" fontId="1" fillId="0" borderId="4" xfId="0" applyNumberFormat="1" applyFont="1" applyBorder="1" applyAlignment="1">
      <alignment horizontal="left"/>
    </xf>
    <xf numFmtId="8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1" fillId="0" borderId="4" xfId="0" applyFont="1" applyBorder="1" applyAlignment="1">
      <alignment horizontal="left"/>
    </xf>
    <xf numFmtId="44" fontId="1" fillId="0" borderId="0" xfId="0" applyNumberFormat="1" applyFont="1"/>
    <xf numFmtId="0" fontId="1" fillId="0" borderId="6" xfId="0" applyFon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14" fontId="0" fillId="0" borderId="0" xfId="1" applyNumberFormat="1" applyFont="1" applyFill="1" applyBorder="1" applyAlignment="1">
      <alignment horizontal="center"/>
    </xf>
    <xf numFmtId="44" fontId="0" fillId="0" borderId="0" xfId="0" applyNumberFormat="1"/>
    <xf numFmtId="1" fontId="0" fillId="0" borderId="1" xfId="1" applyNumberFormat="1" applyFont="1" applyFill="1" applyBorder="1" applyAlignment="1">
      <alignment horizontal="center"/>
    </xf>
    <xf numFmtId="1" fontId="0" fillId="0" borderId="0" xfId="1" applyNumberFormat="1" applyFont="1" applyBorder="1" applyAlignment="1">
      <alignment horizontal="center"/>
    </xf>
    <xf numFmtId="44" fontId="1" fillId="2" borderId="1" xfId="0" applyNumberFormat="1" applyFont="1" applyFill="1" applyBorder="1" applyAlignment="1">
      <alignment horizontal="center"/>
    </xf>
    <xf numFmtId="44" fontId="0" fillId="0" borderId="1" xfId="1" applyNumberFormat="1" applyFont="1" applyFill="1" applyBorder="1"/>
    <xf numFmtId="44" fontId="0" fillId="0" borderId="0" xfId="1" applyNumberFormat="1" applyFont="1"/>
    <xf numFmtId="44" fontId="0" fillId="0" borderId="0" xfId="1" applyNumberFormat="1" applyFont="1" applyFill="1" applyBorder="1"/>
    <xf numFmtId="14" fontId="1" fillId="0" borderId="0" xfId="0" applyNumberFormat="1" applyFont="1" applyAlignment="1">
      <alignment horizontal="center"/>
    </xf>
    <xf numFmtId="44" fontId="1" fillId="2" borderId="1" xfId="1" applyNumberFormat="1" applyFont="1" applyFill="1" applyBorder="1" applyAlignment="1">
      <alignment horizontal="center"/>
    </xf>
    <xf numFmtId="44" fontId="1" fillId="0" borderId="1" xfId="2" applyFont="1" applyBorder="1"/>
    <xf numFmtId="44" fontId="0" fillId="0" borderId="0" xfId="2" applyFont="1"/>
    <xf numFmtId="44" fontId="15" fillId="2" borderId="1" xfId="1" applyNumberFormat="1" applyFont="1" applyFill="1" applyBorder="1" applyAlignment="1">
      <alignment horizontal="center"/>
    </xf>
    <xf numFmtId="44" fontId="12" fillId="0" borderId="1" xfId="1" applyNumberFormat="1" applyFont="1" applyFill="1" applyBorder="1"/>
    <xf numFmtId="44" fontId="1" fillId="0" borderId="8" xfId="1" applyNumberFormat="1" applyFont="1" applyBorder="1"/>
    <xf numFmtId="44" fontId="0" fillId="0" borderId="1" xfId="0" applyNumberFormat="1" applyBorder="1"/>
    <xf numFmtId="44" fontId="0" fillId="0" borderId="4" xfId="0" applyNumberFormat="1" applyBorder="1"/>
    <xf numFmtId="1" fontId="0" fillId="0" borderId="4" xfId="1" applyNumberFormat="1" applyFont="1" applyBorder="1" applyAlignment="1">
      <alignment horizontal="center"/>
    </xf>
    <xf numFmtId="0" fontId="0" fillId="0" borderId="4" xfId="0" applyBorder="1"/>
    <xf numFmtId="1" fontId="0" fillId="0" borderId="4" xfId="0" applyNumberForma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1" fontId="2" fillId="0" borderId="1" xfId="3" applyNumberFormat="1" applyFont="1" applyBorder="1" applyAlignment="1">
      <alignment horizontal="center"/>
    </xf>
    <xf numFmtId="0" fontId="2" fillId="0" borderId="0" xfId="0" applyFont="1"/>
    <xf numFmtId="49" fontId="2" fillId="0" borderId="1" xfId="3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44" fontId="1" fillId="0" borderId="0" xfId="0" applyNumberFormat="1" applyFont="1" applyAlignment="1">
      <alignment horizontal="left"/>
    </xf>
    <xf numFmtId="1" fontId="2" fillId="0" borderId="1" xfId="1" applyNumberFormat="1" applyFont="1" applyBorder="1" applyAlignment="1">
      <alignment horizontal="center"/>
    </xf>
    <xf numFmtId="2" fontId="0" fillId="0" borderId="0" xfId="0" applyNumberFormat="1"/>
    <xf numFmtId="2" fontId="1" fillId="2" borderId="1" xfId="0" applyNumberFormat="1" applyFont="1" applyFill="1" applyBorder="1"/>
    <xf numFmtId="2" fontId="1" fillId="0" borderId="2" xfId="0" applyNumberFormat="1" applyFont="1" applyBorder="1" applyAlignment="1">
      <alignment horizontal="center"/>
    </xf>
    <xf numFmtId="0" fontId="12" fillId="0" borderId="0" xfId="0" applyFont="1"/>
    <xf numFmtId="0" fontId="2" fillId="0" borderId="0" xfId="3" applyFont="1" applyFill="1" applyAlignment="1">
      <alignment horizontal="center"/>
    </xf>
    <xf numFmtId="0" fontId="0" fillId="0" borderId="1" xfId="0" quotePrefix="1" applyBorder="1" applyAlignment="1">
      <alignment horizontal="center"/>
    </xf>
    <xf numFmtId="44" fontId="17" fillId="0" borderId="5" xfId="2" applyFont="1" applyBorder="1"/>
    <xf numFmtId="2" fontId="17" fillId="0" borderId="0" xfId="0" applyNumberFormat="1" applyFont="1"/>
    <xf numFmtId="44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center"/>
    </xf>
    <xf numFmtId="8" fontId="18" fillId="0" borderId="0" xfId="0" applyNumberFormat="1" applyFont="1"/>
    <xf numFmtId="44" fontId="1" fillId="0" borderId="11" xfId="2" applyFont="1" applyBorder="1"/>
    <xf numFmtId="14" fontId="1" fillId="0" borderId="4" xfId="0" applyNumberFormat="1" applyFont="1" applyBorder="1" applyAlignment="1">
      <alignment horizontal="right"/>
    </xf>
    <xf numFmtId="0" fontId="14" fillId="2" borderId="1" xfId="0" applyFont="1" applyFill="1" applyBorder="1" applyAlignment="1">
      <alignment horizontal="center"/>
    </xf>
    <xf numFmtId="1" fontId="2" fillId="0" borderId="4" xfId="1" applyNumberFormat="1" applyFont="1" applyBorder="1" applyAlignment="1">
      <alignment horizontal="center"/>
    </xf>
    <xf numFmtId="43" fontId="12" fillId="0" borderId="0" xfId="0" applyNumberFormat="1" applyFont="1"/>
    <xf numFmtId="1" fontId="2" fillId="0" borderId="11" xfId="3" applyNumberFormat="1" applyFont="1" applyFill="1" applyBorder="1" applyAlignment="1">
      <alignment horizontal="center"/>
    </xf>
    <xf numFmtId="0" fontId="2" fillId="0" borderId="11" xfId="3" applyFont="1" applyFill="1" applyBorder="1" applyAlignment="1">
      <alignment horizontal="center"/>
    </xf>
    <xf numFmtId="1" fontId="2" fillId="0" borderId="11" xfId="3" quotePrefix="1" applyNumberFormat="1" applyFont="1" applyFill="1" applyBorder="1" applyAlignment="1">
      <alignment horizontal="center"/>
    </xf>
    <xf numFmtId="166" fontId="2" fillId="0" borderId="11" xfId="0" applyNumberFormat="1" applyFont="1" applyBorder="1" applyAlignment="1">
      <alignment horizontal="center"/>
    </xf>
    <xf numFmtId="0" fontId="15" fillId="2" borderId="1" xfId="0" applyFont="1" applyFill="1" applyBorder="1" applyAlignment="1">
      <alignment horizontal="center"/>
    </xf>
    <xf numFmtId="44" fontId="12" fillId="0" borderId="1" xfId="0" applyNumberFormat="1" applyFont="1" applyBorder="1"/>
    <xf numFmtId="14" fontId="1" fillId="0" borderId="4" xfId="0" applyNumberFormat="1" applyFont="1" applyBorder="1" applyAlignment="1">
      <alignment horizontal="center"/>
    </xf>
    <xf numFmtId="44" fontId="0" fillId="0" borderId="0" xfId="2" applyFon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44" fontId="0" fillId="0" borderId="13" xfId="2" applyFont="1" applyFill="1" applyBorder="1" applyAlignment="1">
      <alignment horizontal="center"/>
    </xf>
    <xf numFmtId="44" fontId="1" fillId="0" borderId="0" xfId="1" applyNumberFormat="1" applyFont="1"/>
    <xf numFmtId="43" fontId="12" fillId="0" borderId="0" xfId="2" applyNumberFormat="1" applyFont="1" applyAlignment="1">
      <alignment horizontal="center"/>
    </xf>
    <xf numFmtId="43" fontId="12" fillId="0" borderId="0" xfId="0" applyNumberFormat="1" applyFont="1" applyAlignment="1">
      <alignment horizontal="center"/>
    </xf>
    <xf numFmtId="44" fontId="12" fillId="0" borderId="0" xfId="0" applyNumberFormat="1" applyFont="1" applyAlignment="1">
      <alignment horizontal="left"/>
    </xf>
    <xf numFmtId="44" fontId="0" fillId="0" borderId="14" xfId="1" applyNumberFormat="1" applyFont="1" applyBorder="1"/>
    <xf numFmtId="0" fontId="0" fillId="5" borderId="1" xfId="0" applyFill="1" applyBorder="1" applyAlignment="1">
      <alignment horizontal="center"/>
    </xf>
    <xf numFmtId="43" fontId="17" fillId="0" borderId="5" xfId="1" applyFont="1" applyBorder="1"/>
    <xf numFmtId="44" fontId="19" fillId="0" borderId="5" xfId="0" applyNumberFormat="1" applyFont="1" applyBorder="1"/>
    <xf numFmtId="0" fontId="2" fillId="0" borderId="0" xfId="0" applyFont="1" applyAlignment="1">
      <alignment horizontal="center"/>
    </xf>
    <xf numFmtId="1" fontId="14" fillId="0" borderId="4" xfId="0" applyNumberFormat="1" applyFont="1" applyBorder="1" applyAlignment="1">
      <alignment horizontal="right"/>
    </xf>
    <xf numFmtId="8" fontId="14" fillId="0" borderId="0" xfId="0" applyNumberFormat="1" applyFont="1" applyAlignment="1">
      <alignment horizontal="right"/>
    </xf>
    <xf numFmtId="0" fontId="2" fillId="0" borderId="1" xfId="3" applyFont="1" applyFill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1" fontId="14" fillId="0" borderId="1" xfId="1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2" fillId="0" borderId="1" xfId="3" applyFont="1" applyBorder="1" applyAlignment="1">
      <alignment horizontal="center"/>
    </xf>
    <xf numFmtId="1" fontId="14" fillId="0" borderId="4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44" fontId="2" fillId="0" borderId="13" xfId="2" applyFont="1" applyFill="1" applyBorder="1" applyAlignment="1">
      <alignment horizontal="center"/>
    </xf>
    <xf numFmtId="44" fontId="2" fillId="0" borderId="0" xfId="1" applyNumberFormat="1" applyFont="1"/>
    <xf numFmtId="0" fontId="1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8" fontId="4" fillId="0" borderId="0" xfId="0" applyNumberFormat="1" applyFont="1" applyAlignment="1">
      <alignment horizontal="center"/>
    </xf>
    <xf numFmtId="44" fontId="1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7" fontId="0" fillId="0" borderId="1" xfId="1" applyNumberFormat="1" applyFont="1" applyFill="1" applyBorder="1" applyAlignment="1">
      <alignment horizontal="center"/>
    </xf>
    <xf numFmtId="167" fontId="0" fillId="0" borderId="1" xfId="1" applyNumberFormat="1" applyFon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44" fontId="0" fillId="0" borderId="0" xfId="1" applyNumberFormat="1" applyFont="1" applyAlignment="1">
      <alignment horizontal="center"/>
    </xf>
    <xf numFmtId="44" fontId="0" fillId="0" borderId="14" xfId="1" applyNumberFormat="1" applyFont="1" applyBorder="1" applyAlignment="1">
      <alignment horizontal="center"/>
    </xf>
    <xf numFmtId="0" fontId="20" fillId="0" borderId="0" xfId="0" applyFont="1"/>
    <xf numFmtId="0" fontId="21" fillId="0" borderId="0" xfId="0" applyFont="1"/>
    <xf numFmtId="43" fontId="22" fillId="0" borderId="0" xfId="1" applyFont="1" applyFill="1" applyProtection="1">
      <protection locked="0"/>
    </xf>
    <xf numFmtId="43" fontId="22" fillId="0" borderId="0" xfId="1" applyFont="1"/>
    <xf numFmtId="43" fontId="22" fillId="0" borderId="0" xfId="1" applyFont="1" applyFill="1"/>
    <xf numFmtId="43" fontId="22" fillId="0" borderId="0" xfId="1" applyFont="1" applyProtection="1">
      <protection locked="0"/>
    </xf>
    <xf numFmtId="44" fontId="4" fillId="0" borderId="0" xfId="2" applyFont="1" applyAlignment="1">
      <alignment horizontal="center"/>
    </xf>
    <xf numFmtId="10" fontId="4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1" applyNumberFormat="1" applyFont="1" applyBorder="1" applyAlignment="1"/>
    <xf numFmtId="0" fontId="19" fillId="0" borderId="0" xfId="3" applyFont="1" applyAlignment="1">
      <alignment horizontal="left"/>
    </xf>
    <xf numFmtId="0" fontId="19" fillId="0" borderId="0" xfId="0" applyFont="1" applyAlignment="1">
      <alignment horizontal="left"/>
    </xf>
    <xf numFmtId="44" fontId="2" fillId="0" borderId="1" xfId="1" applyNumberFormat="1" applyFont="1" applyFill="1" applyBorder="1"/>
    <xf numFmtId="44" fontId="15" fillId="0" borderId="1" xfId="0" applyNumberFormat="1" applyFont="1" applyBorder="1"/>
    <xf numFmtId="0" fontId="0" fillId="0" borderId="0" xfId="0" applyAlignment="1">
      <alignment horizontal="right"/>
    </xf>
    <xf numFmtId="0" fontId="0" fillId="3" borderId="0" xfId="0" applyFill="1" applyProtection="1">
      <protection locked="0"/>
    </xf>
    <xf numFmtId="44" fontId="19" fillId="0" borderId="0" xfId="0" applyNumberFormat="1" applyFont="1"/>
    <xf numFmtId="9" fontId="2" fillId="0" borderId="1" xfId="6" applyFont="1" applyFill="1" applyBorder="1" applyAlignment="1">
      <alignment horizontal="center"/>
    </xf>
    <xf numFmtId="44" fontId="1" fillId="0" borderId="0" xfId="1" applyNumberFormat="1" applyFont="1" applyBorder="1" applyAlignment="1">
      <alignment horizontal="center"/>
    </xf>
    <xf numFmtId="44" fontId="0" fillId="0" borderId="0" xfId="0" applyNumberFormat="1" applyAlignment="1">
      <alignment horizontal="center"/>
    </xf>
    <xf numFmtId="2" fontId="1" fillId="0" borderId="4" xfId="0" applyNumberFormat="1" applyFont="1" applyBorder="1" applyAlignment="1">
      <alignment horizontal="center"/>
    </xf>
    <xf numFmtId="2" fontId="17" fillId="0" borderId="0" xfId="0" applyNumberFormat="1" applyFont="1" applyAlignment="1">
      <alignment horizontal="center"/>
    </xf>
    <xf numFmtId="44" fontId="12" fillId="0" borderId="0" xfId="0" applyNumberFormat="1" applyFont="1" applyAlignment="1">
      <alignment horizontal="center"/>
    </xf>
    <xf numFmtId="0" fontId="8" fillId="0" borderId="0" xfId="3" applyFill="1"/>
    <xf numFmtId="0" fontId="5" fillId="3" borderId="0" xfId="0" quotePrefix="1" applyFont="1" applyFill="1" applyAlignment="1" applyProtection="1">
      <alignment horizontal="left"/>
      <protection locked="0"/>
    </xf>
    <xf numFmtId="14" fontId="0" fillId="0" borderId="1" xfId="0" applyNumberFormat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6" fontId="2" fillId="0" borderId="11" xfId="0" quotePrefix="1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11" xfId="3" quotePrefix="1" applyFont="1" applyFill="1" applyBorder="1" applyAlignment="1">
      <alignment horizontal="center"/>
    </xf>
    <xf numFmtId="0" fontId="8" fillId="0" borderId="1" xfId="3" applyFill="1" applyBorder="1" applyAlignment="1">
      <alignment horizontal="center"/>
    </xf>
    <xf numFmtId="44" fontId="0" fillId="0" borderId="6" xfId="0" applyNumberFormat="1" applyBorder="1"/>
    <xf numFmtId="14" fontId="2" fillId="0" borderId="1" xfId="3" applyNumberFormat="1" applyFont="1" applyFill="1" applyBorder="1" applyAlignment="1">
      <alignment horizontal="center"/>
    </xf>
    <xf numFmtId="167" fontId="0" fillId="0" borderId="0" xfId="1" applyNumberFormat="1" applyFont="1" applyBorder="1" applyAlignment="1"/>
    <xf numFmtId="44" fontId="1" fillId="0" borderId="0" xfId="0" applyNumberFormat="1" applyFont="1" applyAlignment="1">
      <alignment horizontal="center"/>
    </xf>
    <xf numFmtId="44" fontId="2" fillId="0" borderId="0" xfId="0" applyNumberFormat="1" applyFont="1" applyAlignment="1">
      <alignment horizontal="center"/>
    </xf>
    <xf numFmtId="44" fontId="14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167" fontId="0" fillId="0" borderId="1" xfId="1" applyNumberFormat="1" applyFont="1" applyFill="1" applyBorder="1" applyAlignment="1"/>
    <xf numFmtId="0" fontId="13" fillId="0" borderId="1" xfId="0" applyFont="1" applyBorder="1" applyAlignment="1" applyProtection="1">
      <alignment horizontal="left" vertical="top"/>
      <protection locked="0"/>
    </xf>
    <xf numFmtId="14" fontId="1" fillId="0" borderId="6" xfId="0" applyNumberFormat="1" applyFont="1" applyBorder="1" applyAlignment="1">
      <alignment horizontal="center"/>
    </xf>
    <xf numFmtId="44" fontId="1" fillId="0" borderId="6" xfId="1" applyNumberFormat="1" applyFont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44" fontId="0" fillId="7" borderId="0" xfId="0" applyNumberFormat="1" applyFill="1"/>
    <xf numFmtId="0" fontId="0" fillId="0" borderId="14" xfId="0" applyBorder="1" applyAlignment="1">
      <alignment horizontal="center"/>
    </xf>
    <xf numFmtId="44" fontId="0" fillId="0" borderId="14" xfId="0" applyNumberFormat="1" applyBorder="1"/>
    <xf numFmtId="0" fontId="14" fillId="0" borderId="6" xfId="0" applyFont="1" applyBorder="1" applyAlignment="1">
      <alignment horizontal="center"/>
    </xf>
    <xf numFmtId="44" fontId="0" fillId="7" borderId="4" xfId="2" applyFont="1" applyFill="1" applyBorder="1"/>
    <xf numFmtId="44" fontId="0" fillId="7" borderId="0" xfId="2" applyFont="1" applyFill="1" applyBorder="1"/>
    <xf numFmtId="44" fontId="0" fillId="0" borderId="14" xfId="2" applyFont="1" applyBorder="1"/>
    <xf numFmtId="44" fontId="0" fillId="7" borderId="14" xfId="2" applyFont="1" applyFill="1" applyBorder="1"/>
    <xf numFmtId="0" fontId="0" fillId="0" borderId="14" xfId="0" applyBorder="1"/>
    <xf numFmtId="1" fontId="2" fillId="0" borderId="1" xfId="3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8" borderId="0" xfId="0" applyFont="1" applyFill="1"/>
    <xf numFmtId="0" fontId="1" fillId="8" borderId="0" xfId="0" applyFont="1" applyFill="1"/>
    <xf numFmtId="14" fontId="1" fillId="6" borderId="0" xfId="0" applyNumberFormat="1" applyFont="1" applyFill="1" applyAlignment="1">
      <alignment horizontal="center"/>
    </xf>
    <xf numFmtId="49" fontId="8" fillId="0" borderId="1" xfId="3" applyNumberFormat="1" applyFill="1" applyBorder="1" applyAlignment="1">
      <alignment horizontal="center"/>
    </xf>
    <xf numFmtId="1" fontId="2" fillId="0" borderId="1" xfId="1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8" fillId="0" borderId="11" xfId="3" applyFill="1" applyBorder="1" applyAlignment="1">
      <alignment horizontal="center"/>
    </xf>
    <xf numFmtId="1" fontId="8" fillId="0" borderId="11" xfId="3" applyNumberFormat="1" applyFill="1" applyBorder="1" applyAlignment="1">
      <alignment horizontal="center"/>
    </xf>
    <xf numFmtId="44" fontId="0" fillId="0" borderId="0" xfId="0" applyNumberFormat="1" applyAlignment="1">
      <alignment horizontal="left"/>
    </xf>
    <xf numFmtId="14" fontId="0" fillId="0" borderId="4" xfId="1" applyNumberFormat="1" applyFont="1" applyBorder="1" applyAlignment="1">
      <alignment horizontal="center"/>
    </xf>
    <xf numFmtId="44" fontId="14" fillId="0" borderId="0" xfId="0" applyNumberFormat="1" applyFont="1"/>
    <xf numFmtId="8" fontId="2" fillId="0" borderId="0" xfId="0" applyNumberFormat="1" applyFont="1"/>
    <xf numFmtId="44" fontId="0" fillId="0" borderId="0" xfId="2" applyFont="1" applyFill="1" applyAlignment="1">
      <alignment horizontal="center"/>
    </xf>
    <xf numFmtId="44" fontId="4" fillId="7" borderId="0" xfId="2" applyFont="1" applyFill="1" applyAlignment="1">
      <alignment horizontal="center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44" fontId="4" fillId="9" borderId="0" xfId="2" applyFont="1" applyFill="1" applyAlignment="1">
      <alignment horizontal="center"/>
    </xf>
    <xf numFmtId="44" fontId="0" fillId="0" borderId="1" xfId="1" applyNumberFormat="1" applyFont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9" xfId="0" applyBorder="1" applyAlignment="1">
      <alignment horizontal="center"/>
    </xf>
    <xf numFmtId="44" fontId="0" fillId="0" borderId="1" xfId="2" applyFont="1" applyFill="1" applyBorder="1" applyAlignment="1">
      <alignment horizontal="center"/>
    </xf>
    <xf numFmtId="0" fontId="2" fillId="0" borderId="0" xfId="0" applyFont="1" applyAlignment="1">
      <alignment horizontal="left"/>
    </xf>
    <xf numFmtId="44" fontId="16" fillId="0" borderId="0" xfId="0" applyNumberFormat="1" applyFont="1" applyAlignment="1">
      <alignment horizontal="center"/>
    </xf>
    <xf numFmtId="1" fontId="2" fillId="0" borderId="0" xfId="3" applyNumberFormat="1" applyFont="1" applyFill="1" applyBorder="1" applyAlignment="1">
      <alignment horizontal="center"/>
    </xf>
    <xf numFmtId="1" fontId="0" fillId="0" borderId="0" xfId="1" applyNumberFormat="1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44" fontId="0" fillId="0" borderId="14" xfId="2" applyFont="1" applyFill="1" applyBorder="1" applyAlignment="1">
      <alignment horizontal="center"/>
    </xf>
    <xf numFmtId="44" fontId="4" fillId="7" borderId="14" xfId="2" applyFont="1" applyFill="1" applyBorder="1" applyAlignment="1">
      <alignment horizontal="center"/>
    </xf>
    <xf numFmtId="44" fontId="0" fillId="0" borderId="0" xfId="2" applyFont="1" applyFill="1" applyBorder="1" applyAlignment="1">
      <alignment horizontal="center"/>
    </xf>
    <xf numFmtId="44" fontId="4" fillId="10" borderId="0" xfId="2" applyFont="1" applyFill="1" applyBorder="1" applyAlignment="1">
      <alignment horizontal="center"/>
    </xf>
    <xf numFmtId="166" fontId="8" fillId="0" borderId="11" xfId="3" applyNumberFormat="1" applyFill="1" applyBorder="1" applyAlignment="1">
      <alignment horizontal="center"/>
    </xf>
    <xf numFmtId="1" fontId="5" fillId="0" borderId="0" xfId="0" applyNumberFormat="1" applyFont="1"/>
    <xf numFmtId="1" fontId="5" fillId="0" borderId="0" xfId="0" applyNumberFormat="1" applyFont="1" applyAlignment="1">
      <alignment horizontal="center" wrapText="1"/>
    </xf>
    <xf numFmtId="2" fontId="1" fillId="2" borderId="1" xfId="0" applyNumberFormat="1" applyFont="1" applyFill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" fontId="8" fillId="0" borderId="11" xfId="3" quotePrefix="1" applyNumberFormat="1" applyFill="1" applyBorder="1" applyAlignment="1">
      <alignment horizontal="center"/>
    </xf>
    <xf numFmtId="0" fontId="8" fillId="0" borderId="0" xfId="3" applyFill="1" applyAlignment="1">
      <alignment horizontal="center"/>
    </xf>
    <xf numFmtId="0" fontId="1" fillId="6" borderId="0" xfId="0" applyFont="1" applyFill="1" applyAlignment="1">
      <alignment horizontal="center"/>
    </xf>
    <xf numFmtId="44" fontId="1" fillId="6" borderId="0" xfId="1" applyNumberFormat="1" applyFont="1" applyFill="1"/>
    <xf numFmtId="2" fontId="1" fillId="6" borderId="0" xfId="0" applyNumberFormat="1" applyFont="1" applyFill="1"/>
    <xf numFmtId="2" fontId="1" fillId="7" borderId="6" xfId="0" applyNumberFormat="1" applyFont="1" applyFill="1" applyBorder="1" applyAlignment="1">
      <alignment horizontal="center"/>
    </xf>
    <xf numFmtId="44" fontId="0" fillId="7" borderId="0" xfId="2" applyFont="1" applyFill="1" applyBorder="1" applyAlignment="1">
      <alignment horizontal="center"/>
    </xf>
    <xf numFmtId="44" fontId="0" fillId="7" borderId="14" xfId="2" applyFont="1" applyFill="1" applyBorder="1" applyAlignment="1">
      <alignment horizontal="center"/>
    </xf>
    <xf numFmtId="44" fontId="0" fillId="0" borderId="14" xfId="0" applyNumberFormat="1" applyBorder="1" applyAlignment="1">
      <alignment horizontal="center"/>
    </xf>
    <xf numFmtId="44" fontId="0" fillId="7" borderId="0" xfId="1" applyNumberFormat="1" applyFont="1" applyFill="1"/>
    <xf numFmtId="0" fontId="10" fillId="0" borderId="0" xfId="0" applyFont="1" applyAlignment="1">
      <alignment horizontal="right"/>
    </xf>
    <xf numFmtId="0" fontId="24" fillId="0" borderId="0" xfId="0" applyFont="1" applyAlignment="1">
      <alignment horizontal="center"/>
    </xf>
    <xf numFmtId="0" fontId="0" fillId="0" borderId="1" xfId="0" applyBorder="1" applyAlignment="1">
      <alignment horizontal="right"/>
    </xf>
    <xf numFmtId="14" fontId="0" fillId="0" borderId="1" xfId="0" quotePrefix="1" applyNumberFormat="1" applyBorder="1" applyAlignment="1">
      <alignment horizontal="center"/>
    </xf>
    <xf numFmtId="0" fontId="4" fillId="0" borderId="1" xfId="10" applyBorder="1" applyAlignment="1">
      <alignment horizontal="left"/>
    </xf>
    <xf numFmtId="0" fontId="0" fillId="0" borderId="1" xfId="0" applyBorder="1" applyAlignment="1">
      <alignment vertical="center"/>
    </xf>
    <xf numFmtId="169" fontId="0" fillId="0" borderId="0" xfId="6" applyNumberFormat="1" applyFont="1"/>
    <xf numFmtId="44" fontId="2" fillId="0" borderId="0" xfId="2" applyFont="1" applyFill="1" applyBorder="1" applyAlignment="1">
      <alignment horizontal="center"/>
    </xf>
    <xf numFmtId="43" fontId="12" fillId="0" borderId="0" xfId="1" applyFont="1" applyFill="1" applyBorder="1" applyAlignment="1">
      <alignment horizontal="center"/>
    </xf>
    <xf numFmtId="167" fontId="0" fillId="0" borderId="1" xfId="1" quotePrefix="1" applyNumberFormat="1" applyFont="1" applyFill="1" applyBorder="1" applyAlignment="1">
      <alignment horizontal="center"/>
    </xf>
    <xf numFmtId="0" fontId="0" fillId="0" borderId="1" xfId="1" applyNumberFormat="1" applyFont="1" applyFill="1" applyBorder="1" applyAlignment="1">
      <alignment horizontal="left"/>
    </xf>
    <xf numFmtId="0" fontId="13" fillId="0" borderId="1" xfId="0" applyFont="1" applyBorder="1" applyAlignment="1" applyProtection="1">
      <alignment horizontal="center" vertical="top" wrapText="1" readingOrder="1"/>
      <protection locked="0"/>
    </xf>
    <xf numFmtId="0" fontId="4" fillId="0" borderId="0" xfId="0" applyFont="1" applyAlignment="1">
      <alignment horizontal="right"/>
    </xf>
    <xf numFmtId="0" fontId="4" fillId="0" borderId="0" xfId="0" applyFont="1"/>
    <xf numFmtId="44" fontId="0" fillId="0" borderId="8" xfId="0" applyNumberFormat="1" applyBorder="1"/>
    <xf numFmtId="44" fontId="0" fillId="0" borderId="8" xfId="5" applyFont="1" applyBorder="1"/>
    <xf numFmtId="43" fontId="9" fillId="0" borderId="0" xfId="1" applyFont="1" applyBorder="1" applyProtection="1"/>
    <xf numFmtId="43" fontId="4" fillId="0" borderId="0" xfId="0" applyNumberFormat="1" applyFont="1"/>
    <xf numFmtId="0" fontId="11" fillId="0" borderId="0" xfId="0" applyFont="1" applyAlignment="1">
      <alignment horizontal="right"/>
    </xf>
    <xf numFmtId="44" fontId="11" fillId="12" borderId="8" xfId="5" applyFont="1" applyFill="1" applyBorder="1"/>
    <xf numFmtId="43" fontId="9" fillId="0" borderId="0" xfId="1" applyFont="1" applyProtection="1">
      <protection locked="0"/>
    </xf>
    <xf numFmtId="43" fontId="9" fillId="0" borderId="0" xfId="1" applyFont="1" applyBorder="1" applyProtection="1">
      <protection locked="0"/>
    </xf>
    <xf numFmtId="43" fontId="4" fillId="0" borderId="0" xfId="1" applyFont="1" applyBorder="1" applyProtection="1">
      <protection locked="0"/>
    </xf>
    <xf numFmtId="0" fontId="10" fillId="11" borderId="0" xfId="0" applyFont="1" applyFill="1"/>
    <xf numFmtId="0" fontId="0" fillId="11" borderId="0" xfId="0" applyFill="1"/>
    <xf numFmtId="44" fontId="0" fillId="11" borderId="0" xfId="0" applyNumberFormat="1" applyFill="1"/>
    <xf numFmtId="44" fontId="0" fillId="11" borderId="0" xfId="5" applyFont="1" applyFill="1"/>
    <xf numFmtId="43" fontId="4" fillId="0" borderId="0" xfId="1" applyFont="1" applyFill="1" applyBorder="1"/>
    <xf numFmtId="10" fontId="0" fillId="11" borderId="0" xfId="0" applyNumberFormat="1" applyFill="1"/>
    <xf numFmtId="43" fontId="12" fillId="0" borderId="0" xfId="1" applyFont="1" applyFill="1" applyBorder="1"/>
    <xf numFmtId="0" fontId="11" fillId="11" borderId="0" xfId="0" applyFont="1" applyFill="1"/>
    <xf numFmtId="0" fontId="1" fillId="11" borderId="0" xfId="0" applyFont="1" applyFill="1"/>
    <xf numFmtId="44" fontId="1" fillId="11" borderId="0" xfId="0" applyNumberFormat="1" applyFont="1" applyFill="1"/>
    <xf numFmtId="0" fontId="1" fillId="0" borderId="0" xfId="0" quotePrefix="1" applyFont="1"/>
    <xf numFmtId="0" fontId="1" fillId="3" borderId="15" xfId="0" applyFont="1" applyFill="1" applyBorder="1"/>
    <xf numFmtId="8" fontId="1" fillId="3" borderId="16" xfId="0" applyNumberFormat="1" applyFont="1" applyFill="1" applyBorder="1"/>
    <xf numFmtId="0" fontId="12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0" fontId="8" fillId="0" borderId="1" xfId="3" applyNumberFormat="1" applyFill="1" applyBorder="1" applyAlignment="1">
      <alignment horizontal="left"/>
    </xf>
    <xf numFmtId="1" fontId="1" fillId="2" borderId="1" xfId="4" applyNumberFormat="1" applyFont="1" applyFill="1" applyBorder="1" applyAlignment="1">
      <alignment horizontal="center"/>
    </xf>
    <xf numFmtId="0" fontId="0" fillId="0" borderId="1" xfId="1" applyNumberFormat="1" applyFont="1" applyFill="1" applyBorder="1" applyAlignment="1">
      <alignment horizontal="center"/>
    </xf>
    <xf numFmtId="0" fontId="8" fillId="0" borderId="1" xfId="3" applyNumberFormat="1" applyFill="1" applyBorder="1" applyAlignment="1"/>
    <xf numFmtId="1" fontId="1" fillId="0" borderId="1" xfId="0" applyNumberFormat="1" applyFont="1" applyBorder="1" applyAlignment="1">
      <alignment horizontal="center"/>
    </xf>
    <xf numFmtId="1" fontId="14" fillId="0" borderId="1" xfId="0" applyNumberFormat="1" applyFont="1" applyBorder="1" applyAlignment="1">
      <alignment horizontal="center"/>
    </xf>
    <xf numFmtId="0" fontId="0" fillId="0" borderId="12" xfId="0" applyBorder="1" applyAlignment="1">
      <alignment horizontal="left"/>
    </xf>
    <xf numFmtId="44" fontId="0" fillId="0" borderId="12" xfId="0" applyNumberFormat="1" applyBorder="1"/>
    <xf numFmtId="0" fontId="0" fillId="0" borderId="12" xfId="0" applyBorder="1"/>
    <xf numFmtId="0" fontId="0" fillId="0" borderId="12" xfId="0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" fontId="0" fillId="0" borderId="12" xfId="1" applyNumberFormat="1" applyFont="1" applyFill="1" applyBorder="1" applyAlignment="1">
      <alignment horizontal="center"/>
    </xf>
    <xf numFmtId="44" fontId="0" fillId="0" borderId="0" xfId="2" applyFont="1" applyFill="1"/>
    <xf numFmtId="0" fontId="2" fillId="0" borderId="6" xfId="0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44" fontId="0" fillId="0" borderId="6" xfId="2" applyFont="1" applyBorder="1" applyAlignment="1"/>
    <xf numFmtId="44" fontId="2" fillId="0" borderId="0" xfId="2" applyFont="1" applyFill="1" applyAlignment="1">
      <alignment horizontal="center"/>
    </xf>
    <xf numFmtId="44" fontId="0" fillId="0" borderId="0" xfId="2" applyFont="1" applyFill="1" applyBorder="1" applyAlignment="1"/>
    <xf numFmtId="44" fontId="2" fillId="0" borderId="14" xfId="2" applyFont="1" applyFill="1" applyBorder="1" applyAlignment="1">
      <alignment horizontal="center"/>
    </xf>
    <xf numFmtId="44" fontId="0" fillId="0" borderId="14" xfId="2" applyFont="1" applyFill="1" applyBorder="1" applyAlignment="1"/>
    <xf numFmtId="49" fontId="2" fillId="0" borderId="1" xfId="3" applyNumberFormat="1" applyFont="1" applyFill="1" applyBorder="1" applyAlignment="1">
      <alignment horizontal="center"/>
    </xf>
    <xf numFmtId="0" fontId="2" fillId="0" borderId="1" xfId="3" applyNumberFormat="1" applyFont="1" applyFill="1" applyBorder="1" applyAlignment="1">
      <alignment horizontal="center"/>
    </xf>
    <xf numFmtId="44" fontId="0" fillId="0" borderId="14" xfId="1" applyNumberFormat="1" applyFont="1" applyFill="1" applyBorder="1"/>
    <xf numFmtId="0" fontId="4" fillId="0" borderId="0" xfId="0" applyFont="1" applyAlignment="1">
      <alignment horizontal="center"/>
    </xf>
    <xf numFmtId="0" fontId="0" fillId="0" borderId="14" xfId="0" applyBorder="1" applyAlignment="1">
      <alignment horizontal="right"/>
    </xf>
    <xf numFmtId="0" fontId="1" fillId="0" borderId="4" xfId="0" applyFont="1" applyBorder="1" applyAlignment="1">
      <alignment horizontal="center"/>
    </xf>
    <xf numFmtId="1" fontId="1" fillId="14" borderId="1" xfId="0" applyNumberFormat="1" applyFont="1" applyFill="1" applyBorder="1" applyAlignment="1">
      <alignment horizontal="center"/>
    </xf>
    <xf numFmtId="0" fontId="14" fillId="14" borderId="1" xfId="0" applyFont="1" applyFill="1" applyBorder="1" applyAlignment="1">
      <alignment horizontal="center"/>
    </xf>
    <xf numFmtId="14" fontId="1" fillId="14" borderId="1" xfId="0" applyNumberFormat="1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44" fontId="1" fillId="14" borderId="1" xfId="0" applyNumberFormat="1" applyFont="1" applyFill="1" applyBorder="1" applyAlignment="1">
      <alignment horizontal="center"/>
    </xf>
    <xf numFmtId="0" fontId="1" fillId="14" borderId="1" xfId="0" applyFont="1" applyFill="1" applyBorder="1"/>
    <xf numFmtId="0" fontId="14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44" fontId="1" fillId="14" borderId="13" xfId="0" applyNumberFormat="1" applyFont="1" applyFill="1" applyBorder="1" applyAlignment="1">
      <alignment horizontal="center"/>
    </xf>
    <xf numFmtId="44" fontId="1" fillId="0" borderId="6" xfId="0" applyNumberFormat="1" applyFont="1" applyBorder="1" applyAlignment="1">
      <alignment horizontal="center"/>
    </xf>
    <xf numFmtId="0" fontId="26" fillId="4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" fontId="1" fillId="15" borderId="1" xfId="0" applyNumberFormat="1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14" fontId="1" fillId="15" borderId="1" xfId="0" applyNumberFormat="1" applyFont="1" applyFill="1" applyBorder="1" applyAlignment="1">
      <alignment horizontal="center"/>
    </xf>
    <xf numFmtId="44" fontId="1" fillId="15" borderId="1" xfId="1" applyNumberFormat="1" applyFont="1" applyFill="1" applyBorder="1" applyAlignment="1">
      <alignment horizontal="center"/>
    </xf>
    <xf numFmtId="44" fontId="26" fillId="4" borderId="1" xfId="1" applyNumberFormat="1" applyFont="1" applyFill="1" applyBorder="1" applyAlignment="1">
      <alignment horizontal="center"/>
    </xf>
    <xf numFmtId="2" fontId="1" fillId="15" borderId="1" xfId="0" applyNumberFormat="1" applyFont="1" applyFill="1" applyBorder="1" applyAlignment="1">
      <alignment horizontal="center"/>
    </xf>
    <xf numFmtId="44" fontId="17" fillId="0" borderId="0" xfId="2" applyFont="1" applyBorder="1"/>
    <xf numFmtId="44" fontId="1" fillId="14" borderId="1" xfId="1" applyNumberFormat="1" applyFont="1" applyFill="1" applyBorder="1" applyAlignment="1">
      <alignment horizontal="center"/>
    </xf>
    <xf numFmtId="2" fontId="1" fillId="14" borderId="1" xfId="0" applyNumberFormat="1" applyFont="1" applyFill="1" applyBorder="1"/>
    <xf numFmtId="0" fontId="1" fillId="14" borderId="1" xfId="0" applyFont="1" applyFill="1" applyBorder="1" applyAlignment="1">
      <alignment horizontal="left"/>
    </xf>
    <xf numFmtId="44" fontId="19" fillId="0" borderId="0" xfId="2" applyFont="1" applyBorder="1"/>
    <xf numFmtId="0" fontId="8" fillId="0" borderId="1" xfId="3" applyFill="1" applyBorder="1"/>
    <xf numFmtId="44" fontId="12" fillId="0" borderId="12" xfId="0" applyNumberFormat="1" applyFont="1" applyBorder="1"/>
    <xf numFmtId="44" fontId="1" fillId="0" borderId="6" xfId="0" applyNumberFormat="1" applyFont="1" applyBorder="1"/>
    <xf numFmtId="43" fontId="17" fillId="0" borderId="0" xfId="1" applyFont="1" applyBorder="1"/>
    <xf numFmtId="10" fontId="0" fillId="0" borderId="0" xfId="6" applyNumberFormat="1" applyFont="1"/>
    <xf numFmtId="0" fontId="5" fillId="3" borderId="0" xfId="0" applyFont="1" applyFill="1"/>
    <xf numFmtId="14" fontId="4" fillId="3" borderId="0" xfId="0" applyNumberFormat="1" applyFont="1" applyFill="1" applyAlignment="1">
      <alignment horizontal="left"/>
    </xf>
    <xf numFmtId="0" fontId="4" fillId="3" borderId="0" xfId="0" applyFont="1" applyFill="1" applyProtection="1">
      <protection locked="0"/>
    </xf>
    <xf numFmtId="0" fontId="4" fillId="3" borderId="0" xfId="0" applyFont="1" applyFill="1"/>
    <xf numFmtId="43" fontId="4" fillId="3" borderId="0" xfId="1" applyFont="1" applyFill="1" applyProtection="1">
      <protection locked="0"/>
    </xf>
    <xf numFmtId="43" fontId="4" fillId="3" borderId="0" xfId="1" applyFont="1" applyFill="1"/>
    <xf numFmtId="44" fontId="4" fillId="0" borderId="0" xfId="2" applyFont="1"/>
    <xf numFmtId="0" fontId="4" fillId="0" borderId="0" xfId="0" applyFont="1" applyProtection="1">
      <protection locked="0"/>
    </xf>
    <xf numFmtId="43" fontId="1" fillId="0" borderId="5" xfId="1" applyFont="1" applyBorder="1"/>
    <xf numFmtId="43" fontId="4" fillId="0" borderId="5" xfId="1" applyFont="1" applyBorder="1"/>
    <xf numFmtId="0" fontId="4" fillId="0" borderId="0" xfId="0" applyFont="1" applyAlignment="1" applyProtection="1">
      <alignment horizontal="right"/>
      <protection locked="0"/>
    </xf>
    <xf numFmtId="0" fontId="17" fillId="0" borderId="0" xfId="0" applyFont="1"/>
    <xf numFmtId="43" fontId="4" fillId="0" borderId="0" xfId="1" applyFont="1" applyBorder="1"/>
    <xf numFmtId="43" fontId="4" fillId="0" borderId="0" xfId="1" applyFont="1"/>
    <xf numFmtId="43" fontId="4" fillId="0" borderId="0" xfId="1" applyFont="1" applyFill="1"/>
    <xf numFmtId="43" fontId="9" fillId="0" borderId="0" xfId="1" applyFont="1" applyFill="1" applyBorder="1" applyProtection="1">
      <protection locked="0"/>
    </xf>
    <xf numFmtId="43" fontId="4" fillId="0" borderId="0" xfId="1" applyFont="1" applyProtection="1">
      <protection locked="0"/>
    </xf>
    <xf numFmtId="44" fontId="1" fillId="0" borderId="5" xfId="2" applyFont="1" applyBorder="1"/>
    <xf numFmtId="43" fontId="9" fillId="0" borderId="5" xfId="1" applyFont="1" applyBorder="1" applyProtection="1"/>
    <xf numFmtId="165" fontId="4" fillId="0" borderId="0" xfId="0" applyNumberFormat="1" applyFont="1"/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1" fillId="16" borderId="1" xfId="0" applyFont="1" applyFill="1" applyBorder="1" applyAlignment="1">
      <alignment horizontal="left"/>
    </xf>
    <xf numFmtId="0" fontId="5" fillId="17" borderId="0" xfId="0" applyFont="1" applyFill="1"/>
    <xf numFmtId="0" fontId="27" fillId="17" borderId="0" xfId="0" applyFont="1" applyFill="1"/>
    <xf numFmtId="0" fontId="21" fillId="0" borderId="2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22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9" xfId="0" applyFont="1" applyBorder="1"/>
    <xf numFmtId="0" fontId="4" fillId="0" borderId="20" xfId="0" applyFont="1" applyBorder="1"/>
    <xf numFmtId="0" fontId="4" fillId="0" borderId="20" xfId="0" applyFont="1" applyBorder="1" applyAlignment="1">
      <alignment horizontal="center"/>
    </xf>
    <xf numFmtId="0" fontId="4" fillId="0" borderId="24" xfId="0" applyFont="1" applyBorder="1"/>
    <xf numFmtId="0" fontId="4" fillId="0" borderId="25" xfId="0" applyFont="1" applyBorder="1" applyAlignment="1">
      <alignment horizontal="center"/>
    </xf>
    <xf numFmtId="10" fontId="4" fillId="0" borderId="20" xfId="6" applyNumberFormat="1" applyFont="1" applyBorder="1" applyAlignment="1">
      <alignment horizontal="center"/>
    </xf>
    <xf numFmtId="0" fontId="1" fillId="0" borderId="14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17" borderId="17" xfId="0" applyFont="1" applyFill="1" applyBorder="1"/>
    <xf numFmtId="14" fontId="1" fillId="0" borderId="18" xfId="0" applyNumberFormat="1" applyFont="1" applyBorder="1" applyAlignment="1">
      <alignment horizontal="center"/>
    </xf>
    <xf numFmtId="0" fontId="1" fillId="17" borderId="21" xfId="0" applyFont="1" applyFill="1" applyBorder="1"/>
    <xf numFmtId="14" fontId="1" fillId="0" borderId="22" xfId="0" applyNumberFormat="1" applyFont="1" applyBorder="1" applyAlignment="1">
      <alignment horizontal="center"/>
    </xf>
    <xf numFmtId="0" fontId="0" fillId="0" borderId="17" xfId="0" applyBorder="1"/>
    <xf numFmtId="0" fontId="0" fillId="0" borderId="18" xfId="0" applyBorder="1" applyAlignment="1">
      <alignment horizontal="center"/>
    </xf>
    <xf numFmtId="0" fontId="0" fillId="0" borderId="19" xfId="0" applyBorder="1"/>
    <xf numFmtId="0" fontId="0" fillId="0" borderId="20" xfId="0" applyBorder="1" applyAlignment="1">
      <alignment horizontal="center"/>
    </xf>
    <xf numFmtId="0" fontId="1" fillId="0" borderId="7" xfId="0" applyFont="1" applyBorder="1"/>
    <xf numFmtId="9" fontId="1" fillId="0" borderId="27" xfId="6" applyFont="1" applyBorder="1" applyAlignment="1">
      <alignment horizontal="center"/>
    </xf>
    <xf numFmtId="1" fontId="5" fillId="3" borderId="0" xfId="0" applyNumberFormat="1" applyFont="1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12" fillId="3" borderId="0" xfId="0" applyFont="1" applyFill="1"/>
    <xf numFmtId="0" fontId="15" fillId="3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44" fontId="11" fillId="3" borderId="1" xfId="5" applyFont="1" applyFill="1" applyBorder="1" applyAlignment="1">
      <alignment horizontal="center" wrapText="1"/>
    </xf>
    <xf numFmtId="44" fontId="11" fillId="3" borderId="1" xfId="5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5" fillId="3" borderId="0" xfId="0" applyFont="1" applyFill="1"/>
    <xf numFmtId="0" fontId="1" fillId="3" borderId="0" xfId="0" applyFont="1" applyFill="1"/>
    <xf numFmtId="0" fontId="2" fillId="3" borderId="1" xfId="3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44" fontId="0" fillId="3" borderId="1" xfId="0" applyNumberFormat="1" applyFill="1" applyBorder="1"/>
    <xf numFmtId="43" fontId="12" fillId="3" borderId="0" xfId="0" applyNumberFormat="1" applyFont="1" applyFill="1"/>
    <xf numFmtId="44" fontId="12" fillId="3" borderId="0" xfId="0" applyNumberFormat="1" applyFont="1" applyFill="1"/>
    <xf numFmtId="43" fontId="0" fillId="3" borderId="0" xfId="0" applyNumberFormat="1" applyFill="1"/>
    <xf numFmtId="44" fontId="1" fillId="3" borderId="8" xfId="1" applyNumberFormat="1" applyFont="1" applyFill="1" applyBorder="1"/>
    <xf numFmtId="44" fontId="19" fillId="3" borderId="5" xfId="0" applyNumberFormat="1" applyFont="1" applyFill="1" applyBorder="1"/>
    <xf numFmtId="44" fontId="0" fillId="3" borderId="0" xfId="0" applyNumberFormat="1" applyFill="1"/>
    <xf numFmtId="44" fontId="17" fillId="3" borderId="0" xfId="0" applyNumberFormat="1" applyFont="1" applyFill="1"/>
    <xf numFmtId="1" fontId="5" fillId="3" borderId="0" xfId="0" applyNumberFormat="1" applyFont="1" applyFill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44" fontId="11" fillId="3" borderId="1" xfId="7" applyFont="1" applyFill="1" applyBorder="1" applyAlignment="1">
      <alignment horizontal="center"/>
    </xf>
    <xf numFmtId="44" fontId="1" fillId="3" borderId="1" xfId="0" applyNumberFormat="1" applyFont="1" applyFill="1" applyBorder="1"/>
    <xf numFmtId="44" fontId="15" fillId="3" borderId="5" xfId="0" applyNumberFormat="1" applyFont="1" applyFill="1" applyBorder="1"/>
    <xf numFmtId="44" fontId="26" fillId="14" borderId="1" xfId="1" applyNumberFormat="1" applyFont="1" applyFill="1" applyBorder="1" applyAlignment="1">
      <alignment horizontal="center"/>
    </xf>
    <xf numFmtId="0" fontId="1" fillId="14" borderId="0" xfId="0" applyFont="1" applyFill="1"/>
    <xf numFmtId="0" fontId="1" fillId="13" borderId="17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13" borderId="18" xfId="0" applyFont="1" applyFill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1" fillId="18" borderId="17" xfId="0" applyFont="1" applyFill="1" applyBorder="1" applyAlignment="1">
      <alignment horizontal="center"/>
    </xf>
    <xf numFmtId="0" fontId="1" fillId="18" borderId="23" xfId="0" applyFont="1" applyFill="1" applyBorder="1" applyAlignment="1">
      <alignment horizontal="center"/>
    </xf>
    <xf numFmtId="0" fontId="1" fillId="18" borderId="18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1" fillId="18" borderId="26" xfId="0" applyFont="1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/>
    </xf>
    <xf numFmtId="0" fontId="1" fillId="13" borderId="26" xfId="0" applyFont="1" applyFill="1" applyBorder="1" applyAlignment="1">
      <alignment horizontal="center"/>
    </xf>
    <xf numFmtId="0" fontId="1" fillId="13" borderId="27" xfId="0" applyFont="1" applyFill="1" applyBorder="1" applyAlignment="1">
      <alignment horizontal="center"/>
    </xf>
    <xf numFmtId="2" fontId="1" fillId="14" borderId="1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" fontId="5" fillId="0" borderId="0" xfId="0" applyNumberFormat="1" applyFont="1" applyAlignment="1">
      <alignment horizontal="center"/>
    </xf>
    <xf numFmtId="0" fontId="25" fillId="13" borderId="0" xfId="0" applyFont="1" applyFill="1" applyAlignment="1">
      <alignment horizontal="center"/>
    </xf>
    <xf numFmtId="0" fontId="0" fillId="0" borderId="10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3" fillId="13" borderId="0" xfId="0" applyFont="1" applyFill="1" applyAlignment="1">
      <alignment horizontal="center"/>
    </xf>
    <xf numFmtId="0" fontId="5" fillId="19" borderId="0" xfId="0" quotePrefix="1" applyFont="1" applyFill="1" applyAlignment="1" applyProtection="1">
      <alignment horizontal="left"/>
      <protection locked="0"/>
    </xf>
    <xf numFmtId="0" fontId="3" fillId="3" borderId="0" xfId="0" applyFont="1" applyFill="1" applyAlignment="1" applyProtection="1">
      <alignment horizontal="left"/>
      <protection locked="0"/>
    </xf>
    <xf numFmtId="14" fontId="5" fillId="3" borderId="0" xfId="0" quotePrefix="1" applyNumberFormat="1" applyFont="1" applyFill="1" applyAlignment="1" applyProtection="1">
      <alignment horizontal="left"/>
      <protection locked="0"/>
    </xf>
  </cellXfs>
  <cellStyles count="11">
    <cellStyle name="Comma" xfId="1" builtinId="3"/>
    <cellStyle name="Comma 3" xfId="9" xr:uid="{A5E5479C-41CF-4081-AF93-5E44D4FC9904}"/>
    <cellStyle name="Currency" xfId="2" builtinId="4"/>
    <cellStyle name="Currency 2" xfId="5" xr:uid="{00000000-0005-0000-0000-000002000000}"/>
    <cellStyle name="Currency 4" xfId="7" xr:uid="{00000000-0005-0000-0000-000003000000}"/>
    <cellStyle name="Hyperlink" xfId="3" builtinId="8"/>
    <cellStyle name="Hyperlink 2" xfId="8" xr:uid="{DFDEDEF1-2BA5-4548-9D76-F9A456355B20}"/>
    <cellStyle name="Normal" xfId="0" builtinId="0"/>
    <cellStyle name="Normal 2" xfId="4" xr:uid="{00000000-0005-0000-0000-000007000000}"/>
    <cellStyle name="Normal 4" xfId="10" xr:uid="{5B9807C6-3B95-4EE2-B2D7-C842B17A4994}"/>
    <cellStyle name="Percent" xfId="6" builtinId="5"/>
  </cellStyles>
  <dxfs count="19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mruColors>
      <color rgb="FFA7FFC4"/>
      <color rgb="FFFFCCFF"/>
      <color rgb="FFB1A0C7"/>
      <color rgb="FFFFFFFF"/>
      <color rgb="FFDA9694"/>
      <color rgb="FF0000FF"/>
      <color rgb="FFD0DFAF"/>
      <color rgb="FFFFE9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printerSettings" Target="../printerSettings/printerSettings13.bin"/><Relationship Id="rId1" Type="http://schemas.openxmlformats.org/officeDocument/2006/relationships/printerSettings" Target="../printerSettings/printerSettings1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O66"/>
  <sheetViews>
    <sheetView zoomScaleNormal="100" workbookViewId="0">
      <selection activeCell="C10" sqref="C10"/>
    </sheetView>
  </sheetViews>
  <sheetFormatPr defaultColWidth="9.109375" defaultRowHeight="14.4" x14ac:dyDescent="0.3"/>
  <cols>
    <col min="1" max="1" width="2.88671875" style="126" customWidth="1"/>
    <col min="2" max="2" width="27.109375" style="126" customWidth="1"/>
    <col min="3" max="3" width="47" style="126" customWidth="1"/>
    <col min="4" max="6" width="12.5546875" style="126" bestFit="1" customWidth="1"/>
    <col min="7" max="7" width="12.109375" style="126" bestFit="1" customWidth="1"/>
    <col min="8" max="8" width="12.5546875" style="126" bestFit="1" customWidth="1"/>
    <col min="9" max="9" width="12.44140625" style="126" customWidth="1"/>
    <col min="10" max="10" width="20.88671875" style="126" bestFit="1" customWidth="1"/>
    <col min="11" max="11" width="13.88671875" style="126" bestFit="1" customWidth="1"/>
    <col min="12" max="12" width="1.33203125" style="126" customWidth="1"/>
    <col min="13" max="13" width="13.88671875" style="126" customWidth="1"/>
    <col min="14" max="14" width="14.33203125" style="126" bestFit="1" customWidth="1"/>
    <col min="15" max="15" width="11.109375" style="126" bestFit="1" customWidth="1"/>
    <col min="16" max="16384" width="9.109375" style="126"/>
  </cols>
  <sheetData>
    <row r="1" spans="1:15" s="125" customFormat="1" ht="18" x14ac:dyDescent="0.35">
      <c r="A1" s="416" t="s">
        <v>245</v>
      </c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16"/>
    </row>
    <row r="2" spans="1:15" s="125" customFormat="1" ht="18" x14ac:dyDescent="0.35">
      <c r="A2" s="416" t="s">
        <v>1</v>
      </c>
      <c r="B2" s="416"/>
      <c r="C2" s="416"/>
      <c r="D2" s="416"/>
      <c r="E2" s="416"/>
      <c r="F2" s="416"/>
      <c r="G2" s="416"/>
      <c r="H2" s="416"/>
      <c r="I2" s="416"/>
      <c r="J2" s="416"/>
      <c r="K2" s="416"/>
      <c r="L2" s="416"/>
      <c r="M2" s="416"/>
      <c r="N2" s="416"/>
    </row>
    <row r="4" spans="1:15" ht="18" x14ac:dyDescent="0.35">
      <c r="A4" s="241"/>
      <c r="B4" s="240" t="s">
        <v>2</v>
      </c>
      <c r="C4" s="322"/>
      <c r="D4" s="241"/>
      <c r="E4" s="241"/>
      <c r="F4" s="356" t="s">
        <v>5</v>
      </c>
      <c r="G4" s="357" t="s">
        <v>6</v>
      </c>
      <c r="H4" s="241"/>
      <c r="I4" s="241"/>
      <c r="J4" s="241"/>
      <c r="K4" s="241"/>
      <c r="L4" s="241"/>
      <c r="M4" s="241"/>
      <c r="N4" s="241"/>
    </row>
    <row r="5" spans="1:15" ht="15.6" x14ac:dyDescent="0.3">
      <c r="A5" s="241"/>
      <c r="B5" s="240" t="s">
        <v>3</v>
      </c>
      <c r="C5" s="151"/>
      <c r="D5" s="241"/>
      <c r="E5" s="241"/>
      <c r="F5" s="241"/>
      <c r="G5" s="241"/>
      <c r="J5" s="241"/>
      <c r="K5" s="241"/>
      <c r="L5" s="241"/>
      <c r="M5" s="241"/>
      <c r="N5" s="241"/>
    </row>
    <row r="6" spans="1:15" ht="15.6" x14ac:dyDescent="0.3">
      <c r="A6" s="241"/>
      <c r="B6" s="240"/>
      <c r="C6" s="434"/>
      <c r="D6" s="241"/>
      <c r="E6" s="241"/>
      <c r="J6" s="241"/>
      <c r="K6" s="241"/>
      <c r="L6" s="241"/>
      <c r="M6" s="241"/>
      <c r="N6" s="241"/>
    </row>
    <row r="7" spans="1:15" ht="15.6" x14ac:dyDescent="0.3">
      <c r="A7" s="241"/>
      <c r="B7" s="240" t="s">
        <v>302</v>
      </c>
      <c r="C7" s="151"/>
      <c r="D7" s="241"/>
      <c r="E7" s="241"/>
      <c r="J7" s="241"/>
      <c r="K7" s="241"/>
      <c r="L7" s="241"/>
      <c r="M7" s="241"/>
      <c r="N7" s="241"/>
    </row>
    <row r="8" spans="1:15" ht="15.6" x14ac:dyDescent="0.3">
      <c r="A8" s="241"/>
      <c r="B8" s="240" t="s">
        <v>303</v>
      </c>
      <c r="C8" s="151"/>
      <c r="D8" s="241"/>
      <c r="E8" s="241"/>
      <c r="L8" s="241"/>
      <c r="M8" s="71"/>
      <c r="N8" s="241"/>
    </row>
    <row r="9" spans="1:15" ht="15.6" x14ac:dyDescent="0.3">
      <c r="A9" s="241"/>
      <c r="B9" s="240" t="s">
        <v>304</v>
      </c>
      <c r="C9" s="436">
        <v>46068</v>
      </c>
      <c r="D9" s="241"/>
      <c r="E9" s="241"/>
      <c r="G9" s="417" t="s">
        <v>9</v>
      </c>
      <c r="H9" s="417"/>
      <c r="I9" s="417"/>
      <c r="J9" s="417"/>
      <c r="K9" s="241"/>
      <c r="L9" s="241"/>
      <c r="M9" s="241"/>
      <c r="N9" s="241"/>
    </row>
    <row r="10" spans="1:15" ht="18" x14ac:dyDescent="0.35">
      <c r="A10" s="241"/>
      <c r="B10" s="240" t="s">
        <v>305</v>
      </c>
      <c r="C10" s="435"/>
      <c r="D10" s="241"/>
      <c r="E10" s="241"/>
      <c r="G10" s="241"/>
      <c r="H10" s="115" t="s">
        <v>11</v>
      </c>
      <c r="I10" s="115" t="s">
        <v>12</v>
      </c>
      <c r="J10" s="115" t="s">
        <v>13</v>
      </c>
      <c r="K10" s="241"/>
      <c r="L10" s="241"/>
      <c r="M10" s="241"/>
      <c r="N10" s="241"/>
      <c r="O10" s="241"/>
    </row>
    <row r="11" spans="1:15" x14ac:dyDescent="0.3">
      <c r="A11" s="241"/>
      <c r="B11" s="240" t="s">
        <v>306</v>
      </c>
      <c r="C11" s="323"/>
      <c r="D11" s="241"/>
      <c r="E11" s="241"/>
      <c r="G11" s="240"/>
      <c r="H11" s="326"/>
      <c r="I11" s="327"/>
      <c r="J11" s="328">
        <v>0</v>
      </c>
      <c r="K11" s="241" t="s">
        <v>16</v>
      </c>
      <c r="L11" s="241"/>
      <c r="M11" s="241"/>
      <c r="N11" s="241"/>
      <c r="O11" s="241"/>
    </row>
    <row r="12" spans="1:15" x14ac:dyDescent="0.3">
      <c r="A12" s="241"/>
      <c r="B12" s="240"/>
      <c r="C12" s="241"/>
      <c r="D12" s="241"/>
      <c r="E12" s="241"/>
      <c r="G12" s="329"/>
      <c r="H12" s="326"/>
      <c r="I12" s="327"/>
      <c r="J12" s="328">
        <v>0</v>
      </c>
      <c r="K12" s="241" t="s">
        <v>19</v>
      </c>
      <c r="L12" s="241"/>
      <c r="M12" s="241"/>
      <c r="N12" s="241"/>
      <c r="O12" s="241"/>
    </row>
    <row r="13" spans="1:15" ht="15" thickBot="1" x14ac:dyDescent="0.35">
      <c r="A13" s="241"/>
      <c r="B13" s="240" t="s">
        <v>7</v>
      </c>
      <c r="C13" s="142"/>
      <c r="D13" s="241"/>
      <c r="E13" s="241"/>
      <c r="G13" s="240" t="s">
        <v>21</v>
      </c>
      <c r="H13" s="330">
        <f>SUM(H11:H12)</f>
        <v>0</v>
      </c>
      <c r="I13" s="331">
        <f>SUM(I11:I12)</f>
        <v>0</v>
      </c>
      <c r="J13" s="331"/>
      <c r="K13" s="241"/>
      <c r="L13" s="241"/>
      <c r="M13" s="241"/>
      <c r="N13" s="241"/>
      <c r="O13" s="241"/>
    </row>
    <row r="14" spans="1:15" ht="15" thickTop="1" x14ac:dyDescent="0.3">
      <c r="A14" s="241"/>
      <c r="B14" s="240" t="s">
        <v>8</v>
      </c>
      <c r="C14" s="324"/>
      <c r="D14" s="241"/>
      <c r="E14" s="241"/>
      <c r="F14" s="241"/>
      <c r="G14" s="241"/>
      <c r="H14" s="241"/>
      <c r="I14" s="241"/>
      <c r="J14" s="241"/>
      <c r="K14" s="241"/>
      <c r="L14" s="241"/>
      <c r="M14" s="241"/>
      <c r="N14" s="241"/>
      <c r="O14" s="241"/>
    </row>
    <row r="15" spans="1:15" x14ac:dyDescent="0.3">
      <c r="A15" s="241"/>
      <c r="B15" s="240" t="s">
        <v>10</v>
      </c>
      <c r="C15" s="325"/>
      <c r="D15" s="241"/>
      <c r="E15" s="241"/>
      <c r="F15" s="241"/>
      <c r="G15" s="15" t="s">
        <v>27</v>
      </c>
      <c r="H15" s="241"/>
      <c r="I15" s="241"/>
      <c r="J15" s="15" t="s">
        <v>28</v>
      </c>
      <c r="K15" s="333"/>
      <c r="L15" s="241"/>
      <c r="M15" s="115" t="s">
        <v>29</v>
      </c>
      <c r="N15" s="241"/>
      <c r="O15" s="83"/>
    </row>
    <row r="16" spans="1:15" ht="16.2" x14ac:dyDescent="0.45">
      <c r="A16" s="241"/>
      <c r="B16" s="240" t="s">
        <v>14</v>
      </c>
      <c r="C16" s="142"/>
      <c r="D16" t="s">
        <v>15</v>
      </c>
      <c r="E16" s="241"/>
      <c r="F16" s="241"/>
      <c r="G16" s="240" t="s">
        <v>33</v>
      </c>
      <c r="H16" s="127">
        <f>'AP (POs + Reimbursement)'!F92</f>
        <v>0</v>
      </c>
      <c r="I16" s="241"/>
      <c r="J16" s="240" t="s">
        <v>33</v>
      </c>
      <c r="K16" s="128">
        <f>'AP (POs + Reimbursement)'!H101</f>
        <v>0</v>
      </c>
      <c r="L16" s="334"/>
      <c r="M16" s="335">
        <f>K16-H16</f>
        <v>0</v>
      </c>
      <c r="N16" s="241"/>
      <c r="O16" s="83"/>
    </row>
    <row r="17" spans="2:15" ht="16.2" x14ac:dyDescent="0.45">
      <c r="B17" s="240" t="s">
        <v>17</v>
      </c>
      <c r="C17" s="142"/>
      <c r="D17" t="s">
        <v>18</v>
      </c>
      <c r="E17" s="241"/>
      <c r="F17" s="241"/>
      <c r="G17" s="141" t="s">
        <v>34</v>
      </c>
      <c r="H17" s="127" t="e">
        <f>#REF!+#REF!</f>
        <v>#REF!</v>
      </c>
      <c r="I17" s="241"/>
      <c r="J17" s="141" t="s">
        <v>34</v>
      </c>
      <c r="K17" s="128" t="e">
        <f>#REF!+#REF!</f>
        <v>#REF!</v>
      </c>
      <c r="L17" s="241"/>
      <c r="M17" s="335" t="e">
        <f>K17-H17</f>
        <v>#REF!</v>
      </c>
      <c r="N17" s="241"/>
      <c r="O17" s="241"/>
    </row>
    <row r="18" spans="2:15" ht="16.2" x14ac:dyDescent="0.45">
      <c r="B18" s="240" t="s">
        <v>20</v>
      </c>
      <c r="C18" s="142"/>
      <c r="D18" s="241"/>
      <c r="E18" s="241"/>
      <c r="F18" s="241"/>
      <c r="G18" s="141" t="s">
        <v>36</v>
      </c>
      <c r="H18" s="127">
        <f>'Petty Cash'!G111</f>
        <v>0</v>
      </c>
      <c r="I18" s="241"/>
      <c r="J18" s="141" t="s">
        <v>36</v>
      </c>
      <c r="K18" s="128">
        <f>'Petty Cash'!I120</f>
        <v>0</v>
      </c>
      <c r="L18" s="334"/>
      <c r="M18" s="335">
        <f t="shared" ref="M18:M20" si="0">K18-H18</f>
        <v>0</v>
      </c>
      <c r="N18" s="241"/>
      <c r="O18" s="241"/>
    </row>
    <row r="19" spans="2:15" ht="16.2" x14ac:dyDescent="0.45">
      <c r="B19" s="240" t="s">
        <v>22</v>
      </c>
      <c r="C19" s="324"/>
      <c r="D19" s="241"/>
      <c r="E19" s="241"/>
      <c r="F19" s="241"/>
      <c r="G19" s="141" t="s">
        <v>38</v>
      </c>
      <c r="H19" s="127">
        <f>'Crew Payroll'!Y58</f>
        <v>0</v>
      </c>
      <c r="I19" s="241"/>
      <c r="J19" s="141" t="s">
        <v>38</v>
      </c>
      <c r="K19" s="129">
        <f>'Crew Payroll'!Y67</f>
        <v>0</v>
      </c>
      <c r="L19" s="255"/>
      <c r="M19" s="336">
        <f t="shared" si="0"/>
        <v>0</v>
      </c>
      <c r="N19" s="241"/>
      <c r="O19" s="241"/>
    </row>
    <row r="20" spans="2:15" ht="16.2" x14ac:dyDescent="0.45">
      <c r="B20" s="240" t="s">
        <v>23</v>
      </c>
      <c r="C20" s="142"/>
      <c r="D20" s="241"/>
      <c r="E20" s="241"/>
      <c r="F20" s="241"/>
      <c r="G20" s="141" t="s">
        <v>40</v>
      </c>
      <c r="H20" s="127">
        <f>'Crew - Indepen. Contractors'!I54</f>
        <v>0</v>
      </c>
      <c r="I20" s="241"/>
      <c r="J20" s="141" t="s">
        <v>40</v>
      </c>
      <c r="K20" s="129">
        <f>'Crew - Indepen. Contractors'!I52</f>
        <v>0</v>
      </c>
      <c r="L20" s="241"/>
      <c r="M20" s="336">
        <f t="shared" si="0"/>
        <v>0</v>
      </c>
      <c r="N20" s="241"/>
      <c r="O20" s="241"/>
    </row>
    <row r="21" spans="2:15" ht="16.2" x14ac:dyDescent="0.45">
      <c r="B21" s="332" t="s">
        <v>24</v>
      </c>
      <c r="C21" s="324"/>
      <c r="D21" s="241"/>
      <c r="E21" s="241"/>
      <c r="F21" s="241"/>
      <c r="G21" s="240" t="s">
        <v>41</v>
      </c>
      <c r="H21" s="127">
        <f>'Talent Payroll'!S43</f>
        <v>0</v>
      </c>
      <c r="I21" s="241"/>
      <c r="J21" s="240" t="s">
        <v>41</v>
      </c>
      <c r="K21" s="127">
        <f>'Talent Payroll'!Q52</f>
        <v>0</v>
      </c>
      <c r="L21" s="337"/>
      <c r="M21" s="336">
        <f>K21-H21</f>
        <v>0</v>
      </c>
      <c r="N21" s="241"/>
      <c r="O21" s="241"/>
    </row>
    <row r="22" spans="2:15" ht="16.2" x14ac:dyDescent="0.45">
      <c r="B22" s="332" t="s">
        <v>25</v>
      </c>
      <c r="C22" s="324"/>
      <c r="D22" s="241"/>
      <c r="E22" s="241"/>
      <c r="F22" s="241"/>
      <c r="G22" s="141" t="s">
        <v>43</v>
      </c>
      <c r="H22" s="127">
        <f>'Agency Vendor Exps'!H33</f>
        <v>0</v>
      </c>
      <c r="I22" s="241"/>
      <c r="J22" s="141" t="s">
        <v>43</v>
      </c>
      <c r="K22" s="127">
        <f>'Agency Vendor Exps'!H42</f>
        <v>0</v>
      </c>
      <c r="L22" s="337"/>
      <c r="M22" s="336">
        <f>K22-H22</f>
        <v>0</v>
      </c>
      <c r="N22" s="241"/>
      <c r="O22" s="241"/>
    </row>
    <row r="23" spans="2:15" ht="16.2" x14ac:dyDescent="0.45">
      <c r="B23" s="332" t="s">
        <v>26</v>
      </c>
      <c r="C23" s="324"/>
      <c r="D23" s="241"/>
      <c r="E23" s="241"/>
      <c r="F23" s="241"/>
      <c r="G23" s="240" t="s">
        <v>45</v>
      </c>
      <c r="H23" s="127">
        <v>0</v>
      </c>
      <c r="I23" s="241"/>
      <c r="J23" s="240" t="s">
        <v>45</v>
      </c>
      <c r="K23" s="130">
        <f>H23</f>
        <v>0</v>
      </c>
      <c r="L23" s="249"/>
      <c r="M23" s="335">
        <f>K23-H23</f>
        <v>0</v>
      </c>
      <c r="N23" s="241"/>
      <c r="O23" s="241"/>
    </row>
    <row r="24" spans="2:15" x14ac:dyDescent="0.3">
      <c r="B24" s="332"/>
      <c r="C24" s="329"/>
      <c r="D24" s="241"/>
      <c r="E24" s="241"/>
      <c r="F24" s="241"/>
      <c r="G24" s="240"/>
      <c r="H24" s="338"/>
      <c r="I24" s="241"/>
      <c r="J24" s="240"/>
      <c r="K24" s="248"/>
      <c r="L24" s="249"/>
      <c r="M24" s="248"/>
      <c r="N24" s="241"/>
      <c r="O24" s="241"/>
    </row>
    <row r="25" spans="2:15" ht="15" thickBot="1" x14ac:dyDescent="0.35">
      <c r="B25" s="240" t="s">
        <v>32</v>
      </c>
      <c r="C25" s="324"/>
      <c r="D25" s="241"/>
      <c r="E25" s="241"/>
      <c r="F25" s="241"/>
      <c r="G25" s="240" t="s">
        <v>48</v>
      </c>
      <c r="H25" s="339" t="e">
        <f>SUM(H16:H24)</f>
        <v>#REF!</v>
      </c>
      <c r="I25" s="241"/>
      <c r="J25" s="240" t="s">
        <v>48</v>
      </c>
      <c r="K25" s="340" t="e">
        <f>SUM(K16:K24)</f>
        <v>#REF!</v>
      </c>
      <c r="L25" s="249"/>
      <c r="M25" s="340" t="e">
        <f>SUM(M16:M24)</f>
        <v>#REF!</v>
      </c>
      <c r="N25" s="241"/>
      <c r="O25" s="241"/>
    </row>
    <row r="26" spans="2:15" ht="15" thickTop="1" x14ac:dyDescent="0.3">
      <c r="B26" s="329"/>
      <c r="C26" s="329"/>
      <c r="D26" s="241"/>
      <c r="E26" s="241"/>
      <c r="F26" s="241"/>
      <c r="G26" s="241"/>
      <c r="H26" s="241"/>
      <c r="I26" s="241"/>
      <c r="J26" s="241"/>
      <c r="K26" s="241"/>
      <c r="L26" s="241"/>
      <c r="M26" s="241"/>
      <c r="N26" s="241"/>
    </row>
    <row r="27" spans="2:15" x14ac:dyDescent="0.3">
      <c r="B27" s="240" t="s">
        <v>35</v>
      </c>
      <c r="C27" s="324"/>
      <c r="D27" s="241"/>
      <c r="E27" s="241"/>
      <c r="F27" s="241"/>
      <c r="G27" s="241"/>
      <c r="H27" s="241"/>
      <c r="I27" s="241"/>
      <c r="J27" s="228" t="s">
        <v>51</v>
      </c>
      <c r="K27" s="159">
        <f>K19+K20+K21</f>
        <v>0</v>
      </c>
      <c r="L27" s="241"/>
      <c r="M27" s="241"/>
      <c r="N27" s="241"/>
    </row>
    <row r="28" spans="2:15" x14ac:dyDescent="0.3">
      <c r="B28" s="240" t="s">
        <v>37</v>
      </c>
      <c r="C28" s="142"/>
      <c r="D28" s="289"/>
      <c r="E28" s="241"/>
      <c r="F28" s="241"/>
      <c r="G28" s="241"/>
      <c r="H28" s="241"/>
      <c r="I28" s="241"/>
      <c r="J28" s="228" t="s">
        <v>52</v>
      </c>
      <c r="K28" s="242" t="e">
        <f>#REF!+#REF!+K22</f>
        <v>#REF!</v>
      </c>
      <c r="L28" s="241"/>
      <c r="M28" s="241"/>
      <c r="N28" s="241"/>
    </row>
    <row r="29" spans="2:15" x14ac:dyDescent="0.3">
      <c r="B29" s="240" t="s">
        <v>39</v>
      </c>
      <c r="C29" s="142"/>
      <c r="D29" s="289"/>
      <c r="E29" s="241"/>
      <c r="F29" s="241"/>
      <c r="G29" s="241"/>
      <c r="H29" s="241"/>
      <c r="I29" s="241"/>
      <c r="J29" s="228" t="s">
        <v>54</v>
      </c>
      <c r="K29" s="243" t="e">
        <f>K18+#REF!+#REF!</f>
        <v>#REF!</v>
      </c>
      <c r="L29" s="241"/>
      <c r="M29" s="244"/>
      <c r="N29"/>
    </row>
    <row r="30" spans="2:15" x14ac:dyDescent="0.3">
      <c r="B30" s="241"/>
      <c r="C30" s="241"/>
      <c r="D30" s="289"/>
      <c r="E30" s="241"/>
      <c r="F30" s="241"/>
      <c r="G30" s="241"/>
      <c r="H30" s="241"/>
      <c r="I30" s="241"/>
      <c r="J30" s="246" t="s">
        <v>56</v>
      </c>
      <c r="K30" s="247" t="e">
        <f>SUM(K27:K29)</f>
        <v>#REF!</v>
      </c>
      <c r="L30" s="241"/>
      <c r="M30" s="248"/>
      <c r="N30" s="241"/>
    </row>
    <row r="31" spans="2:15" x14ac:dyDescent="0.3">
      <c r="B31" s="241"/>
      <c r="C31" t="s">
        <v>42</v>
      </c>
      <c r="D31" s="131"/>
      <c r="E31" s="241"/>
      <c r="F31" s="241"/>
      <c r="G31" s="241"/>
      <c r="H31" s="7"/>
      <c r="I31" s="241"/>
      <c r="J31" s="241"/>
      <c r="K31" s="248"/>
      <c r="L31" s="249"/>
      <c r="M31" s="248"/>
      <c r="N31" s="245"/>
    </row>
    <row r="32" spans="2:15" x14ac:dyDescent="0.3">
      <c r="B32" s="241"/>
      <c r="C32" t="s">
        <v>44</v>
      </c>
      <c r="D32" s="131"/>
      <c r="E32" s="241"/>
      <c r="F32" s="241"/>
      <c r="G32" s="241"/>
      <c r="H32" s="241"/>
      <c r="I32" s="241"/>
      <c r="J32" s="241"/>
      <c r="K32" t="s">
        <v>59</v>
      </c>
      <c r="L32" s="241"/>
      <c r="M32" t="s">
        <v>60</v>
      </c>
      <c r="N32" s="241"/>
    </row>
    <row r="33" spans="2:14" x14ac:dyDescent="0.3">
      <c r="B33" s="241"/>
      <c r="C33" t="s">
        <v>46</v>
      </c>
      <c r="D33" s="241"/>
      <c r="E33" s="241"/>
      <c r="F33" s="241"/>
      <c r="G33" s="241"/>
      <c r="H33" s="341"/>
      <c r="I33" s="251" t="s">
        <v>61</v>
      </c>
      <c r="J33" s="252"/>
      <c r="K33" s="253" t="e">
        <f>K30</f>
        <v>#REF!</v>
      </c>
      <c r="L33" s="252"/>
      <c r="M33" s="254">
        <v>229533.33333333334</v>
      </c>
      <c r="N33" s="241"/>
    </row>
    <row r="34" spans="2:14" x14ac:dyDescent="0.3">
      <c r="B34" s="241"/>
      <c r="C34" t="s">
        <v>47</v>
      </c>
      <c r="D34" s="264"/>
      <c r="E34" s="241"/>
      <c r="F34" s="241"/>
      <c r="G34" s="241"/>
      <c r="H34" s="241"/>
      <c r="I34" s="251" t="s">
        <v>62</v>
      </c>
      <c r="J34" s="252"/>
      <c r="K34" s="256">
        <v>0.05</v>
      </c>
      <c r="L34" s="252"/>
      <c r="M34" s="256">
        <v>7.4999999999999997E-2</v>
      </c>
      <c r="N34" s="241"/>
    </row>
    <row r="35" spans="2:14" x14ac:dyDescent="0.3">
      <c r="B35" s="241"/>
      <c r="C35" t="s">
        <v>49</v>
      </c>
      <c r="D35" s="265"/>
      <c r="E35" s="241"/>
      <c r="F35" s="241"/>
      <c r="H35" s="241"/>
      <c r="I35" s="258" t="s">
        <v>63</v>
      </c>
      <c r="J35" s="259"/>
      <c r="K35" s="260" t="e">
        <f>K33*K34</f>
        <v>#REF!</v>
      </c>
      <c r="L35" s="259"/>
      <c r="M35" s="260">
        <f>M33*M34</f>
        <v>17215</v>
      </c>
      <c r="N35" s="245"/>
    </row>
    <row r="36" spans="2:14" ht="15" thickBot="1" x14ac:dyDescent="0.35">
      <c r="B36" s="241"/>
      <c r="C36" t="s">
        <v>50</v>
      </c>
      <c r="D36" s="132"/>
      <c r="E36" s="241"/>
      <c r="F36" s="241"/>
      <c r="H36" s="241"/>
      <c r="I36" s="241"/>
      <c r="J36" s="241"/>
      <c r="K36" s="255"/>
      <c r="L36" s="255"/>
      <c r="M36" s="255"/>
      <c r="N36" s="241"/>
    </row>
    <row r="37" spans="2:14" ht="15" thickBot="1" x14ac:dyDescent="0.35">
      <c r="B37" s="241"/>
      <c r="C37" s="241"/>
      <c r="D37" s="241"/>
      <c r="E37" s="241"/>
      <c r="F37" s="241"/>
      <c r="H37" s="241"/>
      <c r="I37" s="261"/>
      <c r="J37" s="262" t="s">
        <v>65</v>
      </c>
      <c r="K37" s="263"/>
      <c r="L37" s="7"/>
      <c r="M37" t="s">
        <v>66</v>
      </c>
      <c r="N37" s="241"/>
    </row>
    <row r="38" spans="2:14" x14ac:dyDescent="0.3">
      <c r="B38" s="241"/>
      <c r="C38" t="s">
        <v>53</v>
      </c>
      <c r="D38" s="131"/>
      <c r="E38" s="241"/>
      <c r="F38" s="241"/>
      <c r="H38" s="241"/>
      <c r="I38" s="241"/>
      <c r="J38" s="241"/>
      <c r="K38" s="241"/>
      <c r="L38" s="241"/>
      <c r="M38" s="241"/>
      <c r="N38" s="250"/>
    </row>
    <row r="39" spans="2:14" x14ac:dyDescent="0.3">
      <c r="B39" s="289"/>
      <c r="C39" t="s">
        <v>55</v>
      </c>
      <c r="D39" s="131"/>
      <c r="E39" s="241"/>
      <c r="F39" s="241"/>
      <c r="H39" s="241"/>
      <c r="I39" s="241"/>
      <c r="J39" s="241"/>
      <c r="K39" s="241"/>
      <c r="L39" s="241"/>
      <c r="M39" s="241"/>
      <c r="N39" s="255"/>
    </row>
    <row r="40" spans="2:14" ht="18" x14ac:dyDescent="0.35">
      <c r="B40" s="289"/>
      <c r="C40" t="s">
        <v>57</v>
      </c>
      <c r="D40" s="265"/>
      <c r="E40" s="241"/>
      <c r="F40" s="357"/>
      <c r="H40" s="241"/>
      <c r="L40" s="241"/>
      <c r="M40" s="241"/>
      <c r="N40" s="257"/>
    </row>
    <row r="41" spans="2:14" x14ac:dyDescent="0.3">
      <c r="B41" s="15" t="s">
        <v>58</v>
      </c>
      <c r="C41" s="150"/>
      <c r="D41" s="289"/>
      <c r="E41" s="241"/>
      <c r="H41" s="241"/>
      <c r="L41" s="241"/>
      <c r="M41" s="15"/>
      <c r="N41" s="257"/>
    </row>
    <row r="42" spans="2:14" ht="15" thickBot="1" x14ac:dyDescent="0.35">
      <c r="B42" s="241"/>
      <c r="C42" s="150"/>
      <c r="D42" s="241"/>
      <c r="E42" s="241"/>
      <c r="H42" s="241"/>
      <c r="L42" s="241"/>
      <c r="M42" s="241"/>
      <c r="N42" s="245"/>
    </row>
    <row r="43" spans="2:14" ht="18" x14ac:dyDescent="0.35">
      <c r="B43" s="241"/>
      <c r="C43" s="402" t="s">
        <v>275</v>
      </c>
      <c r="D43" s="403"/>
      <c r="E43" s="404"/>
      <c r="H43" s="241"/>
      <c r="L43" s="241"/>
      <c r="M43" s="241"/>
      <c r="N43" s="241"/>
    </row>
    <row r="44" spans="2:14" x14ac:dyDescent="0.3">
      <c r="C44" s="418" t="s">
        <v>254</v>
      </c>
      <c r="D44" s="419"/>
      <c r="E44" s="347" t="b">
        <v>0</v>
      </c>
      <c r="H44" s="241"/>
      <c r="L44" s="241"/>
      <c r="M44" s="241"/>
      <c r="N44" s="241"/>
    </row>
    <row r="45" spans="2:14" x14ac:dyDescent="0.3">
      <c r="C45" s="418" t="s">
        <v>250</v>
      </c>
      <c r="D45" s="419"/>
      <c r="E45" s="347" t="b">
        <v>0</v>
      </c>
      <c r="H45" s="241"/>
      <c r="L45" s="241"/>
      <c r="M45" s="241"/>
      <c r="N45" s="241"/>
    </row>
    <row r="46" spans="2:14" x14ac:dyDescent="0.3">
      <c r="C46" s="418" t="s">
        <v>249</v>
      </c>
      <c r="D46" s="419"/>
      <c r="E46" s="347" t="b">
        <v>0</v>
      </c>
      <c r="H46" s="241"/>
      <c r="L46" s="241"/>
      <c r="M46" s="241"/>
      <c r="N46" s="241"/>
    </row>
    <row r="47" spans="2:14" x14ac:dyDescent="0.3">
      <c r="C47" s="418" t="s">
        <v>251</v>
      </c>
      <c r="D47" s="419"/>
      <c r="E47" s="347" t="b">
        <v>0</v>
      </c>
      <c r="H47" s="241"/>
      <c r="L47" s="241"/>
      <c r="M47" s="241"/>
      <c r="N47" s="241"/>
    </row>
    <row r="48" spans="2:14" x14ac:dyDescent="0.3">
      <c r="C48" s="418" t="s">
        <v>252</v>
      </c>
      <c r="D48" s="419"/>
      <c r="E48" s="347" t="b">
        <v>0</v>
      </c>
      <c r="H48" s="241"/>
      <c r="L48" s="241"/>
      <c r="M48" s="241"/>
      <c r="N48" s="241"/>
    </row>
    <row r="49" spans="3:13" x14ac:dyDescent="0.3">
      <c r="C49" s="418" t="s">
        <v>253</v>
      </c>
      <c r="D49" s="419"/>
      <c r="E49" s="347" t="b">
        <v>0</v>
      </c>
      <c r="H49" s="289"/>
      <c r="L49" s="241"/>
      <c r="M49" s="241"/>
    </row>
    <row r="50" spans="3:13" ht="15" thickBot="1" x14ac:dyDescent="0.35">
      <c r="C50" s="420" t="s">
        <v>255</v>
      </c>
      <c r="D50" s="421"/>
      <c r="E50" s="348" t="b">
        <v>0</v>
      </c>
      <c r="H50" s="241"/>
      <c r="L50" s="241"/>
      <c r="M50" s="241"/>
    </row>
    <row r="51" spans="3:13" ht="15" thickBot="1" x14ac:dyDescent="0.35">
      <c r="H51" s="241"/>
      <c r="L51" s="241"/>
      <c r="M51" s="241"/>
    </row>
    <row r="52" spans="3:13" x14ac:dyDescent="0.3">
      <c r="C52" s="399" t="s">
        <v>67</v>
      </c>
      <c r="D52" s="400"/>
      <c r="E52" s="401"/>
      <c r="H52" s="241"/>
      <c r="L52" s="241"/>
      <c r="M52" s="241"/>
    </row>
    <row r="53" spans="3:13" x14ac:dyDescent="0.3">
      <c r="C53" s="349"/>
      <c r="D53" s="241"/>
      <c r="E53" s="350"/>
    </row>
    <row r="54" spans="3:13" x14ac:dyDescent="0.3">
      <c r="C54" s="349"/>
      <c r="D54" s="141" t="s">
        <v>68</v>
      </c>
      <c r="E54" s="351">
        <f>1</f>
        <v>1</v>
      </c>
    </row>
    <row r="55" spans="3:13" ht="15" thickBot="1" x14ac:dyDescent="0.35">
      <c r="C55" s="352"/>
      <c r="D55" s="290" t="s">
        <v>69</v>
      </c>
      <c r="E55" s="353">
        <f>1</f>
        <v>1</v>
      </c>
    </row>
    <row r="56" spans="3:13" ht="15" thickTop="1" x14ac:dyDescent="0.3">
      <c r="C56" s="349"/>
      <c r="D56" s="141" t="s">
        <v>70</v>
      </c>
      <c r="E56" s="354">
        <f>E54/E55</f>
        <v>1</v>
      </c>
    </row>
    <row r="57" spans="3:13" x14ac:dyDescent="0.3">
      <c r="C57" s="349"/>
      <c r="D57" s="241"/>
      <c r="E57" s="350"/>
    </row>
    <row r="58" spans="3:13" ht="15" thickBot="1" x14ac:dyDescent="0.35">
      <c r="C58" s="411" t="s">
        <v>71</v>
      </c>
      <c r="D58" s="412"/>
      <c r="E58" s="413"/>
    </row>
    <row r="59" spans="3:13" ht="15" thickBot="1" x14ac:dyDescent="0.35">
      <c r="C59" s="241"/>
      <c r="D59" s="241"/>
      <c r="E59" s="241"/>
    </row>
    <row r="60" spans="3:13" x14ac:dyDescent="0.3">
      <c r="C60" s="405" t="s">
        <v>276</v>
      </c>
      <c r="D60" s="406"/>
      <c r="E60" s="407"/>
    </row>
    <row r="61" spans="3:13" x14ac:dyDescent="0.3">
      <c r="C61" s="349"/>
      <c r="D61" s="241"/>
      <c r="E61" s="350"/>
    </row>
    <row r="62" spans="3:13" x14ac:dyDescent="0.3">
      <c r="C62" s="349"/>
      <c r="D62" s="15" t="s">
        <v>277</v>
      </c>
      <c r="E62" s="351">
        <f>'Cast &amp; Crew List'!K8</f>
        <v>5</v>
      </c>
    </row>
    <row r="63" spans="3:13" ht="15" thickBot="1" x14ac:dyDescent="0.35">
      <c r="C63" s="352"/>
      <c r="D63" s="355" t="s">
        <v>278</v>
      </c>
      <c r="E63" s="353">
        <f>'Cast &amp; Crew List'!K7</f>
        <v>4</v>
      </c>
    </row>
    <row r="64" spans="3:13" ht="15" thickTop="1" x14ac:dyDescent="0.3">
      <c r="C64" s="349"/>
      <c r="D64" s="15" t="s">
        <v>244</v>
      </c>
      <c r="E64" s="354">
        <f>E63/E62</f>
        <v>0.8</v>
      </c>
    </row>
    <row r="65" spans="3:5" x14ac:dyDescent="0.3">
      <c r="C65" s="349"/>
      <c r="D65" s="241"/>
      <c r="E65" s="350"/>
    </row>
    <row r="66" spans="3:5" ht="15" thickBot="1" x14ac:dyDescent="0.35">
      <c r="C66" s="408" t="s">
        <v>279</v>
      </c>
      <c r="D66" s="409"/>
      <c r="E66" s="410"/>
    </row>
  </sheetData>
  <customSheetViews>
    <customSheetView guid="{14C8854E-48EC-4FF0-8495-678A66A79974}" scale="80" fitToPage="1">
      <selection activeCell="E10" sqref="E10"/>
      <pageMargins left="0" right="0" top="0" bottom="0" header="0" footer="0"/>
      <pageSetup scale="73" orientation="landscape" r:id="rId1"/>
      <headerFooter>
        <oddFooter>&amp;R&amp;A
&amp;Z&amp;F</oddFooter>
      </headerFooter>
    </customSheetView>
    <customSheetView guid="{064F1E00-4E44-40D8-9D84-C13C3FC17883}" scale="80" fitToPage="1">
      <selection activeCell="L27" sqref="L27"/>
      <pageMargins left="0" right="0" top="0" bottom="0" header="0" footer="0"/>
      <pageSetup scale="73" orientation="landscape" r:id="rId2"/>
      <headerFooter>
        <oddFooter>&amp;R&amp;A
&amp;Z&amp;F</oddFooter>
      </headerFooter>
    </customSheetView>
  </customSheetViews>
  <mergeCells count="10">
    <mergeCell ref="A1:N1"/>
    <mergeCell ref="A2:N2"/>
    <mergeCell ref="G9:J9"/>
    <mergeCell ref="C44:D44"/>
    <mergeCell ref="C45:D45"/>
    <mergeCell ref="C46:D46"/>
    <mergeCell ref="C47:D47"/>
    <mergeCell ref="C48:D48"/>
    <mergeCell ref="C49:D49"/>
    <mergeCell ref="C50:D50"/>
  </mergeCells>
  <pageMargins left="0.7" right="0.7" top="0.75" bottom="0.75" header="0.3" footer="0.3"/>
  <pageSetup scale="51" orientation="landscape" r:id="rId3"/>
  <headerFooter>
    <oddFooter>&amp;R&amp;A
&amp;Z&amp;F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9622-BFF6-4B93-BEFD-411B6AE24E3B}">
  <sheetPr>
    <tabColor theme="1"/>
  </sheetPr>
  <dimension ref="A2:B15"/>
  <sheetViews>
    <sheetView workbookViewId="0">
      <selection activeCell="C22" sqref="C22"/>
    </sheetView>
  </sheetViews>
  <sheetFormatPr defaultRowHeight="14.4" x14ac:dyDescent="0.3"/>
  <cols>
    <col min="1" max="1" width="61.44140625" bestFit="1" customWidth="1"/>
  </cols>
  <sheetData>
    <row r="2" spans="1:2" x14ac:dyDescent="0.3">
      <c r="A2" s="7"/>
    </row>
    <row r="3" spans="1:2" x14ac:dyDescent="0.3">
      <c r="A3" s="7" t="s">
        <v>280</v>
      </c>
    </row>
    <row r="4" spans="1:2" x14ac:dyDescent="0.3">
      <c r="A4" s="7" t="s">
        <v>72</v>
      </c>
    </row>
    <row r="5" spans="1:2" x14ac:dyDescent="0.3">
      <c r="A5" s="7" t="s">
        <v>73</v>
      </c>
      <c r="B5" t="s">
        <v>74</v>
      </c>
    </row>
    <row r="6" spans="1:2" x14ac:dyDescent="0.3">
      <c r="A6" s="7" t="s">
        <v>75</v>
      </c>
      <c r="B6" t="s">
        <v>74</v>
      </c>
    </row>
    <row r="7" spans="1:2" x14ac:dyDescent="0.3">
      <c r="A7" s="7" t="s">
        <v>76</v>
      </c>
      <c r="B7" t="s">
        <v>77</v>
      </c>
    </row>
    <row r="9" spans="1:2" x14ac:dyDescent="0.3">
      <c r="A9" s="7" t="s">
        <v>281</v>
      </c>
      <c r="B9" s="358" t="b">
        <v>0</v>
      </c>
    </row>
    <row r="10" spans="1:2" x14ac:dyDescent="0.3">
      <c r="A10" s="7" t="s">
        <v>282</v>
      </c>
      <c r="B10" s="358" t="b">
        <v>0</v>
      </c>
    </row>
    <row r="11" spans="1:2" x14ac:dyDescent="0.3">
      <c r="A11" s="7" t="s">
        <v>283</v>
      </c>
      <c r="B11" s="358" t="b">
        <v>0</v>
      </c>
    </row>
    <row r="12" spans="1:2" x14ac:dyDescent="0.3">
      <c r="A12" s="7" t="s">
        <v>284</v>
      </c>
      <c r="B12" s="358" t="b">
        <v>0</v>
      </c>
    </row>
    <row r="13" spans="1:2" x14ac:dyDescent="0.3">
      <c r="A13" s="7" t="s">
        <v>285</v>
      </c>
      <c r="B13" s="358" t="b">
        <v>0</v>
      </c>
    </row>
    <row r="14" spans="1:2" x14ac:dyDescent="0.3">
      <c r="A14" s="7" t="s">
        <v>286</v>
      </c>
      <c r="B14" s="358" t="b">
        <v>0</v>
      </c>
    </row>
    <row r="15" spans="1:2" x14ac:dyDescent="0.3">
      <c r="A15" s="7" t="s">
        <v>287</v>
      </c>
      <c r="B15" s="358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2F5C0-FB27-4991-9D08-6710DE070464}">
  <sheetPr>
    <tabColor rgb="FFFFC000"/>
  </sheetPr>
  <dimension ref="A2:L21"/>
  <sheetViews>
    <sheetView workbookViewId="0">
      <selection activeCell="D15" sqref="D15"/>
    </sheetView>
  </sheetViews>
  <sheetFormatPr defaultColWidth="9.109375" defaultRowHeight="14.4" x14ac:dyDescent="0.3"/>
  <cols>
    <col min="1" max="1" width="12.6640625" style="8" customWidth="1"/>
    <col min="2" max="2" width="16.6640625" customWidth="1"/>
    <col min="3" max="3" width="30.77734375" style="8" customWidth="1"/>
    <col min="4" max="4" width="20.33203125" bestFit="1" customWidth="1"/>
    <col min="5" max="5" width="14.88671875" customWidth="1"/>
    <col min="8" max="8" width="22" bestFit="1" customWidth="1"/>
    <col min="9" max="9" width="23.88671875" bestFit="1" customWidth="1"/>
    <col min="10" max="10" width="19.6640625" customWidth="1"/>
    <col min="11" max="11" width="3.109375" customWidth="1"/>
    <col min="12" max="12" width="58.77734375" customWidth="1"/>
  </cols>
  <sheetData>
    <row r="2" spans="1:12" ht="33.6" x14ac:dyDescent="0.65">
      <c r="C2" s="415" t="s">
        <v>182</v>
      </c>
      <c r="D2" s="415"/>
      <c r="E2" s="415"/>
      <c r="F2" s="415"/>
      <c r="G2" s="415"/>
      <c r="H2" s="415"/>
      <c r="I2" s="229"/>
    </row>
    <row r="3" spans="1:12" ht="33.6" x14ac:dyDescent="0.65">
      <c r="D3" s="229"/>
      <c r="E3" s="229"/>
      <c r="F3" s="229"/>
      <c r="G3" s="229"/>
      <c r="L3" s="345" t="s">
        <v>274</v>
      </c>
    </row>
    <row r="4" spans="1:12" ht="15.6" x14ac:dyDescent="0.3">
      <c r="A4" s="414" t="s">
        <v>297</v>
      </c>
      <c r="B4" s="314" t="s">
        <v>158</v>
      </c>
      <c r="C4" s="295" t="s">
        <v>159</v>
      </c>
      <c r="D4" s="295" t="s">
        <v>160</v>
      </c>
      <c r="E4" s="295" t="s">
        <v>150</v>
      </c>
      <c r="F4" s="295" t="s">
        <v>116</v>
      </c>
      <c r="G4" s="295" t="s">
        <v>161</v>
      </c>
      <c r="H4" s="295" t="s">
        <v>162</v>
      </c>
      <c r="I4" s="315" t="s">
        <v>296</v>
      </c>
      <c r="J4" s="295" t="s">
        <v>247</v>
      </c>
      <c r="L4" s="346" t="s">
        <v>256</v>
      </c>
    </row>
    <row r="5" spans="1:12" ht="15.6" x14ac:dyDescent="0.3">
      <c r="A5" s="29" t="s">
        <v>298</v>
      </c>
      <c r="B5" s="36"/>
      <c r="C5" s="230"/>
      <c r="D5" s="36"/>
      <c r="E5" s="29"/>
      <c r="F5" s="29"/>
      <c r="G5" s="29"/>
      <c r="H5" s="231"/>
      <c r="I5" s="232"/>
      <c r="J5" s="231"/>
      <c r="L5" s="346" t="s">
        <v>257</v>
      </c>
    </row>
    <row r="6" spans="1:12" ht="15.6" x14ac:dyDescent="0.3">
      <c r="A6" s="29" t="s">
        <v>299</v>
      </c>
      <c r="B6" s="36"/>
      <c r="C6" s="230"/>
      <c r="D6" s="36"/>
      <c r="E6" s="29"/>
      <c r="F6" s="29"/>
      <c r="G6" s="29"/>
      <c r="H6" s="231"/>
      <c r="I6" s="232"/>
      <c r="J6" s="231"/>
      <c r="L6" s="346" t="s">
        <v>258</v>
      </c>
    </row>
    <row r="7" spans="1:12" ht="15.6" x14ac:dyDescent="0.3">
      <c r="A7" s="29" t="s">
        <v>300</v>
      </c>
      <c r="B7" s="36"/>
      <c r="C7" s="230"/>
      <c r="D7" s="36"/>
      <c r="E7" s="29"/>
      <c r="F7" s="29"/>
      <c r="G7" s="29"/>
      <c r="H7" s="231"/>
      <c r="I7" s="232"/>
      <c r="J7" s="231"/>
      <c r="L7" s="346" t="s">
        <v>259</v>
      </c>
    </row>
    <row r="8" spans="1:12" ht="15.6" x14ac:dyDescent="0.3">
      <c r="A8" s="29" t="s">
        <v>301</v>
      </c>
      <c r="B8" s="36"/>
      <c r="C8" s="230"/>
      <c r="D8" s="36"/>
      <c r="E8" s="29"/>
      <c r="F8" s="29"/>
      <c r="G8" s="29"/>
      <c r="H8" s="231"/>
      <c r="I8" s="36"/>
      <c r="J8" s="231"/>
      <c r="L8" s="346" t="s">
        <v>260</v>
      </c>
    </row>
    <row r="9" spans="1:12" ht="15.6" x14ac:dyDescent="0.3">
      <c r="L9" s="346" t="s">
        <v>261</v>
      </c>
    </row>
    <row r="10" spans="1:12" ht="15.6" x14ac:dyDescent="0.3">
      <c r="L10" s="346" t="s">
        <v>262</v>
      </c>
    </row>
    <row r="11" spans="1:12" ht="15.6" x14ac:dyDescent="0.3">
      <c r="L11" s="346" t="s">
        <v>263</v>
      </c>
    </row>
    <row r="12" spans="1:12" ht="15.6" x14ac:dyDescent="0.3">
      <c r="L12" s="346" t="s">
        <v>264</v>
      </c>
    </row>
    <row r="13" spans="1:12" ht="15.6" x14ac:dyDescent="0.3">
      <c r="L13" s="346" t="s">
        <v>265</v>
      </c>
    </row>
    <row r="14" spans="1:12" ht="15.6" x14ac:dyDescent="0.3">
      <c r="L14" s="346" t="s">
        <v>266</v>
      </c>
    </row>
    <row r="15" spans="1:12" ht="15.6" x14ac:dyDescent="0.3">
      <c r="L15" s="346" t="s">
        <v>267</v>
      </c>
    </row>
    <row r="16" spans="1:12" ht="15.6" x14ac:dyDescent="0.3">
      <c r="L16" s="346" t="s">
        <v>268</v>
      </c>
    </row>
    <row r="17" spans="12:12" ht="15.6" x14ac:dyDescent="0.3">
      <c r="L17" s="346" t="s">
        <v>269</v>
      </c>
    </row>
    <row r="18" spans="12:12" ht="15.6" x14ac:dyDescent="0.3">
      <c r="L18" s="346" t="s">
        <v>270</v>
      </c>
    </row>
    <row r="19" spans="12:12" ht="15.6" x14ac:dyDescent="0.3">
      <c r="L19" s="346" t="s">
        <v>271</v>
      </c>
    </row>
    <row r="20" spans="12:12" ht="15.6" x14ac:dyDescent="0.3">
      <c r="L20" s="346" t="s">
        <v>272</v>
      </c>
    </row>
    <row r="21" spans="12:12" ht="15.6" x14ac:dyDescent="0.3">
      <c r="L21" s="346" t="s">
        <v>273</v>
      </c>
    </row>
  </sheetData>
  <mergeCells count="1">
    <mergeCell ref="C2:H2"/>
  </mergeCells>
  <phoneticPr fontId="2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CB3E3-4B50-422B-9866-0EE102B585EA}">
  <sheetPr>
    <tabColor rgb="FFFFC000"/>
  </sheetPr>
  <dimension ref="B2:K94"/>
  <sheetViews>
    <sheetView tabSelected="1" zoomScale="80" zoomScaleNormal="80" workbookViewId="0">
      <selection activeCell="K22" sqref="K22"/>
    </sheetView>
  </sheetViews>
  <sheetFormatPr defaultColWidth="9.109375" defaultRowHeight="14.4" x14ac:dyDescent="0.3"/>
  <cols>
    <col min="2" max="2" width="5.109375" style="8" customWidth="1"/>
    <col min="3" max="3" width="29.109375" bestFit="1" customWidth="1"/>
    <col min="4" max="4" width="29.109375" customWidth="1"/>
    <col min="5" max="5" width="29" customWidth="1"/>
    <col min="6" max="6" width="14.44140625" bestFit="1" customWidth="1"/>
    <col min="7" max="7" width="23.44140625" bestFit="1" customWidth="1"/>
    <col min="8" max="8" width="41.21875" customWidth="1"/>
    <col min="9" max="9" width="5.109375" customWidth="1"/>
    <col min="10" max="10" width="30.33203125" customWidth="1"/>
    <col min="11" max="11" width="21.33203125" customWidth="1"/>
  </cols>
  <sheetData>
    <row r="2" spans="2:11" ht="33.6" x14ac:dyDescent="0.65">
      <c r="C2" s="415" t="s">
        <v>288</v>
      </c>
      <c r="D2" s="415"/>
      <c r="E2" s="415"/>
      <c r="F2" s="415"/>
      <c r="G2" s="415"/>
      <c r="H2" s="415"/>
    </row>
    <row r="3" spans="2:11" ht="15" thickBot="1" x14ac:dyDescent="0.35">
      <c r="D3" t="s">
        <v>293</v>
      </c>
    </row>
    <row r="4" spans="2:11" x14ac:dyDescent="0.3">
      <c r="C4" s="295" t="s">
        <v>289</v>
      </c>
      <c r="D4" s="295" t="s">
        <v>292</v>
      </c>
      <c r="E4" s="295" t="s">
        <v>290</v>
      </c>
      <c r="F4" s="295" t="s">
        <v>294</v>
      </c>
      <c r="G4" s="295" t="s">
        <v>295</v>
      </c>
      <c r="H4" s="297" t="s">
        <v>164</v>
      </c>
      <c r="J4" s="359" t="s">
        <v>177</v>
      </c>
      <c r="K4" s="360">
        <f>Overview!C9</f>
        <v>46068</v>
      </c>
    </row>
    <row r="5" spans="2:11" ht="15" thickBot="1" x14ac:dyDescent="0.35">
      <c r="B5" s="8">
        <v>1</v>
      </c>
      <c r="C5" s="233" t="s">
        <v>239</v>
      </c>
      <c r="D5" s="233"/>
      <c r="E5" s="120"/>
      <c r="F5" s="106" t="s">
        <v>152</v>
      </c>
      <c r="G5" s="106"/>
      <c r="H5" s="36"/>
      <c r="J5" s="361" t="s">
        <v>178</v>
      </c>
      <c r="K5" s="362">
        <f>K4-120</f>
        <v>45948</v>
      </c>
    </row>
    <row r="6" spans="2:11" ht="15" thickBot="1" x14ac:dyDescent="0.35">
      <c r="B6" s="8">
        <f t="shared" ref="B6:B53" si="0">B5+1</f>
        <v>2</v>
      </c>
      <c r="C6" s="233" t="s">
        <v>240</v>
      </c>
      <c r="D6" s="233"/>
      <c r="E6" s="120"/>
      <c r="F6" s="106" t="s">
        <v>152</v>
      </c>
      <c r="G6" s="106"/>
      <c r="H6" s="36"/>
    </row>
    <row r="7" spans="2:11" x14ac:dyDescent="0.3">
      <c r="B7" s="8">
        <f t="shared" si="0"/>
        <v>3</v>
      </c>
      <c r="C7" s="233"/>
      <c r="D7" s="233"/>
      <c r="E7" s="120"/>
      <c r="F7" s="106"/>
      <c r="G7" s="106"/>
      <c r="H7" s="36"/>
      <c r="J7" s="363" t="s">
        <v>236</v>
      </c>
      <c r="K7" s="364">
        <f>COUNTIF(F5:F89,"Y")</f>
        <v>4</v>
      </c>
    </row>
    <row r="8" spans="2:11" x14ac:dyDescent="0.3">
      <c r="B8" s="8">
        <f t="shared" si="0"/>
        <v>4</v>
      </c>
      <c r="C8" s="233"/>
      <c r="D8" s="233"/>
      <c r="E8" s="120"/>
      <c r="F8" s="106"/>
      <c r="G8" s="106"/>
      <c r="H8" s="36"/>
      <c r="J8" s="365" t="s">
        <v>237</v>
      </c>
      <c r="K8" s="366">
        <f>COUNTA(C5:C90)</f>
        <v>5</v>
      </c>
    </row>
    <row r="9" spans="2:11" ht="15" thickBot="1" x14ac:dyDescent="0.35">
      <c r="B9" s="8">
        <f t="shared" si="0"/>
        <v>5</v>
      </c>
      <c r="C9" s="166"/>
      <c r="D9" s="166"/>
      <c r="E9" s="120"/>
      <c r="F9" s="106"/>
      <c r="G9" s="106"/>
      <c r="H9" s="36"/>
      <c r="J9" s="367" t="s">
        <v>244</v>
      </c>
      <c r="K9" s="368">
        <f>K7/K8</f>
        <v>0.8</v>
      </c>
    </row>
    <row r="10" spans="2:11" x14ac:dyDescent="0.3">
      <c r="B10" s="8">
        <f t="shared" si="0"/>
        <v>6</v>
      </c>
      <c r="C10" s="233"/>
      <c r="D10" s="233"/>
      <c r="E10" s="120"/>
      <c r="F10" s="106"/>
      <c r="G10" s="106"/>
      <c r="H10" s="36"/>
    </row>
    <row r="11" spans="2:11" x14ac:dyDescent="0.3">
      <c r="B11" s="8">
        <f t="shared" si="0"/>
        <v>7</v>
      </c>
      <c r="C11" s="233"/>
      <c r="D11" s="233"/>
      <c r="E11" s="120"/>
      <c r="F11" s="106"/>
      <c r="G11" s="106"/>
      <c r="H11" s="36"/>
    </row>
    <row r="12" spans="2:11" x14ac:dyDescent="0.3">
      <c r="B12" s="8">
        <f t="shared" si="0"/>
        <v>8</v>
      </c>
      <c r="C12" s="233"/>
      <c r="D12" s="233"/>
      <c r="E12" s="120"/>
      <c r="F12" s="106"/>
      <c r="G12" s="106"/>
      <c r="H12" s="36"/>
    </row>
    <row r="13" spans="2:11" x14ac:dyDescent="0.3">
      <c r="B13" s="8">
        <f t="shared" si="0"/>
        <v>9</v>
      </c>
      <c r="C13" s="166"/>
      <c r="D13" s="166"/>
      <c r="E13" s="120"/>
      <c r="F13" s="106"/>
      <c r="G13" s="106"/>
      <c r="H13" s="36"/>
    </row>
    <row r="14" spans="2:11" x14ac:dyDescent="0.3">
      <c r="B14" s="8">
        <f t="shared" si="0"/>
        <v>10</v>
      </c>
      <c r="C14" s="233"/>
      <c r="D14" s="233"/>
      <c r="E14" s="120"/>
      <c r="F14" s="106"/>
      <c r="G14" s="106"/>
      <c r="H14" s="36"/>
    </row>
    <row r="15" spans="2:11" x14ac:dyDescent="0.3">
      <c r="B15" s="8">
        <f t="shared" si="0"/>
        <v>11</v>
      </c>
      <c r="C15" s="233"/>
      <c r="D15" s="233"/>
      <c r="E15" s="120"/>
      <c r="F15" s="106"/>
      <c r="G15" s="106"/>
      <c r="H15" s="36"/>
    </row>
    <row r="16" spans="2:11" x14ac:dyDescent="0.3">
      <c r="B16" s="8">
        <f t="shared" si="0"/>
        <v>12</v>
      </c>
      <c r="C16" s="233"/>
      <c r="D16" s="233"/>
      <c r="E16" s="120"/>
      <c r="F16" s="106"/>
      <c r="G16" s="106"/>
      <c r="H16" s="36"/>
    </row>
    <row r="17" spans="2:8" x14ac:dyDescent="0.3">
      <c r="B17" s="8">
        <f t="shared" si="0"/>
        <v>13</v>
      </c>
      <c r="C17" s="233"/>
      <c r="D17" s="233"/>
      <c r="E17" s="120"/>
      <c r="F17" s="106"/>
      <c r="G17" s="106"/>
      <c r="H17" s="36"/>
    </row>
    <row r="18" spans="2:8" x14ac:dyDescent="0.3">
      <c r="B18" s="8">
        <f t="shared" si="0"/>
        <v>14</v>
      </c>
      <c r="C18" s="166"/>
      <c r="D18" s="166"/>
      <c r="E18" s="120"/>
      <c r="F18" s="106"/>
      <c r="G18" s="106"/>
      <c r="H18" s="36"/>
    </row>
    <row r="19" spans="2:8" x14ac:dyDescent="0.3">
      <c r="B19" s="8">
        <f t="shared" si="0"/>
        <v>15</v>
      </c>
      <c r="C19" s="233"/>
      <c r="D19" s="233"/>
      <c r="E19" s="120"/>
      <c r="F19" s="106"/>
      <c r="G19" s="106"/>
      <c r="H19" s="36"/>
    </row>
    <row r="20" spans="2:8" x14ac:dyDescent="0.3">
      <c r="B20" s="8">
        <f t="shared" si="0"/>
        <v>16</v>
      </c>
      <c r="C20" s="166"/>
      <c r="D20" s="166"/>
      <c r="E20" s="120"/>
      <c r="F20" s="106"/>
      <c r="G20" s="106"/>
      <c r="H20" s="36"/>
    </row>
    <row r="21" spans="2:8" x14ac:dyDescent="0.3">
      <c r="B21" s="8">
        <f t="shared" si="0"/>
        <v>17</v>
      </c>
      <c r="C21" s="166"/>
      <c r="D21" s="166"/>
      <c r="E21" s="120"/>
      <c r="F21" s="106"/>
      <c r="G21" s="106"/>
      <c r="H21" s="36"/>
    </row>
    <row r="22" spans="2:8" x14ac:dyDescent="0.3">
      <c r="B22" s="8">
        <f t="shared" si="0"/>
        <v>18</v>
      </c>
      <c r="C22" s="233"/>
      <c r="D22" s="233"/>
      <c r="E22" s="120"/>
      <c r="F22" s="106"/>
      <c r="G22" s="106"/>
      <c r="H22" s="36"/>
    </row>
    <row r="23" spans="2:8" x14ac:dyDescent="0.3">
      <c r="B23" s="8">
        <f t="shared" si="0"/>
        <v>19</v>
      </c>
      <c r="C23" s="233"/>
      <c r="D23" s="233"/>
      <c r="E23" s="120"/>
      <c r="F23" s="106"/>
      <c r="G23" s="106"/>
      <c r="H23" s="36"/>
    </row>
    <row r="24" spans="2:8" x14ac:dyDescent="0.3">
      <c r="B24" s="8">
        <f t="shared" si="0"/>
        <v>20</v>
      </c>
      <c r="C24" s="166"/>
      <c r="D24" s="166"/>
      <c r="E24" s="120"/>
      <c r="F24" s="106"/>
      <c r="G24" s="106"/>
      <c r="H24" s="36"/>
    </row>
    <row r="25" spans="2:8" x14ac:dyDescent="0.3">
      <c r="B25" s="8">
        <f t="shared" si="0"/>
        <v>21</v>
      </c>
      <c r="C25" s="166"/>
      <c r="D25" s="166"/>
      <c r="E25" s="120"/>
      <c r="F25" s="106"/>
      <c r="G25" s="106"/>
      <c r="H25" s="36"/>
    </row>
    <row r="26" spans="2:8" x14ac:dyDescent="0.3">
      <c r="B26" s="8">
        <f t="shared" si="0"/>
        <v>22</v>
      </c>
      <c r="C26" s="166"/>
      <c r="D26" s="166"/>
      <c r="E26" s="120"/>
      <c r="F26" s="106"/>
      <c r="G26" s="106"/>
      <c r="H26" s="36"/>
    </row>
    <row r="27" spans="2:8" x14ac:dyDescent="0.3">
      <c r="B27" s="8">
        <f t="shared" si="0"/>
        <v>23</v>
      </c>
      <c r="C27" s="166"/>
      <c r="D27" s="166"/>
      <c r="E27" s="120"/>
      <c r="F27" s="106"/>
      <c r="G27" s="106"/>
      <c r="H27" s="36"/>
    </row>
    <row r="28" spans="2:8" x14ac:dyDescent="0.3">
      <c r="B28" s="8">
        <f t="shared" si="0"/>
        <v>24</v>
      </c>
      <c r="C28" s="166"/>
      <c r="D28" s="166"/>
      <c r="E28" s="120"/>
      <c r="F28" s="106"/>
      <c r="G28" s="106"/>
      <c r="H28" s="36"/>
    </row>
    <row r="29" spans="2:8" x14ac:dyDescent="0.3">
      <c r="B29" s="8">
        <f t="shared" si="0"/>
        <v>25</v>
      </c>
      <c r="C29" s="233"/>
      <c r="D29" s="233"/>
      <c r="E29" s="120"/>
      <c r="F29" s="106"/>
      <c r="G29" s="106"/>
      <c r="H29" s="36"/>
    </row>
    <row r="30" spans="2:8" x14ac:dyDescent="0.3">
      <c r="B30" s="8">
        <f t="shared" si="0"/>
        <v>26</v>
      </c>
      <c r="C30" s="233"/>
      <c r="D30" s="233"/>
      <c r="E30" s="120"/>
      <c r="F30" s="106"/>
      <c r="G30" s="106"/>
      <c r="H30" s="36"/>
    </row>
    <row r="31" spans="2:8" x14ac:dyDescent="0.3">
      <c r="B31" s="8">
        <f t="shared" si="0"/>
        <v>27</v>
      </c>
      <c r="C31" s="166"/>
      <c r="D31" s="166"/>
      <c r="E31" s="120"/>
      <c r="F31" s="106"/>
      <c r="G31" s="106"/>
      <c r="H31" s="36"/>
    </row>
    <row r="32" spans="2:8" x14ac:dyDescent="0.3">
      <c r="B32" s="8">
        <f t="shared" si="0"/>
        <v>28</v>
      </c>
      <c r="C32" s="233"/>
      <c r="D32" s="233"/>
      <c r="E32" s="120"/>
      <c r="F32" s="106"/>
      <c r="G32" s="106"/>
      <c r="H32" s="36"/>
    </row>
    <row r="33" spans="2:8" x14ac:dyDescent="0.3">
      <c r="B33" s="8">
        <f t="shared" si="0"/>
        <v>29</v>
      </c>
      <c r="C33" s="233"/>
      <c r="D33" s="233"/>
      <c r="E33" s="120"/>
      <c r="F33" s="106"/>
      <c r="G33" s="106"/>
      <c r="H33" s="36"/>
    </row>
    <row r="34" spans="2:8" x14ac:dyDescent="0.3">
      <c r="B34" s="8">
        <f t="shared" si="0"/>
        <v>30</v>
      </c>
      <c r="C34" s="233"/>
      <c r="D34" s="233"/>
      <c r="E34" s="120"/>
      <c r="F34" s="106"/>
      <c r="G34" s="106"/>
      <c r="H34" s="36"/>
    </row>
    <row r="35" spans="2:8" x14ac:dyDescent="0.3">
      <c r="B35" s="8">
        <f t="shared" si="0"/>
        <v>31</v>
      </c>
      <c r="C35" s="233"/>
      <c r="D35" s="233"/>
      <c r="E35" s="120"/>
      <c r="F35" s="106"/>
      <c r="G35" s="106"/>
      <c r="H35" s="36"/>
    </row>
    <row r="36" spans="2:8" x14ac:dyDescent="0.3">
      <c r="B36" s="8">
        <f t="shared" si="0"/>
        <v>32</v>
      </c>
      <c r="C36" s="233"/>
      <c r="D36" s="233"/>
      <c r="E36" s="120"/>
      <c r="F36" s="106"/>
      <c r="G36" s="106"/>
      <c r="H36" s="36"/>
    </row>
    <row r="37" spans="2:8" x14ac:dyDescent="0.3">
      <c r="B37" s="8">
        <f t="shared" si="0"/>
        <v>33</v>
      </c>
      <c r="C37" s="233"/>
      <c r="D37" s="233"/>
      <c r="E37" s="120"/>
      <c r="F37" s="106"/>
      <c r="G37" s="106"/>
      <c r="H37" s="36"/>
    </row>
    <row r="38" spans="2:8" x14ac:dyDescent="0.3">
      <c r="B38" s="8">
        <f t="shared" si="0"/>
        <v>34</v>
      </c>
      <c r="C38" s="233"/>
      <c r="D38" s="233"/>
      <c r="E38" s="120"/>
      <c r="F38" s="106"/>
      <c r="G38" s="106"/>
      <c r="H38" s="36"/>
    </row>
    <row r="39" spans="2:8" x14ac:dyDescent="0.3">
      <c r="B39" s="8">
        <f t="shared" si="0"/>
        <v>35</v>
      </c>
      <c r="C39" s="233"/>
      <c r="D39" s="233"/>
      <c r="E39" s="120"/>
      <c r="F39" s="106"/>
      <c r="G39" s="106"/>
      <c r="H39" s="36"/>
    </row>
    <row r="40" spans="2:8" x14ac:dyDescent="0.3">
      <c r="B40" s="8">
        <f t="shared" si="0"/>
        <v>36</v>
      </c>
      <c r="C40" s="233"/>
      <c r="D40" s="233"/>
      <c r="E40" s="120"/>
      <c r="F40" s="106"/>
      <c r="G40" s="106"/>
      <c r="H40" s="36"/>
    </row>
    <row r="41" spans="2:8" x14ac:dyDescent="0.3">
      <c r="B41" s="8">
        <f t="shared" si="0"/>
        <v>37</v>
      </c>
      <c r="C41" s="233"/>
      <c r="D41" s="233"/>
      <c r="E41" s="120"/>
      <c r="F41" s="106"/>
      <c r="G41" s="106"/>
      <c r="H41" s="36"/>
    </row>
    <row r="42" spans="2:8" x14ac:dyDescent="0.3">
      <c r="B42" s="8">
        <f t="shared" si="0"/>
        <v>38</v>
      </c>
      <c r="C42" s="233"/>
      <c r="D42" s="233"/>
      <c r="E42" s="120"/>
      <c r="F42" s="106"/>
      <c r="G42" s="106"/>
      <c r="H42" s="36"/>
    </row>
    <row r="43" spans="2:8" x14ac:dyDescent="0.3">
      <c r="B43" s="8">
        <f t="shared" si="0"/>
        <v>39</v>
      </c>
      <c r="C43" s="233"/>
      <c r="D43" s="233"/>
      <c r="E43" s="120"/>
      <c r="F43" s="106"/>
      <c r="G43" s="106"/>
      <c r="H43" s="36"/>
    </row>
    <row r="44" spans="2:8" x14ac:dyDescent="0.3">
      <c r="B44" s="8">
        <f t="shared" si="0"/>
        <v>40</v>
      </c>
      <c r="C44" s="166"/>
      <c r="D44" s="166"/>
      <c r="E44" s="120"/>
      <c r="F44" s="106"/>
      <c r="G44" s="106"/>
      <c r="H44" s="36"/>
    </row>
    <row r="45" spans="2:8" x14ac:dyDescent="0.3">
      <c r="B45" s="8">
        <f t="shared" si="0"/>
        <v>41</v>
      </c>
      <c r="C45" s="166"/>
      <c r="D45" s="166"/>
      <c r="E45" s="120"/>
      <c r="F45" s="106"/>
      <c r="G45" s="106"/>
      <c r="H45" s="36"/>
    </row>
    <row r="46" spans="2:8" x14ac:dyDescent="0.3">
      <c r="B46" s="8">
        <f t="shared" si="0"/>
        <v>42</v>
      </c>
      <c r="C46" s="166"/>
      <c r="D46" s="166"/>
      <c r="E46" s="120"/>
      <c r="F46" s="106"/>
      <c r="G46" s="106"/>
      <c r="H46" s="36"/>
    </row>
    <row r="47" spans="2:8" x14ac:dyDescent="0.3">
      <c r="B47" s="8">
        <f t="shared" si="0"/>
        <v>43</v>
      </c>
      <c r="C47" s="233"/>
      <c r="D47" s="233"/>
      <c r="E47" s="120"/>
      <c r="F47" s="106"/>
      <c r="G47" s="106"/>
      <c r="H47" s="36"/>
    </row>
    <row r="48" spans="2:8" x14ac:dyDescent="0.3">
      <c r="B48" s="8">
        <f t="shared" si="0"/>
        <v>44</v>
      </c>
      <c r="C48" s="166"/>
      <c r="D48" s="166"/>
      <c r="E48" s="120"/>
      <c r="F48" s="106"/>
      <c r="G48" s="106"/>
      <c r="H48" s="36"/>
    </row>
    <row r="49" spans="2:8" x14ac:dyDescent="0.3">
      <c r="B49" s="8">
        <f t="shared" si="0"/>
        <v>45</v>
      </c>
      <c r="C49" s="233"/>
      <c r="D49" s="233"/>
      <c r="E49" s="120"/>
      <c r="F49" s="106"/>
      <c r="G49" s="106"/>
      <c r="H49" s="36"/>
    </row>
    <row r="50" spans="2:8" x14ac:dyDescent="0.3">
      <c r="B50" s="8">
        <f t="shared" si="0"/>
        <v>46</v>
      </c>
      <c r="C50" s="233"/>
      <c r="D50" s="233"/>
      <c r="E50" s="120"/>
      <c r="F50" s="106"/>
      <c r="G50" s="106"/>
      <c r="H50" s="36"/>
    </row>
    <row r="51" spans="2:8" x14ac:dyDescent="0.3">
      <c r="B51" s="8">
        <f t="shared" si="0"/>
        <v>47</v>
      </c>
      <c r="C51" s="233"/>
      <c r="D51" s="233"/>
      <c r="E51" s="120"/>
      <c r="F51" s="106"/>
      <c r="G51" s="106"/>
      <c r="H51" s="36"/>
    </row>
    <row r="52" spans="2:8" x14ac:dyDescent="0.3">
      <c r="B52" s="8">
        <f t="shared" si="0"/>
        <v>48</v>
      </c>
      <c r="C52" s="166"/>
      <c r="D52" s="166"/>
      <c r="E52" s="120"/>
      <c r="F52" s="106"/>
      <c r="G52" s="106"/>
      <c r="H52" s="36"/>
    </row>
    <row r="53" spans="2:8" x14ac:dyDescent="0.3">
      <c r="B53" s="8">
        <f t="shared" si="0"/>
        <v>49</v>
      </c>
      <c r="C53" s="233"/>
      <c r="D53" s="233"/>
      <c r="E53" s="120"/>
      <c r="F53" s="106"/>
      <c r="G53" s="106"/>
      <c r="H53" s="36"/>
    </row>
    <row r="54" spans="2:8" x14ac:dyDescent="0.3">
      <c r="B54" s="8">
        <v>1</v>
      </c>
      <c r="C54" s="233" t="s">
        <v>241</v>
      </c>
      <c r="D54" s="233"/>
      <c r="E54" s="120"/>
      <c r="F54" s="106" t="s">
        <v>152</v>
      </c>
      <c r="G54" s="106"/>
      <c r="H54" s="36"/>
    </row>
    <row r="55" spans="2:8" x14ac:dyDescent="0.3">
      <c r="B55" s="8">
        <f>B54+1</f>
        <v>2</v>
      </c>
      <c r="C55" s="233" t="s">
        <v>242</v>
      </c>
      <c r="D55" s="233"/>
      <c r="E55" s="120"/>
      <c r="F55" s="106" t="s">
        <v>152</v>
      </c>
      <c r="G55" s="106"/>
      <c r="H55" s="36"/>
    </row>
    <row r="56" spans="2:8" x14ac:dyDescent="0.3">
      <c r="B56" s="8">
        <f t="shared" ref="B56:B79" si="1">B55+1</f>
        <v>3</v>
      </c>
      <c r="C56" s="166" t="s">
        <v>243</v>
      </c>
      <c r="D56" s="166"/>
      <c r="E56" s="120"/>
      <c r="F56" s="106" t="s">
        <v>238</v>
      </c>
      <c r="G56" s="106"/>
      <c r="H56" s="36"/>
    </row>
    <row r="57" spans="2:8" x14ac:dyDescent="0.3">
      <c r="B57" s="8">
        <f t="shared" si="1"/>
        <v>4</v>
      </c>
      <c r="C57" s="233"/>
      <c r="D57" s="233"/>
      <c r="E57" s="120"/>
      <c r="F57" s="106"/>
      <c r="G57" s="106"/>
      <c r="H57" s="36"/>
    </row>
    <row r="58" spans="2:8" x14ac:dyDescent="0.3">
      <c r="B58" s="8">
        <f t="shared" si="1"/>
        <v>5</v>
      </c>
      <c r="C58" s="233"/>
      <c r="D58" s="233"/>
      <c r="E58" s="120"/>
      <c r="F58" s="106"/>
      <c r="G58" s="106"/>
      <c r="H58" s="36"/>
    </row>
    <row r="59" spans="2:8" x14ac:dyDescent="0.3">
      <c r="B59" s="8">
        <f t="shared" si="1"/>
        <v>6</v>
      </c>
      <c r="C59" s="166"/>
      <c r="D59" s="166"/>
      <c r="E59" s="120"/>
      <c r="F59" s="106"/>
      <c r="G59" s="106"/>
      <c r="H59" s="36"/>
    </row>
    <row r="60" spans="2:8" x14ac:dyDescent="0.3">
      <c r="B60" s="8">
        <f t="shared" si="1"/>
        <v>7</v>
      </c>
      <c r="C60" s="166"/>
      <c r="D60" s="166"/>
      <c r="E60" s="120"/>
      <c r="F60" s="106"/>
      <c r="G60" s="106"/>
      <c r="H60" s="36"/>
    </row>
    <row r="61" spans="2:8" x14ac:dyDescent="0.3">
      <c r="B61" s="8">
        <f t="shared" si="1"/>
        <v>8</v>
      </c>
      <c r="C61" s="233"/>
      <c r="D61" s="233"/>
      <c r="E61" s="120"/>
      <c r="F61" s="106"/>
      <c r="G61" s="106"/>
      <c r="H61" s="36"/>
    </row>
    <row r="62" spans="2:8" x14ac:dyDescent="0.3">
      <c r="B62" s="8">
        <f t="shared" si="1"/>
        <v>9</v>
      </c>
      <c r="C62" s="233"/>
      <c r="D62" s="233"/>
      <c r="E62" s="120"/>
      <c r="F62" s="106"/>
      <c r="G62" s="106"/>
      <c r="H62" s="36"/>
    </row>
    <row r="63" spans="2:8" x14ac:dyDescent="0.3">
      <c r="B63" s="8">
        <f t="shared" si="1"/>
        <v>10</v>
      </c>
      <c r="C63" s="233"/>
      <c r="D63" s="233"/>
      <c r="E63" s="120"/>
      <c r="F63" s="106"/>
      <c r="G63" s="106"/>
      <c r="H63" s="36"/>
    </row>
    <row r="64" spans="2:8" x14ac:dyDescent="0.3">
      <c r="B64" s="8">
        <f t="shared" si="1"/>
        <v>11</v>
      </c>
      <c r="C64" s="233"/>
      <c r="D64" s="233"/>
      <c r="E64" s="120"/>
      <c r="F64" s="106"/>
      <c r="G64" s="106"/>
      <c r="H64" s="36"/>
    </row>
    <row r="65" spans="2:8" x14ac:dyDescent="0.3">
      <c r="B65" s="8">
        <f t="shared" si="1"/>
        <v>12</v>
      </c>
      <c r="C65" s="233"/>
      <c r="D65" s="233"/>
      <c r="E65" s="120"/>
      <c r="F65" s="106"/>
      <c r="G65" s="106"/>
      <c r="H65" s="36"/>
    </row>
    <row r="66" spans="2:8" x14ac:dyDescent="0.3">
      <c r="B66" s="8">
        <f t="shared" si="1"/>
        <v>13</v>
      </c>
      <c r="C66" s="233"/>
      <c r="D66" s="233"/>
      <c r="E66" s="120"/>
      <c r="F66" s="106"/>
      <c r="G66" s="106"/>
      <c r="H66" s="36"/>
    </row>
    <row r="67" spans="2:8" x14ac:dyDescent="0.3">
      <c r="B67" s="8">
        <f t="shared" si="1"/>
        <v>14</v>
      </c>
      <c r="C67" s="233"/>
      <c r="D67" s="233"/>
      <c r="E67" s="120"/>
      <c r="F67" s="106"/>
      <c r="G67" s="106"/>
      <c r="H67" s="36"/>
    </row>
    <row r="68" spans="2:8" x14ac:dyDescent="0.3">
      <c r="B68" s="8">
        <f t="shared" si="1"/>
        <v>15</v>
      </c>
      <c r="C68" s="233"/>
      <c r="D68" s="233"/>
      <c r="E68" s="120"/>
      <c r="F68" s="106"/>
      <c r="G68" s="106"/>
      <c r="H68" s="36"/>
    </row>
    <row r="69" spans="2:8" x14ac:dyDescent="0.3">
      <c r="B69" s="8">
        <f t="shared" si="1"/>
        <v>16</v>
      </c>
      <c r="C69" s="233"/>
      <c r="D69" s="233"/>
      <c r="E69" s="120"/>
      <c r="F69" s="106"/>
      <c r="G69" s="106"/>
      <c r="H69" s="36"/>
    </row>
    <row r="70" spans="2:8" x14ac:dyDescent="0.3">
      <c r="B70" s="8">
        <f t="shared" si="1"/>
        <v>17</v>
      </c>
      <c r="C70" s="233"/>
      <c r="D70" s="233"/>
      <c r="E70" s="120"/>
      <c r="F70" s="106"/>
      <c r="G70" s="106"/>
      <c r="H70" s="36"/>
    </row>
    <row r="71" spans="2:8" x14ac:dyDescent="0.3">
      <c r="B71" s="8">
        <f t="shared" si="1"/>
        <v>18</v>
      </c>
      <c r="C71" s="233"/>
      <c r="D71" s="233"/>
      <c r="E71" s="120"/>
      <c r="F71" s="106"/>
      <c r="G71" s="106"/>
      <c r="H71" s="36"/>
    </row>
    <row r="72" spans="2:8" x14ac:dyDescent="0.3">
      <c r="B72" s="8">
        <f t="shared" si="1"/>
        <v>19</v>
      </c>
      <c r="C72" s="233"/>
      <c r="D72" s="233"/>
      <c r="E72" s="120"/>
      <c r="F72" s="106"/>
      <c r="G72" s="106"/>
      <c r="H72" s="36"/>
    </row>
    <row r="73" spans="2:8" x14ac:dyDescent="0.3">
      <c r="B73" s="8">
        <f t="shared" si="1"/>
        <v>20</v>
      </c>
      <c r="C73" s="233"/>
      <c r="D73" s="233"/>
      <c r="E73" s="120"/>
      <c r="F73" s="106"/>
      <c r="G73" s="106"/>
      <c r="H73" s="36"/>
    </row>
    <row r="74" spans="2:8" x14ac:dyDescent="0.3">
      <c r="B74" s="8">
        <f t="shared" si="1"/>
        <v>21</v>
      </c>
      <c r="C74" s="233"/>
      <c r="D74" s="233"/>
      <c r="E74" s="120"/>
      <c r="F74" s="106"/>
      <c r="G74" s="106"/>
      <c r="H74" s="36"/>
    </row>
    <row r="75" spans="2:8" x14ac:dyDescent="0.3">
      <c r="B75" s="8">
        <f t="shared" si="1"/>
        <v>22</v>
      </c>
      <c r="C75" s="233"/>
      <c r="D75" s="233"/>
      <c r="E75" s="120"/>
      <c r="F75" s="106"/>
      <c r="G75" s="106"/>
      <c r="H75" s="36"/>
    </row>
    <row r="76" spans="2:8" x14ac:dyDescent="0.3">
      <c r="B76" s="8">
        <f t="shared" si="1"/>
        <v>23</v>
      </c>
      <c r="C76" s="233"/>
      <c r="D76" s="233"/>
      <c r="E76" s="120"/>
      <c r="F76" s="106"/>
      <c r="G76" s="106"/>
      <c r="H76" s="36"/>
    </row>
    <row r="77" spans="2:8" x14ac:dyDescent="0.3">
      <c r="B77" s="8">
        <f t="shared" si="1"/>
        <v>24</v>
      </c>
      <c r="C77" s="233"/>
      <c r="D77" s="233"/>
      <c r="E77" s="120"/>
      <c r="F77" s="106"/>
      <c r="G77" s="106"/>
      <c r="H77" s="36"/>
    </row>
    <row r="78" spans="2:8" x14ac:dyDescent="0.3">
      <c r="B78" s="8">
        <f t="shared" si="1"/>
        <v>25</v>
      </c>
      <c r="C78" s="233"/>
      <c r="D78" s="233"/>
      <c r="E78" s="120"/>
      <c r="F78" s="106"/>
      <c r="G78" s="106"/>
      <c r="H78" s="36"/>
    </row>
    <row r="79" spans="2:8" x14ac:dyDescent="0.3">
      <c r="B79" s="8">
        <f t="shared" si="1"/>
        <v>26</v>
      </c>
      <c r="C79" s="233"/>
      <c r="D79" s="233"/>
      <c r="E79" s="120"/>
      <c r="F79" s="106"/>
      <c r="G79" s="106"/>
      <c r="H79" s="36"/>
    </row>
    <row r="80" spans="2:8" x14ac:dyDescent="0.3">
      <c r="B80" s="8">
        <v>27</v>
      </c>
      <c r="C80" s="233"/>
      <c r="D80" s="233"/>
      <c r="E80" s="120"/>
      <c r="F80" s="106"/>
      <c r="G80" s="106"/>
      <c r="H80" s="36"/>
    </row>
    <row r="81" spans="2:8" x14ac:dyDescent="0.3">
      <c r="B81" s="8">
        <v>28</v>
      </c>
      <c r="C81" s="233"/>
      <c r="D81" s="233"/>
      <c r="E81" s="120"/>
      <c r="F81" s="106"/>
      <c r="G81" s="106"/>
      <c r="H81" s="36"/>
    </row>
    <row r="82" spans="2:8" x14ac:dyDescent="0.3">
      <c r="B82" s="8">
        <v>29</v>
      </c>
      <c r="C82" s="233"/>
      <c r="D82" s="233"/>
      <c r="E82" s="120"/>
      <c r="F82" s="106"/>
      <c r="G82" s="106"/>
      <c r="H82" s="36"/>
    </row>
    <row r="83" spans="2:8" x14ac:dyDescent="0.3">
      <c r="B83" s="8">
        <v>30</v>
      </c>
      <c r="C83" s="233"/>
      <c r="D83" s="233"/>
      <c r="E83" s="120"/>
      <c r="F83" s="106"/>
      <c r="G83" s="106"/>
      <c r="H83" s="36"/>
    </row>
    <row r="84" spans="2:8" x14ac:dyDescent="0.3">
      <c r="B84" s="8">
        <v>31</v>
      </c>
      <c r="C84" s="233"/>
      <c r="D84" s="233"/>
      <c r="E84" s="120"/>
      <c r="F84" s="106"/>
      <c r="G84" s="106"/>
      <c r="H84" s="36"/>
    </row>
    <row r="85" spans="2:8" x14ac:dyDescent="0.3">
      <c r="B85" s="8">
        <v>32</v>
      </c>
      <c r="C85" s="233"/>
      <c r="D85" s="233"/>
      <c r="E85" s="120"/>
      <c r="F85" s="106"/>
      <c r="G85" s="106"/>
      <c r="H85" s="36"/>
    </row>
    <row r="86" spans="2:8" x14ac:dyDescent="0.3">
      <c r="B86" s="8">
        <v>33</v>
      </c>
      <c r="C86" s="233"/>
      <c r="D86" s="233"/>
      <c r="E86" s="120"/>
      <c r="F86" s="106"/>
      <c r="G86" s="106"/>
      <c r="H86" s="36"/>
    </row>
    <row r="87" spans="2:8" x14ac:dyDescent="0.3">
      <c r="B87" s="8">
        <v>34</v>
      </c>
      <c r="C87" s="233"/>
      <c r="D87" s="233"/>
      <c r="E87" s="120"/>
      <c r="F87" s="106"/>
      <c r="G87" s="106"/>
      <c r="H87" s="36"/>
    </row>
    <row r="88" spans="2:8" x14ac:dyDescent="0.3">
      <c r="B88" s="8">
        <v>35</v>
      </c>
      <c r="C88" s="233"/>
      <c r="D88" s="233"/>
      <c r="E88" s="120"/>
      <c r="F88" s="106"/>
      <c r="G88" s="106"/>
      <c r="H88" s="36"/>
    </row>
    <row r="89" spans="2:8" x14ac:dyDescent="0.3">
      <c r="B89" s="8">
        <v>36</v>
      </c>
      <c r="C89" s="233"/>
      <c r="D89" s="233"/>
      <c r="E89" s="120"/>
      <c r="F89" s="106"/>
      <c r="G89" s="106"/>
      <c r="H89" s="36"/>
    </row>
    <row r="94" spans="2:8" x14ac:dyDescent="0.3">
      <c r="F94" s="321"/>
      <c r="G94" s="321"/>
    </row>
  </sheetData>
  <mergeCells count="1">
    <mergeCell ref="C2:H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78D8-E91D-4CBB-831F-D9EE0C6DFC42}">
  <sheetPr>
    <tabColor rgb="FF00B0F0"/>
    <pageSetUpPr fitToPage="1"/>
  </sheetPr>
  <dimension ref="A1:AW328"/>
  <sheetViews>
    <sheetView topLeftCell="B1" zoomScale="80" zoomScaleNormal="80" workbookViewId="0">
      <pane xSplit="1" ySplit="8" topLeftCell="C9" activePane="bottomRight" state="frozen"/>
      <selection activeCell="I4" sqref="I4"/>
      <selection pane="topRight" activeCell="I4" sqref="I4"/>
      <selection pane="bottomLeft" activeCell="I4" sqref="I4"/>
      <selection pane="bottomRight" activeCell="C2" sqref="C2"/>
    </sheetView>
  </sheetViews>
  <sheetFormatPr defaultColWidth="9.109375" defaultRowHeight="14.4" x14ac:dyDescent="0.3"/>
  <cols>
    <col min="1" max="1" width="6.33203125" customWidth="1"/>
    <col min="2" max="2" width="8.6640625" style="9" customWidth="1"/>
    <col min="3" max="3" width="11" style="103" bestFit="1" customWidth="1"/>
    <col min="4" max="4" width="16.33203125" style="103" bestFit="1" customWidth="1"/>
    <col min="5" max="5" width="19.33203125" style="103" customWidth="1"/>
    <col min="6" max="6" width="19.88671875" style="27" bestFit="1" customWidth="1"/>
    <col min="7" max="7" width="31.33203125" style="27" customWidth="1"/>
    <col min="8" max="8" width="23.33203125" style="27" bestFit="1" customWidth="1"/>
    <col min="9" max="9" width="18.33203125" style="8" customWidth="1"/>
    <col min="10" max="10" width="14.6640625" style="27" customWidth="1"/>
    <col min="11" max="11" width="17.5546875" style="27" customWidth="1"/>
    <col min="12" max="12" width="20.6640625" style="42" customWidth="1"/>
    <col min="13" max="13" width="21.33203125" style="42" customWidth="1"/>
    <col min="14" max="14" width="20.44140625" style="42" customWidth="1"/>
    <col min="15" max="15" width="24.6640625" style="42" customWidth="1"/>
    <col min="16" max="16" width="16.6640625" style="42" customWidth="1"/>
    <col min="17" max="17" width="10.5546875" style="42" customWidth="1"/>
    <col min="18" max="18" width="11.109375" style="42" customWidth="1"/>
    <col min="19" max="19" width="9.5546875" style="42" customWidth="1"/>
    <col min="20" max="20" width="14.109375" style="42" customWidth="1"/>
    <col min="21" max="21" width="12.33203125" style="42" customWidth="1"/>
    <col min="22" max="22" width="21.33203125" style="42" bestFit="1" customWidth="1"/>
    <col min="23" max="23" width="22.6640625" style="42" bestFit="1" customWidth="1"/>
    <col min="24" max="24" width="25.33203125" style="42" bestFit="1" customWidth="1"/>
    <col min="25" max="25" width="17.6640625" style="42" bestFit="1" customWidth="1"/>
    <col min="26" max="26" width="14.44140625" style="42" customWidth="1"/>
    <col min="27" max="27" width="21.6640625" style="42" customWidth="1"/>
    <col min="28" max="28" width="18" style="42" customWidth="1"/>
    <col min="29" max="29" width="20.44140625" customWidth="1"/>
    <col min="30" max="30" width="18.44140625" style="8" customWidth="1"/>
    <col min="31" max="31" width="13.109375" customWidth="1"/>
    <col min="32" max="32" width="12.33203125" customWidth="1"/>
    <col min="33" max="33" width="21.109375" style="8" customWidth="1"/>
    <col min="34" max="34" width="13.88671875" bestFit="1" customWidth="1"/>
    <col min="35" max="35" width="9.6640625" customWidth="1"/>
    <col min="36" max="36" width="8" customWidth="1"/>
    <col min="37" max="37" width="67.6640625" customWidth="1"/>
    <col min="38" max="38" width="4.5546875" customWidth="1"/>
    <col min="39" max="40" width="20.88671875" style="371" customWidth="1"/>
    <col min="41" max="41" width="9.109375" style="371" customWidth="1"/>
    <col min="42" max="42" width="12.33203125" style="371" bestFit="1" customWidth="1"/>
    <col min="43" max="43" width="21.109375" style="370" bestFit="1" customWidth="1"/>
    <col min="44" max="44" width="13.44140625" style="370" bestFit="1" customWidth="1"/>
    <col min="45" max="45" width="10.5546875" style="370" bestFit="1" customWidth="1"/>
    <col min="46" max="46" width="9.109375" style="370"/>
    <col min="47" max="47" width="14.33203125" style="370" customWidth="1"/>
    <col min="48" max="49" width="9.109375" style="370"/>
  </cols>
  <sheetData>
    <row r="1" spans="1:49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  <c r="Y1" s="428"/>
      <c r="Z1" s="428"/>
      <c r="AA1" s="428"/>
      <c r="AB1" s="428"/>
      <c r="AC1" s="428"/>
      <c r="AD1" s="428"/>
      <c r="AE1" s="428"/>
      <c r="AF1" s="428"/>
      <c r="AG1" s="428"/>
      <c r="AH1" s="428"/>
      <c r="AI1" s="428"/>
      <c r="AJ1" s="428"/>
      <c r="AK1" s="428"/>
      <c r="AL1" s="116"/>
      <c r="AM1" s="369"/>
      <c r="AN1" s="369"/>
      <c r="AO1" s="370"/>
      <c r="AP1" s="370"/>
    </row>
    <row r="2" spans="1:49" ht="15.6" x14ac:dyDescent="0.3">
      <c r="B2" s="116"/>
      <c r="C2" s="116"/>
      <c r="D2" s="116"/>
      <c r="E2" s="116"/>
      <c r="F2" s="116"/>
      <c r="G2" s="116"/>
      <c r="H2" s="116"/>
      <c r="I2" s="116"/>
      <c r="J2" s="25"/>
      <c r="K2" s="25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31"/>
      <c r="AD2" s="116"/>
      <c r="AE2" s="116"/>
      <c r="AF2" s="31"/>
      <c r="AG2" s="31"/>
      <c r="AH2" s="116"/>
      <c r="AI2" s="31"/>
      <c r="AO2" s="370"/>
      <c r="AP2" s="370"/>
    </row>
    <row r="3" spans="1:49" ht="23.4" x14ac:dyDescent="0.45">
      <c r="C3" s="9"/>
      <c r="D3" s="9"/>
      <c r="E3" s="9"/>
      <c r="F3" s="23"/>
      <c r="G3" s="429" t="s">
        <v>248</v>
      </c>
      <c r="H3" s="429"/>
      <c r="I3" s="429"/>
      <c r="J3" s="429"/>
      <c r="K3"/>
      <c r="L3"/>
      <c r="M3"/>
      <c r="N3"/>
      <c r="O3"/>
      <c r="P3"/>
      <c r="Q3"/>
      <c r="R3"/>
      <c r="S3"/>
      <c r="T3" s="8"/>
      <c r="U3" s="8"/>
      <c r="V3" s="8"/>
      <c r="W3"/>
      <c r="X3"/>
      <c r="Y3"/>
      <c r="Z3"/>
      <c r="AA3" s="32"/>
      <c r="AB3" s="8"/>
      <c r="AC3" s="8"/>
      <c r="AD3" s="32"/>
      <c r="AE3" s="32"/>
      <c r="AG3" s="32"/>
      <c r="AK3" s="8"/>
      <c r="AL3" s="8"/>
      <c r="AM3" s="370"/>
      <c r="AN3" s="370"/>
      <c r="AO3" s="370"/>
      <c r="AP3" s="370"/>
    </row>
    <row r="4" spans="1:49" ht="18" x14ac:dyDescent="0.35">
      <c r="C4" s="9"/>
      <c r="D4" s="9"/>
      <c r="E4" s="9"/>
      <c r="F4" s="4"/>
      <c r="G4" s="115"/>
      <c r="H4" s="115"/>
      <c r="I4" s="115"/>
      <c r="J4"/>
      <c r="K4"/>
      <c r="L4"/>
      <c r="M4"/>
      <c r="N4"/>
      <c r="O4"/>
      <c r="P4"/>
      <c r="Q4" s="4"/>
      <c r="R4" s="137" t="s">
        <v>78</v>
      </c>
      <c r="S4" s="23"/>
      <c r="T4" s="23"/>
      <c r="U4" s="5"/>
      <c r="V4" s="8"/>
      <c r="W4"/>
      <c r="X4" s="4"/>
      <c r="Y4" s="4"/>
      <c r="Z4" s="4"/>
      <c r="AA4" s="4"/>
      <c r="AB4" s="115"/>
      <c r="AC4" s="115"/>
      <c r="AD4" s="4"/>
      <c r="AE4" s="4"/>
      <c r="AF4" s="4"/>
      <c r="AG4" s="4"/>
      <c r="AH4" s="4"/>
      <c r="AK4" s="8"/>
      <c r="AL4" s="8"/>
      <c r="AM4" s="370"/>
      <c r="AN4" s="370"/>
      <c r="AO4" s="370"/>
      <c r="AP4" s="370"/>
    </row>
    <row r="5" spans="1:49" ht="18" x14ac:dyDescent="0.35">
      <c r="C5" s="9"/>
      <c r="D5" s="9"/>
      <c r="E5" s="9"/>
      <c r="F5" s="4"/>
      <c r="G5" s="115"/>
      <c r="H5" s="115"/>
      <c r="I5" s="115"/>
      <c r="J5"/>
      <c r="K5"/>
      <c r="L5"/>
      <c r="M5"/>
      <c r="N5"/>
      <c r="O5"/>
      <c r="P5"/>
      <c r="Q5" s="4"/>
      <c r="R5" s="138" t="s">
        <v>79</v>
      </c>
      <c r="S5" s="4"/>
      <c r="T5" s="4"/>
      <c r="U5" s="5"/>
      <c r="V5" s="8"/>
      <c r="W5" s="4"/>
      <c r="X5" s="4"/>
      <c r="Y5" s="4"/>
      <c r="Z5" s="115" t="s">
        <v>80</v>
      </c>
      <c r="AA5" s="4"/>
      <c r="AB5" s="115"/>
      <c r="AC5" s="115"/>
      <c r="AD5" s="4"/>
      <c r="AE5" s="4"/>
      <c r="AF5" s="4"/>
      <c r="AG5" s="4"/>
      <c r="AH5" s="4"/>
      <c r="AK5" s="8"/>
      <c r="AL5" s="8"/>
      <c r="AM5" s="370"/>
      <c r="AN5" s="370"/>
      <c r="AO5" s="370"/>
      <c r="AP5" s="370"/>
    </row>
    <row r="6" spans="1:49" ht="18" x14ac:dyDescent="0.35">
      <c r="C6" s="9"/>
      <c r="D6" s="9"/>
      <c r="E6" s="9"/>
      <c r="F6" s="115"/>
      <c r="G6" s="4"/>
      <c r="H6" s="4"/>
      <c r="I6" s="115"/>
      <c r="J6" s="115"/>
      <c r="K6" s="115"/>
      <c r="L6"/>
      <c r="M6"/>
      <c r="N6"/>
      <c r="O6"/>
      <c r="P6"/>
      <c r="Q6"/>
      <c r="R6"/>
      <c r="S6" s="4"/>
      <c r="T6" s="138"/>
      <c r="U6" s="4"/>
      <c r="V6" s="4"/>
      <c r="W6" s="5"/>
      <c r="X6" s="8"/>
      <c r="Y6" s="4"/>
      <c r="Z6" s="4"/>
      <c r="AA6" s="4"/>
      <c r="AB6" s="115"/>
      <c r="AC6" s="4"/>
      <c r="AD6" s="115"/>
      <c r="AE6" s="115"/>
      <c r="AF6" s="4"/>
      <c r="AG6" s="4"/>
      <c r="AH6" s="4"/>
      <c r="AI6" s="4"/>
      <c r="AJ6" s="4"/>
      <c r="AO6" s="370"/>
      <c r="AP6" s="370"/>
    </row>
    <row r="7" spans="1:49" x14ac:dyDescent="0.3">
      <c r="F7" s="27" t="s">
        <v>82</v>
      </c>
      <c r="M7" s="302"/>
      <c r="N7" s="302"/>
      <c r="O7" s="302"/>
      <c r="Z7" s="146"/>
      <c r="AC7" s="8"/>
      <c r="AE7" s="8"/>
      <c r="AF7" s="8"/>
      <c r="AH7" s="8"/>
      <c r="AI7" s="8"/>
      <c r="AJ7" s="8"/>
      <c r="AK7" s="8"/>
      <c r="AP7" s="422" t="s">
        <v>83</v>
      </c>
      <c r="AQ7" s="423"/>
      <c r="AR7" s="424"/>
      <c r="AS7" s="372"/>
      <c r="AU7" s="373" t="s">
        <v>84</v>
      </c>
    </row>
    <row r="8" spans="1:49" s="7" customFormat="1" ht="20.399999999999999" customHeight="1" x14ac:dyDescent="0.3">
      <c r="B8" s="292" t="s">
        <v>85</v>
      </c>
      <c r="C8" s="298" t="s">
        <v>64</v>
      </c>
      <c r="D8" s="299" t="s">
        <v>86</v>
      </c>
      <c r="E8" s="294" t="s">
        <v>87</v>
      </c>
      <c r="F8" s="300" t="s">
        <v>88</v>
      </c>
      <c r="G8" s="295" t="s">
        <v>89</v>
      </c>
      <c r="H8" s="295" t="s">
        <v>90</v>
      </c>
      <c r="I8" s="295" t="s">
        <v>91</v>
      </c>
      <c r="J8" s="299" t="s">
        <v>92</v>
      </c>
      <c r="K8" s="299" t="s">
        <v>93</v>
      </c>
      <c r="L8" s="296" t="s">
        <v>94</v>
      </c>
      <c r="M8" s="301" t="s">
        <v>95</v>
      </c>
      <c r="N8" s="301" t="s">
        <v>96</v>
      </c>
      <c r="O8" s="301" t="s">
        <v>97</v>
      </c>
      <c r="P8" s="296" t="s">
        <v>98</v>
      </c>
      <c r="Q8" s="296" t="s">
        <v>99</v>
      </c>
      <c r="R8" s="296" t="s">
        <v>100</v>
      </c>
      <c r="S8" s="296" t="s">
        <v>101</v>
      </c>
      <c r="T8" s="296" t="s">
        <v>102</v>
      </c>
      <c r="U8" s="296" t="s">
        <v>103</v>
      </c>
      <c r="V8" s="296" t="s">
        <v>104</v>
      </c>
      <c r="W8" s="296" t="s">
        <v>105</v>
      </c>
      <c r="X8" s="296" t="s">
        <v>106</v>
      </c>
      <c r="Y8" s="296" t="s">
        <v>13</v>
      </c>
      <c r="Z8" s="303" t="s">
        <v>107</v>
      </c>
      <c r="AA8" s="293" t="s">
        <v>108</v>
      </c>
      <c r="AB8" s="304" t="s">
        <v>109</v>
      </c>
      <c r="AC8" s="342" t="s">
        <v>110</v>
      </c>
      <c r="AD8" s="342" t="s">
        <v>111</v>
      </c>
      <c r="AE8" s="342" t="s">
        <v>112</v>
      </c>
      <c r="AF8" s="342" t="s">
        <v>113</v>
      </c>
      <c r="AG8" s="342" t="s">
        <v>114</v>
      </c>
      <c r="AH8" s="342" t="s">
        <v>115</v>
      </c>
      <c r="AI8" s="342" t="s">
        <v>116</v>
      </c>
      <c r="AJ8" s="342" t="s">
        <v>117</v>
      </c>
      <c r="AK8" s="343" t="s">
        <v>118</v>
      </c>
      <c r="AM8" s="374" t="s">
        <v>119</v>
      </c>
      <c r="AN8" s="374" t="s">
        <v>120</v>
      </c>
      <c r="AO8" s="375"/>
      <c r="AP8" s="376" t="s">
        <v>121</v>
      </c>
      <c r="AQ8" s="377" t="s">
        <v>122</v>
      </c>
      <c r="AR8" s="378" t="s">
        <v>123</v>
      </c>
      <c r="AS8" s="379"/>
      <c r="AT8" s="380"/>
      <c r="AU8" s="379"/>
      <c r="AV8" s="380"/>
      <c r="AW8" s="380"/>
    </row>
    <row r="9" spans="1:49" x14ac:dyDescent="0.3">
      <c r="A9" s="42"/>
      <c r="B9" s="11">
        <v>1</v>
      </c>
      <c r="C9" s="1"/>
      <c r="D9" s="160"/>
      <c r="E9" s="160"/>
      <c r="F9" s="237"/>
      <c r="G9" s="166"/>
      <c r="H9" s="166"/>
      <c r="I9" s="106"/>
      <c r="J9" s="43"/>
      <c r="K9" s="43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>
        <f t="shared" ref="Y9" si="0">SUM(L9:X9)</f>
        <v>0</v>
      </c>
      <c r="Z9" s="54">
        <f>U9+X9</f>
        <v>0</v>
      </c>
      <c r="AA9" s="139">
        <f>Y9-Z9</f>
        <v>0</v>
      </c>
      <c r="AB9" s="144"/>
      <c r="AC9" s="29"/>
      <c r="AD9" s="29"/>
      <c r="AE9" s="106"/>
      <c r="AF9" s="43"/>
      <c r="AG9" s="238"/>
      <c r="AH9" s="43"/>
      <c r="AI9" s="43"/>
      <c r="AJ9" s="43"/>
      <c r="AK9" s="36"/>
      <c r="AL9" s="32"/>
      <c r="AM9" s="381"/>
      <c r="AN9" s="382"/>
      <c r="AO9" s="370"/>
      <c r="AP9" s="383">
        <f t="shared" ref="AP9" si="1">L9+M9+P9</f>
        <v>0</v>
      </c>
      <c r="AQ9" s="383">
        <f>Q9+R9+S9+T9+V9+W9</f>
        <v>0</v>
      </c>
      <c r="AR9" s="383">
        <f t="shared" ref="AR9" si="2">SUM(AP9:AQ9)</f>
        <v>0</v>
      </c>
      <c r="AS9" s="384">
        <f t="shared" ref="AS9:AS55" si="3">AR9-Y9+U9+X9</f>
        <v>0</v>
      </c>
      <c r="AU9" s="385">
        <f t="shared" ref="AU9:AU54" si="4">Y9-AR9</f>
        <v>0</v>
      </c>
      <c r="AV9" s="386">
        <f t="shared" ref="AV9:AV54" si="5">AU9-Z9</f>
        <v>0</v>
      </c>
    </row>
    <row r="10" spans="1:49" x14ac:dyDescent="0.3">
      <c r="B10" s="11">
        <v>2</v>
      </c>
      <c r="C10" s="1"/>
      <c r="D10" s="160"/>
      <c r="E10" s="160"/>
      <c r="F10" s="237"/>
      <c r="G10" s="166"/>
      <c r="H10" s="166"/>
      <c r="I10" s="106"/>
      <c r="J10" s="43"/>
      <c r="K10" s="43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>
        <f t="shared" ref="Y10:Y47" si="6">SUM(L10:X10)</f>
        <v>0</v>
      </c>
      <c r="Z10" s="54">
        <f t="shared" ref="Z10:Z54" si="7">U10+X10</f>
        <v>0</v>
      </c>
      <c r="AA10" s="139">
        <f t="shared" ref="AA10:AA47" si="8">Y10-Z10</f>
        <v>0</v>
      </c>
      <c r="AB10" s="144"/>
      <c r="AC10" s="29"/>
      <c r="AD10" s="29"/>
      <c r="AE10" s="106"/>
      <c r="AF10" s="43"/>
      <c r="AG10" s="238"/>
      <c r="AH10" s="43"/>
      <c r="AI10" s="43"/>
      <c r="AJ10" s="43"/>
      <c r="AK10" s="36"/>
      <c r="AL10" s="32"/>
      <c r="AM10" s="381"/>
      <c r="AN10" s="382"/>
      <c r="AP10" s="383">
        <f>L10+M10+N10+O10+P10</f>
        <v>0</v>
      </c>
      <c r="AQ10" s="383">
        <f t="shared" ref="AQ10:AQ54" si="9">Q10+R10+S10+T10+V10+W10</f>
        <v>0</v>
      </c>
      <c r="AR10" s="383">
        <f t="shared" ref="AR10:AR54" si="10">SUM(AP10:AQ10)</f>
        <v>0</v>
      </c>
      <c r="AS10" s="384">
        <f t="shared" si="3"/>
        <v>0</v>
      </c>
      <c r="AU10" s="385">
        <f t="shared" si="4"/>
        <v>0</v>
      </c>
      <c r="AV10" s="386">
        <f t="shared" si="5"/>
        <v>0</v>
      </c>
    </row>
    <row r="11" spans="1:49" x14ac:dyDescent="0.3">
      <c r="A11" s="42"/>
      <c r="B11" s="11">
        <v>3</v>
      </c>
      <c r="C11" s="1"/>
      <c r="D11" s="160"/>
      <c r="E11" s="160"/>
      <c r="F11" s="237"/>
      <c r="G11" s="166"/>
      <c r="H11" s="166"/>
      <c r="I11" s="106"/>
      <c r="J11" s="43"/>
      <c r="K11" s="43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>
        <f t="shared" si="6"/>
        <v>0</v>
      </c>
      <c r="Z11" s="54">
        <f t="shared" si="7"/>
        <v>0</v>
      </c>
      <c r="AA11" s="139">
        <f t="shared" si="8"/>
        <v>0</v>
      </c>
      <c r="AB11" s="144"/>
      <c r="AC11" s="29"/>
      <c r="AD11" s="29"/>
      <c r="AE11" s="106"/>
      <c r="AF11" s="43"/>
      <c r="AG11" s="238"/>
      <c r="AH11" s="43"/>
      <c r="AI11" s="43"/>
      <c r="AJ11" s="43"/>
      <c r="AK11" s="36"/>
      <c r="AL11" s="32"/>
      <c r="AM11" s="381"/>
      <c r="AN11" s="382"/>
      <c r="AO11" s="370"/>
      <c r="AP11" s="383">
        <f t="shared" ref="AP11:AP54" si="11">L11+M11+N11+O11+P11</f>
        <v>0</v>
      </c>
      <c r="AQ11" s="383">
        <f t="shared" si="9"/>
        <v>0</v>
      </c>
      <c r="AR11" s="383">
        <f t="shared" si="10"/>
        <v>0</v>
      </c>
      <c r="AS11" s="384">
        <f t="shared" si="3"/>
        <v>0</v>
      </c>
      <c r="AU11" s="385">
        <f t="shared" si="4"/>
        <v>0</v>
      </c>
      <c r="AV11" s="386">
        <f t="shared" si="5"/>
        <v>0</v>
      </c>
    </row>
    <row r="12" spans="1:49" x14ac:dyDescent="0.3">
      <c r="A12" s="42"/>
      <c r="B12" s="11">
        <v>4</v>
      </c>
      <c r="C12" s="1"/>
      <c r="D12" s="160"/>
      <c r="E12" s="160"/>
      <c r="F12" s="237"/>
      <c r="G12" s="166"/>
      <c r="H12" s="166"/>
      <c r="I12" s="106"/>
      <c r="J12" s="43"/>
      <c r="K12" s="43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>
        <f t="shared" si="6"/>
        <v>0</v>
      </c>
      <c r="Z12" s="54">
        <f t="shared" si="7"/>
        <v>0</v>
      </c>
      <c r="AA12" s="139">
        <f t="shared" si="8"/>
        <v>0</v>
      </c>
      <c r="AB12" s="144"/>
      <c r="AC12" s="29"/>
      <c r="AD12" s="29"/>
      <c r="AE12" s="106"/>
      <c r="AF12" s="43"/>
      <c r="AG12" s="167"/>
      <c r="AH12" s="43"/>
      <c r="AI12" s="43"/>
      <c r="AJ12" s="43"/>
      <c r="AK12" s="36"/>
      <c r="AL12" s="32"/>
      <c r="AM12" s="381"/>
      <c r="AN12" s="382"/>
      <c r="AO12" s="370"/>
      <c r="AP12" s="383">
        <f t="shared" si="11"/>
        <v>0</v>
      </c>
      <c r="AQ12" s="383">
        <f t="shared" si="9"/>
        <v>0</v>
      </c>
      <c r="AR12" s="383">
        <f t="shared" si="10"/>
        <v>0</v>
      </c>
      <c r="AS12" s="384">
        <f t="shared" si="3"/>
        <v>0</v>
      </c>
      <c r="AU12" s="385">
        <f t="shared" si="4"/>
        <v>0</v>
      </c>
      <c r="AV12" s="386">
        <f t="shared" si="5"/>
        <v>0</v>
      </c>
    </row>
    <row r="13" spans="1:49" x14ac:dyDescent="0.3">
      <c r="A13" s="42"/>
      <c r="B13" s="11">
        <v>5</v>
      </c>
      <c r="C13" s="1"/>
      <c r="D13" s="160"/>
      <c r="E13" s="160"/>
      <c r="F13" s="237"/>
      <c r="G13" s="166"/>
      <c r="H13" s="166"/>
      <c r="I13" s="106"/>
      <c r="J13" s="43"/>
      <c r="K13" s="43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>
        <f>SUM(L13:X13)</f>
        <v>0</v>
      </c>
      <c r="Z13" s="54">
        <f t="shared" si="7"/>
        <v>0</v>
      </c>
      <c r="AA13" s="139">
        <f>Y13-Z13</f>
        <v>0</v>
      </c>
      <c r="AB13" s="144"/>
      <c r="AC13" s="29"/>
      <c r="AD13" s="29"/>
      <c r="AE13" s="106"/>
      <c r="AF13" s="43"/>
      <c r="AG13" s="167"/>
      <c r="AH13" s="43"/>
      <c r="AI13" s="43"/>
      <c r="AJ13" s="43"/>
      <c r="AK13" s="36"/>
      <c r="AL13" s="32"/>
      <c r="AM13" s="381"/>
      <c r="AN13" s="382"/>
      <c r="AO13" s="370"/>
      <c r="AP13" s="383">
        <f t="shared" si="11"/>
        <v>0</v>
      </c>
      <c r="AQ13" s="383">
        <f t="shared" si="9"/>
        <v>0</v>
      </c>
      <c r="AR13" s="383">
        <f t="shared" si="10"/>
        <v>0</v>
      </c>
      <c r="AS13" s="384">
        <f t="shared" si="3"/>
        <v>0</v>
      </c>
      <c r="AU13" s="385">
        <f t="shared" si="4"/>
        <v>0</v>
      </c>
      <c r="AV13" s="386">
        <f t="shared" si="5"/>
        <v>0</v>
      </c>
    </row>
    <row r="14" spans="1:49" x14ac:dyDescent="0.3">
      <c r="A14" s="42"/>
      <c r="B14" s="11">
        <v>6</v>
      </c>
      <c r="C14" s="1"/>
      <c r="D14" s="160"/>
      <c r="E14" s="160"/>
      <c r="F14" s="237"/>
      <c r="G14" s="166"/>
      <c r="H14" s="166"/>
      <c r="I14" s="106"/>
      <c r="J14" s="43"/>
      <c r="K14" s="43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>
        <f t="shared" si="6"/>
        <v>0</v>
      </c>
      <c r="Z14" s="54">
        <f t="shared" si="7"/>
        <v>0</v>
      </c>
      <c r="AA14" s="139">
        <f t="shared" si="8"/>
        <v>0</v>
      </c>
      <c r="AB14" s="144"/>
      <c r="AC14" s="29"/>
      <c r="AD14" s="29"/>
      <c r="AE14" s="106"/>
      <c r="AF14" s="43"/>
      <c r="AG14" s="167"/>
      <c r="AH14" s="43"/>
      <c r="AI14" s="43"/>
      <c r="AJ14" s="43"/>
      <c r="AK14" s="36"/>
      <c r="AL14" s="32"/>
      <c r="AM14" s="381"/>
      <c r="AN14" s="382"/>
      <c r="AP14" s="383">
        <f t="shared" si="11"/>
        <v>0</v>
      </c>
      <c r="AQ14" s="383">
        <f t="shared" si="9"/>
        <v>0</v>
      </c>
      <c r="AR14" s="383">
        <f t="shared" si="10"/>
        <v>0</v>
      </c>
      <c r="AS14" s="384">
        <f t="shared" si="3"/>
        <v>0</v>
      </c>
      <c r="AU14" s="385">
        <f t="shared" si="4"/>
        <v>0</v>
      </c>
      <c r="AV14" s="386">
        <f t="shared" si="5"/>
        <v>0</v>
      </c>
    </row>
    <row r="15" spans="1:49" x14ac:dyDescent="0.3">
      <c r="B15" s="11">
        <v>7</v>
      </c>
      <c r="C15" s="1"/>
      <c r="D15" s="160"/>
      <c r="E15" s="160"/>
      <c r="F15" s="237"/>
      <c r="G15" s="166"/>
      <c r="H15" s="166"/>
      <c r="I15" s="106"/>
      <c r="J15" s="43"/>
      <c r="K15" s="43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>
        <f t="shared" si="6"/>
        <v>0</v>
      </c>
      <c r="Z15" s="54">
        <f t="shared" si="7"/>
        <v>0</v>
      </c>
      <c r="AA15" s="139">
        <f t="shared" si="8"/>
        <v>0</v>
      </c>
      <c r="AB15" s="144"/>
      <c r="AC15" s="29"/>
      <c r="AD15" s="29"/>
      <c r="AE15" s="106"/>
      <c r="AF15" s="43"/>
      <c r="AG15" s="167"/>
      <c r="AH15" s="43"/>
      <c r="AI15" s="43"/>
      <c r="AJ15" s="239"/>
      <c r="AK15" s="36"/>
      <c r="AL15" s="32"/>
      <c r="AM15" s="381"/>
      <c r="AN15" s="382"/>
      <c r="AP15" s="383">
        <f t="shared" si="11"/>
        <v>0</v>
      </c>
      <c r="AQ15" s="383">
        <f t="shared" si="9"/>
        <v>0</v>
      </c>
      <c r="AR15" s="383">
        <f t="shared" si="10"/>
        <v>0</v>
      </c>
      <c r="AS15" s="384">
        <f t="shared" si="3"/>
        <v>0</v>
      </c>
      <c r="AU15" s="385">
        <f t="shared" si="4"/>
        <v>0</v>
      </c>
      <c r="AV15" s="386">
        <f t="shared" si="5"/>
        <v>0</v>
      </c>
    </row>
    <row r="16" spans="1:49" x14ac:dyDescent="0.3">
      <c r="A16" s="42"/>
      <c r="B16" s="11">
        <v>8</v>
      </c>
      <c r="C16" s="1"/>
      <c r="D16" s="160"/>
      <c r="E16" s="160"/>
      <c r="F16" s="237"/>
      <c r="G16" s="166"/>
      <c r="H16" s="166"/>
      <c r="I16" s="106"/>
      <c r="J16" s="43"/>
      <c r="K16" s="43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>
        <f t="shared" si="6"/>
        <v>0</v>
      </c>
      <c r="Z16" s="54">
        <f t="shared" si="7"/>
        <v>0</v>
      </c>
      <c r="AA16" s="139">
        <f t="shared" si="8"/>
        <v>0</v>
      </c>
      <c r="AB16" s="144"/>
      <c r="AC16" s="29"/>
      <c r="AD16" s="29"/>
      <c r="AE16" s="106"/>
      <c r="AF16" s="43"/>
      <c r="AG16" s="167"/>
      <c r="AH16" s="43"/>
      <c r="AI16" s="43"/>
      <c r="AJ16" s="239"/>
      <c r="AK16" s="36"/>
      <c r="AL16" s="32"/>
      <c r="AM16" s="381"/>
      <c r="AN16" s="382"/>
      <c r="AO16" s="370"/>
      <c r="AP16" s="383">
        <f t="shared" si="11"/>
        <v>0</v>
      </c>
      <c r="AQ16" s="383">
        <f t="shared" si="9"/>
        <v>0</v>
      </c>
      <c r="AR16" s="383">
        <f t="shared" si="10"/>
        <v>0</v>
      </c>
      <c r="AS16" s="384">
        <f t="shared" si="3"/>
        <v>0</v>
      </c>
      <c r="AU16" s="385">
        <f t="shared" si="4"/>
        <v>0</v>
      </c>
      <c r="AV16" s="386">
        <f t="shared" si="5"/>
        <v>0</v>
      </c>
    </row>
    <row r="17" spans="1:48" x14ac:dyDescent="0.3">
      <c r="B17" s="11">
        <v>9</v>
      </c>
      <c r="C17" s="1"/>
      <c r="D17" s="160"/>
      <c r="E17" s="160"/>
      <c r="F17" s="237"/>
      <c r="G17" s="166"/>
      <c r="H17" s="166"/>
      <c r="I17" s="106"/>
      <c r="J17" s="43"/>
      <c r="K17" s="43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>
        <f t="shared" si="6"/>
        <v>0</v>
      </c>
      <c r="Z17" s="54">
        <f t="shared" si="7"/>
        <v>0</v>
      </c>
      <c r="AA17" s="139">
        <f t="shared" si="8"/>
        <v>0</v>
      </c>
      <c r="AB17" s="144"/>
      <c r="AC17" s="29"/>
      <c r="AD17" s="29"/>
      <c r="AE17" s="106"/>
      <c r="AF17" s="43"/>
      <c r="AG17" s="167"/>
      <c r="AH17" s="43"/>
      <c r="AI17" s="43"/>
      <c r="AJ17" s="239"/>
      <c r="AK17" s="36"/>
      <c r="AL17" s="32"/>
      <c r="AM17" s="381"/>
      <c r="AN17" s="382"/>
      <c r="AP17" s="383">
        <f t="shared" si="11"/>
        <v>0</v>
      </c>
      <c r="AQ17" s="383">
        <f t="shared" si="9"/>
        <v>0</v>
      </c>
      <c r="AR17" s="383">
        <f t="shared" si="10"/>
        <v>0</v>
      </c>
      <c r="AS17" s="384">
        <f t="shared" si="3"/>
        <v>0</v>
      </c>
      <c r="AU17" s="385">
        <f t="shared" si="4"/>
        <v>0</v>
      </c>
      <c r="AV17" s="386">
        <f t="shared" si="5"/>
        <v>0</v>
      </c>
    </row>
    <row r="18" spans="1:48" x14ac:dyDescent="0.3">
      <c r="B18" s="11">
        <v>10</v>
      </c>
      <c r="C18" s="1"/>
      <c r="D18" s="160"/>
      <c r="E18" s="160"/>
      <c r="F18" s="237"/>
      <c r="G18" s="166"/>
      <c r="H18" s="166"/>
      <c r="I18" s="106"/>
      <c r="J18" s="43"/>
      <c r="K18" s="43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>
        <f t="shared" si="6"/>
        <v>0</v>
      </c>
      <c r="Z18" s="54">
        <f t="shared" si="7"/>
        <v>0</v>
      </c>
      <c r="AA18" s="139">
        <f t="shared" si="8"/>
        <v>0</v>
      </c>
      <c r="AB18" s="144"/>
      <c r="AC18" s="29"/>
      <c r="AD18" s="29"/>
      <c r="AE18" s="106"/>
      <c r="AF18" s="43"/>
      <c r="AG18" s="167"/>
      <c r="AH18" s="43"/>
      <c r="AI18" s="43"/>
      <c r="AJ18" s="239"/>
      <c r="AK18" s="36"/>
      <c r="AL18" s="32"/>
      <c r="AM18" s="381"/>
      <c r="AN18" s="382"/>
      <c r="AP18" s="383">
        <f t="shared" si="11"/>
        <v>0</v>
      </c>
      <c r="AQ18" s="383">
        <f t="shared" si="9"/>
        <v>0</v>
      </c>
      <c r="AR18" s="383">
        <f t="shared" si="10"/>
        <v>0</v>
      </c>
      <c r="AS18" s="384">
        <f t="shared" si="3"/>
        <v>0</v>
      </c>
      <c r="AU18" s="385">
        <f t="shared" si="4"/>
        <v>0</v>
      </c>
      <c r="AV18" s="386">
        <f t="shared" si="5"/>
        <v>0</v>
      </c>
    </row>
    <row r="19" spans="1:48" x14ac:dyDescent="0.3">
      <c r="A19" s="42"/>
      <c r="B19" s="11">
        <v>11</v>
      </c>
      <c r="C19" s="1"/>
      <c r="D19" s="160"/>
      <c r="E19" s="160"/>
      <c r="F19" s="237"/>
      <c r="G19" s="166"/>
      <c r="H19" s="166"/>
      <c r="I19" s="106"/>
      <c r="J19" s="43"/>
      <c r="K19" s="43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>
        <f t="shared" si="6"/>
        <v>0</v>
      </c>
      <c r="Z19" s="54">
        <f t="shared" si="7"/>
        <v>0</v>
      </c>
      <c r="AA19" s="139">
        <f t="shared" si="8"/>
        <v>0</v>
      </c>
      <c r="AB19" s="144"/>
      <c r="AC19" s="29"/>
      <c r="AD19" s="29"/>
      <c r="AE19" s="106"/>
      <c r="AF19" s="43"/>
      <c r="AG19" s="167"/>
      <c r="AH19" s="43"/>
      <c r="AI19" s="43"/>
      <c r="AJ19" s="239"/>
      <c r="AK19" s="36"/>
      <c r="AL19" s="32"/>
      <c r="AM19" s="381"/>
      <c r="AN19" s="382"/>
      <c r="AO19" s="370"/>
      <c r="AP19" s="383">
        <f t="shared" si="11"/>
        <v>0</v>
      </c>
      <c r="AQ19" s="383">
        <f t="shared" si="9"/>
        <v>0</v>
      </c>
      <c r="AR19" s="383">
        <f t="shared" si="10"/>
        <v>0</v>
      </c>
      <c r="AS19" s="384">
        <f t="shared" si="3"/>
        <v>0</v>
      </c>
      <c r="AU19" s="385">
        <f t="shared" si="4"/>
        <v>0</v>
      </c>
      <c r="AV19" s="386">
        <f t="shared" si="5"/>
        <v>0</v>
      </c>
    </row>
    <row r="20" spans="1:48" x14ac:dyDescent="0.3">
      <c r="A20" s="42"/>
      <c r="B20" s="11">
        <v>12</v>
      </c>
      <c r="C20" s="1"/>
      <c r="D20" s="160"/>
      <c r="E20" s="160"/>
      <c r="F20" s="237"/>
      <c r="G20" s="166"/>
      <c r="H20" s="166"/>
      <c r="I20" s="106"/>
      <c r="J20" s="43"/>
      <c r="K20" s="43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>
        <f t="shared" si="6"/>
        <v>0</v>
      </c>
      <c r="Z20" s="54">
        <f t="shared" si="7"/>
        <v>0</v>
      </c>
      <c r="AA20" s="139">
        <f t="shared" si="8"/>
        <v>0</v>
      </c>
      <c r="AB20" s="144"/>
      <c r="AC20" s="29"/>
      <c r="AD20" s="29"/>
      <c r="AE20" s="106"/>
      <c r="AF20" s="43"/>
      <c r="AG20" s="167"/>
      <c r="AH20" s="43"/>
      <c r="AI20" s="43"/>
      <c r="AJ20" s="239"/>
      <c r="AK20" s="36"/>
      <c r="AL20" s="32"/>
      <c r="AM20" s="381"/>
      <c r="AN20" s="382"/>
      <c r="AO20" s="370"/>
      <c r="AP20" s="383">
        <f t="shared" si="11"/>
        <v>0</v>
      </c>
      <c r="AQ20" s="383">
        <f t="shared" si="9"/>
        <v>0</v>
      </c>
      <c r="AR20" s="383">
        <f t="shared" si="10"/>
        <v>0</v>
      </c>
      <c r="AS20" s="384">
        <f t="shared" si="3"/>
        <v>0</v>
      </c>
      <c r="AU20" s="385">
        <f t="shared" si="4"/>
        <v>0</v>
      </c>
      <c r="AV20" s="386">
        <f t="shared" si="5"/>
        <v>0</v>
      </c>
    </row>
    <row r="21" spans="1:48" x14ac:dyDescent="0.3">
      <c r="A21" s="42"/>
      <c r="B21" s="11">
        <v>13</v>
      </c>
      <c r="C21" s="1"/>
      <c r="D21" s="160"/>
      <c r="E21" s="160"/>
      <c r="F21" s="237"/>
      <c r="G21" s="166"/>
      <c r="H21" s="166"/>
      <c r="I21" s="106"/>
      <c r="J21" s="43"/>
      <c r="K21" s="43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>
        <f t="shared" si="6"/>
        <v>0</v>
      </c>
      <c r="Z21" s="54">
        <f t="shared" si="7"/>
        <v>0</v>
      </c>
      <c r="AA21" s="139">
        <f t="shared" si="8"/>
        <v>0</v>
      </c>
      <c r="AB21" s="144"/>
      <c r="AC21" s="29"/>
      <c r="AD21" s="29"/>
      <c r="AE21" s="106"/>
      <c r="AF21" s="43"/>
      <c r="AG21" s="167"/>
      <c r="AH21" s="43"/>
      <c r="AI21" s="43"/>
      <c r="AJ21" s="239"/>
      <c r="AK21" s="36"/>
      <c r="AL21" s="32"/>
      <c r="AM21" s="381"/>
      <c r="AN21" s="382"/>
      <c r="AO21" s="370"/>
      <c r="AP21" s="383">
        <f t="shared" si="11"/>
        <v>0</v>
      </c>
      <c r="AQ21" s="383">
        <f t="shared" si="9"/>
        <v>0</v>
      </c>
      <c r="AR21" s="383">
        <f t="shared" si="10"/>
        <v>0</v>
      </c>
      <c r="AS21" s="384">
        <f t="shared" si="3"/>
        <v>0</v>
      </c>
      <c r="AU21" s="385">
        <f t="shared" si="4"/>
        <v>0</v>
      </c>
      <c r="AV21" s="386">
        <f t="shared" si="5"/>
        <v>0</v>
      </c>
    </row>
    <row r="22" spans="1:48" x14ac:dyDescent="0.3">
      <c r="A22" s="42"/>
      <c r="B22" s="11">
        <v>14</v>
      </c>
      <c r="C22" s="1"/>
      <c r="D22" s="160"/>
      <c r="E22" s="160"/>
      <c r="F22" s="237"/>
      <c r="G22" s="166"/>
      <c r="H22" s="166"/>
      <c r="I22" s="106"/>
      <c r="J22" s="43"/>
      <c r="K22" s="43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>
        <f t="shared" si="6"/>
        <v>0</v>
      </c>
      <c r="Z22" s="54">
        <f t="shared" si="7"/>
        <v>0</v>
      </c>
      <c r="AA22" s="139">
        <f t="shared" si="8"/>
        <v>0</v>
      </c>
      <c r="AB22" s="144"/>
      <c r="AC22" s="29"/>
      <c r="AD22" s="29"/>
      <c r="AE22" s="106"/>
      <c r="AF22" s="43"/>
      <c r="AG22" s="167"/>
      <c r="AH22" s="43"/>
      <c r="AI22" s="43"/>
      <c r="AJ22" s="239"/>
      <c r="AK22" s="36"/>
      <c r="AL22" s="32"/>
      <c r="AM22" s="381"/>
      <c r="AN22" s="382"/>
      <c r="AP22" s="383">
        <f t="shared" si="11"/>
        <v>0</v>
      </c>
      <c r="AQ22" s="383">
        <f t="shared" si="9"/>
        <v>0</v>
      </c>
      <c r="AR22" s="383">
        <f t="shared" si="10"/>
        <v>0</v>
      </c>
      <c r="AS22" s="384">
        <f t="shared" si="3"/>
        <v>0</v>
      </c>
      <c r="AU22" s="385">
        <f t="shared" si="4"/>
        <v>0</v>
      </c>
      <c r="AV22" s="386">
        <f t="shared" si="5"/>
        <v>0</v>
      </c>
    </row>
    <row r="23" spans="1:48" x14ac:dyDescent="0.3">
      <c r="A23" s="42"/>
      <c r="B23" s="11">
        <v>15</v>
      </c>
      <c r="C23" s="1"/>
      <c r="D23" s="160"/>
      <c r="E23" s="160"/>
      <c r="F23" s="237"/>
      <c r="G23" s="166"/>
      <c r="H23" s="166"/>
      <c r="I23" s="106"/>
      <c r="J23" s="43"/>
      <c r="K23" s="43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>
        <f t="shared" si="6"/>
        <v>0</v>
      </c>
      <c r="Z23" s="54">
        <f t="shared" si="7"/>
        <v>0</v>
      </c>
      <c r="AA23" s="139">
        <f t="shared" si="8"/>
        <v>0</v>
      </c>
      <c r="AB23" s="144"/>
      <c r="AC23" s="29"/>
      <c r="AD23" s="29"/>
      <c r="AE23" s="106"/>
      <c r="AF23" s="43"/>
      <c r="AG23" s="167"/>
      <c r="AH23" s="43"/>
      <c r="AI23" s="43"/>
      <c r="AJ23" s="239"/>
      <c r="AK23" s="36"/>
      <c r="AL23" s="32"/>
      <c r="AM23" s="381"/>
      <c r="AN23" s="382"/>
      <c r="AO23" s="370"/>
      <c r="AP23" s="383">
        <f t="shared" si="11"/>
        <v>0</v>
      </c>
      <c r="AQ23" s="383">
        <f t="shared" si="9"/>
        <v>0</v>
      </c>
      <c r="AR23" s="383">
        <f t="shared" si="10"/>
        <v>0</v>
      </c>
      <c r="AS23" s="384">
        <f t="shared" si="3"/>
        <v>0</v>
      </c>
      <c r="AU23" s="385">
        <f t="shared" si="4"/>
        <v>0</v>
      </c>
      <c r="AV23" s="386">
        <f t="shared" si="5"/>
        <v>0</v>
      </c>
    </row>
    <row r="24" spans="1:48" x14ac:dyDescent="0.3">
      <c r="B24" s="11">
        <v>16</v>
      </c>
      <c r="C24" s="1"/>
      <c r="D24" s="160"/>
      <c r="E24" s="160"/>
      <c r="F24" s="237"/>
      <c r="G24" s="166"/>
      <c r="H24" s="166"/>
      <c r="I24" s="106"/>
      <c r="J24" s="43"/>
      <c r="K24" s="43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>
        <f t="shared" si="6"/>
        <v>0</v>
      </c>
      <c r="Z24" s="54">
        <f t="shared" si="7"/>
        <v>0</v>
      </c>
      <c r="AA24" s="139">
        <f t="shared" si="8"/>
        <v>0</v>
      </c>
      <c r="AB24" s="144"/>
      <c r="AC24" s="29"/>
      <c r="AD24" s="29"/>
      <c r="AE24" s="106"/>
      <c r="AF24" s="43"/>
      <c r="AG24" s="167"/>
      <c r="AH24" s="43"/>
      <c r="AI24" s="43"/>
      <c r="AJ24" s="239"/>
      <c r="AK24" s="36"/>
      <c r="AL24" s="32"/>
      <c r="AM24" s="381"/>
      <c r="AN24" s="382"/>
      <c r="AP24" s="383">
        <f t="shared" si="11"/>
        <v>0</v>
      </c>
      <c r="AQ24" s="383">
        <f t="shared" si="9"/>
        <v>0</v>
      </c>
      <c r="AR24" s="383">
        <f t="shared" si="10"/>
        <v>0</v>
      </c>
      <c r="AS24" s="384">
        <f t="shared" si="3"/>
        <v>0</v>
      </c>
      <c r="AU24" s="385">
        <f t="shared" si="4"/>
        <v>0</v>
      </c>
      <c r="AV24" s="386">
        <f t="shared" si="5"/>
        <v>0</v>
      </c>
    </row>
    <row r="25" spans="1:48" x14ac:dyDescent="0.3">
      <c r="B25" s="11">
        <v>17</v>
      </c>
      <c r="C25" s="1"/>
      <c r="D25" s="160"/>
      <c r="E25" s="160"/>
      <c r="F25" s="237"/>
      <c r="G25" s="166"/>
      <c r="H25" s="166"/>
      <c r="I25" s="106"/>
      <c r="J25" s="43"/>
      <c r="K25" s="43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>
        <f t="shared" si="6"/>
        <v>0</v>
      </c>
      <c r="Z25" s="54">
        <f t="shared" si="7"/>
        <v>0</v>
      </c>
      <c r="AA25" s="139">
        <f t="shared" si="8"/>
        <v>0</v>
      </c>
      <c r="AB25" s="144"/>
      <c r="AC25" s="29"/>
      <c r="AD25" s="29"/>
      <c r="AE25" s="106"/>
      <c r="AF25" s="43"/>
      <c r="AG25" s="167"/>
      <c r="AH25" s="43"/>
      <c r="AI25" s="43"/>
      <c r="AJ25" s="239"/>
      <c r="AK25" s="36"/>
      <c r="AL25" s="32"/>
      <c r="AM25" s="381"/>
      <c r="AN25" s="382"/>
      <c r="AP25" s="383">
        <f t="shared" si="11"/>
        <v>0</v>
      </c>
      <c r="AQ25" s="383">
        <f t="shared" si="9"/>
        <v>0</v>
      </c>
      <c r="AR25" s="383">
        <f t="shared" si="10"/>
        <v>0</v>
      </c>
      <c r="AS25" s="384">
        <f t="shared" si="3"/>
        <v>0</v>
      </c>
      <c r="AU25" s="385">
        <f t="shared" si="4"/>
        <v>0</v>
      </c>
      <c r="AV25" s="386">
        <f t="shared" si="5"/>
        <v>0</v>
      </c>
    </row>
    <row r="26" spans="1:48" x14ac:dyDescent="0.3">
      <c r="A26" s="42"/>
      <c r="B26" s="11">
        <v>18</v>
      </c>
      <c r="C26" s="1"/>
      <c r="D26" s="160"/>
      <c r="E26" s="160"/>
      <c r="F26" s="237"/>
      <c r="G26" s="166"/>
      <c r="H26" s="166"/>
      <c r="I26" s="106"/>
      <c r="J26" s="43"/>
      <c r="K26" s="43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>
        <f t="shared" si="6"/>
        <v>0</v>
      </c>
      <c r="Z26" s="54">
        <f t="shared" si="7"/>
        <v>0</v>
      </c>
      <c r="AA26" s="139">
        <f t="shared" si="8"/>
        <v>0</v>
      </c>
      <c r="AB26" s="144"/>
      <c r="AC26" s="29"/>
      <c r="AD26" s="29"/>
      <c r="AE26" s="106"/>
      <c r="AF26" s="43"/>
      <c r="AG26" s="238"/>
      <c r="AH26" s="43"/>
      <c r="AI26" s="43"/>
      <c r="AJ26" s="43"/>
      <c r="AK26" s="36"/>
      <c r="AL26" s="32"/>
      <c r="AM26" s="381"/>
      <c r="AN26" s="382"/>
      <c r="AO26" s="370"/>
      <c r="AP26" s="383">
        <f t="shared" si="11"/>
        <v>0</v>
      </c>
      <c r="AQ26" s="383">
        <f t="shared" si="9"/>
        <v>0</v>
      </c>
      <c r="AR26" s="383">
        <f t="shared" si="10"/>
        <v>0</v>
      </c>
      <c r="AS26" s="384">
        <f t="shared" si="3"/>
        <v>0</v>
      </c>
      <c r="AU26" s="385">
        <f t="shared" si="4"/>
        <v>0</v>
      </c>
      <c r="AV26" s="386">
        <f t="shared" si="5"/>
        <v>0</v>
      </c>
    </row>
    <row r="27" spans="1:48" x14ac:dyDescent="0.3">
      <c r="A27" s="42"/>
      <c r="B27" s="11">
        <v>19</v>
      </c>
      <c r="C27" s="1"/>
      <c r="D27" s="160"/>
      <c r="E27" s="160"/>
      <c r="F27" s="237"/>
      <c r="G27" s="166"/>
      <c r="H27" s="166"/>
      <c r="I27" s="106"/>
      <c r="J27" s="43"/>
      <c r="K27" s="43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>
        <f t="shared" si="6"/>
        <v>0</v>
      </c>
      <c r="Z27" s="54">
        <f t="shared" si="7"/>
        <v>0</v>
      </c>
      <c r="AA27" s="139">
        <f t="shared" si="8"/>
        <v>0</v>
      </c>
      <c r="AB27" s="144"/>
      <c r="AC27" s="29"/>
      <c r="AD27" s="29"/>
      <c r="AE27" s="106"/>
      <c r="AF27" s="43"/>
      <c r="AG27" s="238"/>
      <c r="AH27" s="43"/>
      <c r="AI27" s="43"/>
      <c r="AJ27" s="43"/>
      <c r="AK27" s="36"/>
      <c r="AL27" s="32"/>
      <c r="AM27" s="381"/>
      <c r="AN27" s="382"/>
      <c r="AO27" s="370"/>
      <c r="AP27" s="383">
        <f t="shared" si="11"/>
        <v>0</v>
      </c>
      <c r="AQ27" s="383">
        <f t="shared" si="9"/>
        <v>0</v>
      </c>
      <c r="AR27" s="383">
        <f t="shared" si="10"/>
        <v>0</v>
      </c>
      <c r="AS27" s="384">
        <f t="shared" si="3"/>
        <v>0</v>
      </c>
      <c r="AU27" s="385">
        <f t="shared" si="4"/>
        <v>0</v>
      </c>
      <c r="AV27" s="386">
        <f t="shared" si="5"/>
        <v>0</v>
      </c>
    </row>
    <row r="28" spans="1:48" x14ac:dyDescent="0.3">
      <c r="A28" s="42"/>
      <c r="B28" s="11">
        <v>20</v>
      </c>
      <c r="C28" s="1"/>
      <c r="D28" s="160"/>
      <c r="E28" s="160"/>
      <c r="F28" s="237"/>
      <c r="G28" s="166"/>
      <c r="H28" s="166"/>
      <c r="I28" s="106"/>
      <c r="J28" s="43"/>
      <c r="K28" s="43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>
        <f t="shared" si="6"/>
        <v>0</v>
      </c>
      <c r="Z28" s="54">
        <f t="shared" si="7"/>
        <v>0</v>
      </c>
      <c r="AA28" s="139">
        <f t="shared" si="8"/>
        <v>0</v>
      </c>
      <c r="AB28" s="144"/>
      <c r="AC28" s="29"/>
      <c r="AD28" s="29"/>
      <c r="AE28" s="106"/>
      <c r="AF28" s="43"/>
      <c r="AG28" s="167"/>
      <c r="AH28" s="43"/>
      <c r="AI28" s="43"/>
      <c r="AJ28" s="239"/>
      <c r="AK28" s="36"/>
      <c r="AL28" s="32"/>
      <c r="AM28" s="381"/>
      <c r="AN28" s="382"/>
      <c r="AO28" s="370"/>
      <c r="AP28" s="383">
        <f t="shared" si="11"/>
        <v>0</v>
      </c>
      <c r="AQ28" s="383">
        <f t="shared" si="9"/>
        <v>0</v>
      </c>
      <c r="AR28" s="383">
        <f t="shared" si="10"/>
        <v>0</v>
      </c>
      <c r="AS28" s="384">
        <f t="shared" si="3"/>
        <v>0</v>
      </c>
      <c r="AU28" s="385">
        <f t="shared" si="4"/>
        <v>0</v>
      </c>
      <c r="AV28" s="386">
        <f t="shared" si="5"/>
        <v>0</v>
      </c>
    </row>
    <row r="29" spans="1:48" x14ac:dyDescent="0.3">
      <c r="A29" s="42"/>
      <c r="B29" s="11">
        <v>21</v>
      </c>
      <c r="C29" s="1"/>
      <c r="D29" s="160"/>
      <c r="E29" s="160"/>
      <c r="F29" s="237"/>
      <c r="G29" s="166"/>
      <c r="H29" s="166"/>
      <c r="I29" s="106"/>
      <c r="J29" s="43"/>
      <c r="K29" s="43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>
        <f t="shared" si="6"/>
        <v>0</v>
      </c>
      <c r="Z29" s="54">
        <f t="shared" si="7"/>
        <v>0</v>
      </c>
      <c r="AA29" s="139">
        <f t="shared" si="8"/>
        <v>0</v>
      </c>
      <c r="AB29" s="144"/>
      <c r="AC29" s="29"/>
      <c r="AD29" s="29"/>
      <c r="AE29" s="106"/>
      <c r="AF29" s="43"/>
      <c r="AG29" s="167"/>
      <c r="AH29" s="43"/>
      <c r="AI29" s="43"/>
      <c r="AJ29" s="239"/>
      <c r="AK29" s="36"/>
      <c r="AL29" s="32"/>
      <c r="AM29" s="381"/>
      <c r="AN29" s="382"/>
      <c r="AO29" s="370"/>
      <c r="AP29" s="383">
        <f t="shared" si="11"/>
        <v>0</v>
      </c>
      <c r="AQ29" s="383">
        <f t="shared" si="9"/>
        <v>0</v>
      </c>
      <c r="AR29" s="383">
        <f t="shared" si="10"/>
        <v>0</v>
      </c>
      <c r="AS29" s="384">
        <f t="shared" si="3"/>
        <v>0</v>
      </c>
      <c r="AU29" s="385">
        <f t="shared" si="4"/>
        <v>0</v>
      </c>
      <c r="AV29" s="386">
        <f t="shared" si="5"/>
        <v>0</v>
      </c>
    </row>
    <row r="30" spans="1:48" x14ac:dyDescent="0.3">
      <c r="A30" s="42"/>
      <c r="B30" s="11">
        <v>22</v>
      </c>
      <c r="C30" s="1"/>
      <c r="D30" s="160"/>
      <c r="E30" s="160"/>
      <c r="F30" s="237"/>
      <c r="G30" s="166"/>
      <c r="H30" s="166"/>
      <c r="I30" s="106"/>
      <c r="J30" s="43"/>
      <c r="K30" s="43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>
        <f t="shared" si="6"/>
        <v>0</v>
      </c>
      <c r="Z30" s="54">
        <f t="shared" si="7"/>
        <v>0</v>
      </c>
      <c r="AA30" s="139">
        <f t="shared" si="8"/>
        <v>0</v>
      </c>
      <c r="AB30" s="144"/>
      <c r="AC30" s="29"/>
      <c r="AD30" s="29"/>
      <c r="AE30" s="106"/>
      <c r="AF30" s="43"/>
      <c r="AG30" s="167"/>
      <c r="AH30" s="43"/>
      <c r="AI30" s="43"/>
      <c r="AJ30" s="239"/>
      <c r="AK30" s="36"/>
      <c r="AL30" s="32"/>
      <c r="AM30" s="381"/>
      <c r="AN30" s="382"/>
      <c r="AP30" s="383">
        <f t="shared" si="11"/>
        <v>0</v>
      </c>
      <c r="AQ30" s="383">
        <f t="shared" si="9"/>
        <v>0</v>
      </c>
      <c r="AR30" s="383">
        <f t="shared" si="10"/>
        <v>0</v>
      </c>
      <c r="AS30" s="384">
        <f t="shared" si="3"/>
        <v>0</v>
      </c>
      <c r="AU30" s="385">
        <f t="shared" si="4"/>
        <v>0</v>
      </c>
      <c r="AV30" s="386">
        <f t="shared" si="5"/>
        <v>0</v>
      </c>
    </row>
    <row r="31" spans="1:48" x14ac:dyDescent="0.3">
      <c r="A31" s="42"/>
      <c r="B31" s="11">
        <v>23</v>
      </c>
      <c r="C31" s="1"/>
      <c r="D31" s="160"/>
      <c r="E31" s="160"/>
      <c r="F31" s="237"/>
      <c r="G31" s="166"/>
      <c r="H31" s="166"/>
      <c r="I31" s="106"/>
      <c r="J31" s="43"/>
      <c r="K31" s="43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>
        <f t="shared" si="6"/>
        <v>0</v>
      </c>
      <c r="Z31" s="54">
        <f t="shared" si="7"/>
        <v>0</v>
      </c>
      <c r="AA31" s="139">
        <f t="shared" si="8"/>
        <v>0</v>
      </c>
      <c r="AB31" s="144"/>
      <c r="AC31" s="29"/>
      <c r="AD31" s="29"/>
      <c r="AE31" s="106"/>
      <c r="AF31" s="43"/>
      <c r="AG31" s="167"/>
      <c r="AH31" s="43"/>
      <c r="AI31" s="43"/>
      <c r="AJ31" s="239"/>
      <c r="AK31" s="36"/>
      <c r="AL31" s="32"/>
      <c r="AM31" s="381"/>
      <c r="AN31" s="382"/>
      <c r="AO31" s="370"/>
      <c r="AP31" s="383">
        <f t="shared" si="11"/>
        <v>0</v>
      </c>
      <c r="AQ31" s="383">
        <f t="shared" si="9"/>
        <v>0</v>
      </c>
      <c r="AR31" s="383">
        <f t="shared" si="10"/>
        <v>0</v>
      </c>
      <c r="AS31" s="384">
        <f t="shared" si="3"/>
        <v>0</v>
      </c>
      <c r="AU31" s="385">
        <f t="shared" si="4"/>
        <v>0</v>
      </c>
      <c r="AV31" s="386">
        <f t="shared" si="5"/>
        <v>0</v>
      </c>
    </row>
    <row r="32" spans="1:48" x14ac:dyDescent="0.3">
      <c r="A32" s="42"/>
      <c r="B32" s="11">
        <v>24</v>
      </c>
      <c r="C32" s="1"/>
      <c r="D32" s="160"/>
      <c r="E32" s="160"/>
      <c r="F32" s="237"/>
      <c r="G32" s="166"/>
      <c r="H32" s="166"/>
      <c r="I32" s="106"/>
      <c r="J32" s="43"/>
      <c r="K32" s="43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>
        <f t="shared" si="6"/>
        <v>0</v>
      </c>
      <c r="Z32" s="54">
        <f t="shared" si="7"/>
        <v>0</v>
      </c>
      <c r="AA32" s="139">
        <f t="shared" si="8"/>
        <v>0</v>
      </c>
      <c r="AB32" s="144"/>
      <c r="AC32" s="29"/>
      <c r="AD32" s="29"/>
      <c r="AE32" s="106"/>
      <c r="AF32" s="43"/>
      <c r="AG32" s="167"/>
      <c r="AH32" s="43"/>
      <c r="AI32" s="43"/>
      <c r="AJ32" s="239"/>
      <c r="AK32" s="36"/>
      <c r="AL32" s="32"/>
      <c r="AM32" s="381"/>
      <c r="AN32" s="382"/>
      <c r="AO32" s="370"/>
      <c r="AP32" s="383">
        <f t="shared" si="11"/>
        <v>0</v>
      </c>
      <c r="AQ32" s="383">
        <f t="shared" si="9"/>
        <v>0</v>
      </c>
      <c r="AR32" s="383">
        <f t="shared" si="10"/>
        <v>0</v>
      </c>
      <c r="AS32" s="384">
        <f t="shared" si="3"/>
        <v>0</v>
      </c>
      <c r="AU32" s="385">
        <f t="shared" si="4"/>
        <v>0</v>
      </c>
      <c r="AV32" s="386">
        <f t="shared" si="5"/>
        <v>0</v>
      </c>
    </row>
    <row r="33" spans="1:48" x14ac:dyDescent="0.3">
      <c r="A33" s="42"/>
      <c r="B33" s="11">
        <v>25</v>
      </c>
      <c r="C33" s="1"/>
      <c r="D33" s="160"/>
      <c r="E33" s="160"/>
      <c r="F33" s="237"/>
      <c r="G33" s="166"/>
      <c r="H33" s="166"/>
      <c r="I33" s="106"/>
      <c r="J33" s="43"/>
      <c r="K33" s="43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>
        <f t="shared" si="6"/>
        <v>0</v>
      </c>
      <c r="Z33" s="54">
        <f t="shared" si="7"/>
        <v>0</v>
      </c>
      <c r="AA33" s="139">
        <f t="shared" si="8"/>
        <v>0</v>
      </c>
      <c r="AB33" s="144"/>
      <c r="AC33" s="29"/>
      <c r="AD33" s="29"/>
      <c r="AE33" s="106"/>
      <c r="AF33" s="43"/>
      <c r="AG33" s="167"/>
      <c r="AH33" s="43"/>
      <c r="AI33" s="43"/>
      <c r="AJ33" s="239"/>
      <c r="AK33" s="36"/>
      <c r="AL33" s="32"/>
      <c r="AM33" s="381"/>
      <c r="AN33" s="382"/>
      <c r="AO33" s="370"/>
      <c r="AP33" s="383">
        <f t="shared" si="11"/>
        <v>0</v>
      </c>
      <c r="AQ33" s="383">
        <f t="shared" si="9"/>
        <v>0</v>
      </c>
      <c r="AR33" s="383">
        <f t="shared" si="10"/>
        <v>0</v>
      </c>
      <c r="AS33" s="384">
        <f t="shared" si="3"/>
        <v>0</v>
      </c>
      <c r="AU33" s="385">
        <f t="shared" si="4"/>
        <v>0</v>
      </c>
      <c r="AV33" s="386">
        <f t="shared" si="5"/>
        <v>0</v>
      </c>
    </row>
    <row r="34" spans="1:48" x14ac:dyDescent="0.3">
      <c r="A34" s="42"/>
      <c r="B34" s="11">
        <v>26</v>
      </c>
      <c r="C34" s="1"/>
      <c r="D34" s="160"/>
      <c r="E34" s="160"/>
      <c r="F34" s="237"/>
      <c r="G34" s="166"/>
      <c r="H34" s="166"/>
      <c r="I34" s="106"/>
      <c r="J34" s="43"/>
      <c r="K34" s="43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>
        <f t="shared" ref="Y34:Y44" si="12">SUM(L34:X34)</f>
        <v>0</v>
      </c>
      <c r="Z34" s="54">
        <f t="shared" si="7"/>
        <v>0</v>
      </c>
      <c r="AA34" s="139">
        <f t="shared" ref="AA34:AA44" si="13">Y34-Z34</f>
        <v>0</v>
      </c>
      <c r="AB34" s="144"/>
      <c r="AC34" s="29"/>
      <c r="AD34" s="29"/>
      <c r="AE34" s="106"/>
      <c r="AF34" s="43"/>
      <c r="AG34" s="167"/>
      <c r="AH34" s="43"/>
      <c r="AI34" s="43"/>
      <c r="AJ34" s="239"/>
      <c r="AK34" s="36"/>
      <c r="AL34" s="32"/>
      <c r="AM34" s="381"/>
      <c r="AN34" s="382"/>
      <c r="AO34" s="370"/>
      <c r="AP34" s="383">
        <f t="shared" si="11"/>
        <v>0</v>
      </c>
      <c r="AQ34" s="383">
        <f t="shared" si="9"/>
        <v>0</v>
      </c>
      <c r="AR34" s="383">
        <f t="shared" si="10"/>
        <v>0</v>
      </c>
      <c r="AS34" s="384">
        <f t="shared" si="3"/>
        <v>0</v>
      </c>
      <c r="AU34" s="385">
        <f t="shared" si="4"/>
        <v>0</v>
      </c>
      <c r="AV34" s="386">
        <f t="shared" si="5"/>
        <v>0</v>
      </c>
    </row>
    <row r="35" spans="1:48" x14ac:dyDescent="0.3">
      <c r="B35" s="11">
        <v>27</v>
      </c>
      <c r="C35" s="1"/>
      <c r="D35" s="160"/>
      <c r="E35" s="160"/>
      <c r="F35" s="237"/>
      <c r="G35" s="166"/>
      <c r="H35" s="166"/>
      <c r="I35" s="106"/>
      <c r="J35" s="43"/>
      <c r="K35" s="43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>
        <f t="shared" si="12"/>
        <v>0</v>
      </c>
      <c r="Z35" s="54">
        <f t="shared" si="7"/>
        <v>0</v>
      </c>
      <c r="AA35" s="139">
        <f t="shared" si="13"/>
        <v>0</v>
      </c>
      <c r="AB35" s="144"/>
      <c r="AC35" s="29"/>
      <c r="AD35" s="29"/>
      <c r="AE35" s="106"/>
      <c r="AF35" s="43"/>
      <c r="AG35" s="167"/>
      <c r="AH35" s="43"/>
      <c r="AI35" s="43"/>
      <c r="AJ35" s="239"/>
      <c r="AK35" s="36"/>
      <c r="AL35" s="32"/>
      <c r="AM35" s="381"/>
      <c r="AN35" s="382"/>
      <c r="AP35" s="383">
        <f t="shared" si="11"/>
        <v>0</v>
      </c>
      <c r="AQ35" s="383">
        <f t="shared" si="9"/>
        <v>0</v>
      </c>
      <c r="AR35" s="383">
        <f t="shared" si="10"/>
        <v>0</v>
      </c>
      <c r="AS35" s="384">
        <f t="shared" si="3"/>
        <v>0</v>
      </c>
      <c r="AU35" s="385">
        <f t="shared" si="4"/>
        <v>0</v>
      </c>
      <c r="AV35" s="386">
        <f t="shared" si="5"/>
        <v>0</v>
      </c>
    </row>
    <row r="36" spans="1:48" x14ac:dyDescent="0.3">
      <c r="B36" s="11">
        <v>28</v>
      </c>
      <c r="C36" s="1"/>
      <c r="D36" s="160"/>
      <c r="E36" s="160"/>
      <c r="F36" s="237"/>
      <c r="G36" s="166"/>
      <c r="H36" s="166"/>
      <c r="I36" s="106"/>
      <c r="J36" s="43"/>
      <c r="K36" s="43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>
        <f t="shared" si="12"/>
        <v>0</v>
      </c>
      <c r="Z36" s="54">
        <f t="shared" si="7"/>
        <v>0</v>
      </c>
      <c r="AA36" s="139">
        <f t="shared" si="13"/>
        <v>0</v>
      </c>
      <c r="AB36" s="144"/>
      <c r="AC36" s="29"/>
      <c r="AD36" s="29"/>
      <c r="AE36" s="106"/>
      <c r="AF36" s="43"/>
      <c r="AG36" s="167"/>
      <c r="AH36" s="43"/>
      <c r="AI36" s="43"/>
      <c r="AJ36" s="239"/>
      <c r="AK36" s="36"/>
      <c r="AL36" s="32"/>
      <c r="AM36" s="381"/>
      <c r="AN36" s="382"/>
      <c r="AP36" s="383">
        <f t="shared" si="11"/>
        <v>0</v>
      </c>
      <c r="AQ36" s="383">
        <f t="shared" si="9"/>
        <v>0</v>
      </c>
      <c r="AR36" s="383">
        <f t="shared" si="10"/>
        <v>0</v>
      </c>
      <c r="AS36" s="384">
        <f t="shared" si="3"/>
        <v>0</v>
      </c>
      <c r="AU36" s="385">
        <f t="shared" si="4"/>
        <v>0</v>
      </c>
      <c r="AV36" s="386">
        <f t="shared" si="5"/>
        <v>0</v>
      </c>
    </row>
    <row r="37" spans="1:48" x14ac:dyDescent="0.3">
      <c r="A37" s="42"/>
      <c r="B37" s="11">
        <v>29</v>
      </c>
      <c r="C37" s="1"/>
      <c r="D37" s="160"/>
      <c r="E37" s="160"/>
      <c r="F37" s="237"/>
      <c r="G37" s="166"/>
      <c r="H37" s="166"/>
      <c r="I37" s="106"/>
      <c r="J37" s="43"/>
      <c r="K37" s="43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>
        <f t="shared" si="12"/>
        <v>0</v>
      </c>
      <c r="Z37" s="54">
        <f t="shared" si="7"/>
        <v>0</v>
      </c>
      <c r="AA37" s="139">
        <f t="shared" si="13"/>
        <v>0</v>
      </c>
      <c r="AB37" s="144"/>
      <c r="AC37" s="29"/>
      <c r="AD37" s="29"/>
      <c r="AE37" s="106"/>
      <c r="AF37" s="43"/>
      <c r="AG37" s="238"/>
      <c r="AH37" s="43"/>
      <c r="AI37" s="43"/>
      <c r="AJ37" s="43"/>
      <c r="AK37" s="36"/>
      <c r="AL37" s="32"/>
      <c r="AM37" s="381"/>
      <c r="AN37" s="382"/>
      <c r="AO37" s="370"/>
      <c r="AP37" s="383">
        <f t="shared" si="11"/>
        <v>0</v>
      </c>
      <c r="AQ37" s="383">
        <f t="shared" si="9"/>
        <v>0</v>
      </c>
      <c r="AR37" s="383">
        <f t="shared" si="10"/>
        <v>0</v>
      </c>
      <c r="AS37" s="384">
        <f t="shared" si="3"/>
        <v>0</v>
      </c>
      <c r="AU37" s="385">
        <f t="shared" si="4"/>
        <v>0</v>
      </c>
      <c r="AV37" s="386">
        <f t="shared" si="5"/>
        <v>0</v>
      </c>
    </row>
    <row r="38" spans="1:48" x14ac:dyDescent="0.3">
      <c r="A38" s="42"/>
      <c r="B38" s="11">
        <v>30</v>
      </c>
      <c r="C38" s="1"/>
      <c r="D38" s="160"/>
      <c r="E38" s="160"/>
      <c r="F38" s="237"/>
      <c r="G38" s="166"/>
      <c r="H38" s="166"/>
      <c r="I38" s="106"/>
      <c r="J38" s="43"/>
      <c r="K38" s="43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>
        <f t="shared" si="12"/>
        <v>0</v>
      </c>
      <c r="Z38" s="54">
        <f t="shared" si="7"/>
        <v>0</v>
      </c>
      <c r="AA38" s="139">
        <f t="shared" si="13"/>
        <v>0</v>
      </c>
      <c r="AB38" s="144"/>
      <c r="AC38" s="29"/>
      <c r="AD38" s="29"/>
      <c r="AE38" s="106"/>
      <c r="AF38" s="43"/>
      <c r="AG38" s="167"/>
      <c r="AH38" s="43"/>
      <c r="AI38" s="43"/>
      <c r="AJ38" s="239"/>
      <c r="AK38" s="36"/>
      <c r="AL38" s="32"/>
      <c r="AM38" s="381"/>
      <c r="AN38" s="382"/>
      <c r="AO38" s="370"/>
      <c r="AP38" s="383">
        <f t="shared" si="11"/>
        <v>0</v>
      </c>
      <c r="AQ38" s="383">
        <f t="shared" si="9"/>
        <v>0</v>
      </c>
      <c r="AR38" s="383">
        <f t="shared" si="10"/>
        <v>0</v>
      </c>
      <c r="AS38" s="384">
        <f t="shared" si="3"/>
        <v>0</v>
      </c>
      <c r="AU38" s="385">
        <f t="shared" si="4"/>
        <v>0</v>
      </c>
      <c r="AV38" s="386">
        <f t="shared" si="5"/>
        <v>0</v>
      </c>
    </row>
    <row r="39" spans="1:48" x14ac:dyDescent="0.3">
      <c r="A39" s="42"/>
      <c r="B39" s="11">
        <v>31</v>
      </c>
      <c r="C39" s="1"/>
      <c r="D39" s="160"/>
      <c r="E39" s="160"/>
      <c r="F39" s="237"/>
      <c r="G39" s="166"/>
      <c r="H39" s="166"/>
      <c r="I39" s="106"/>
      <c r="J39" s="43"/>
      <c r="K39" s="43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>
        <f t="shared" si="12"/>
        <v>0</v>
      </c>
      <c r="Z39" s="54">
        <f t="shared" si="7"/>
        <v>0</v>
      </c>
      <c r="AA39" s="139">
        <f t="shared" si="13"/>
        <v>0</v>
      </c>
      <c r="AB39" s="144"/>
      <c r="AC39" s="29"/>
      <c r="AD39" s="29"/>
      <c r="AE39" s="106"/>
      <c r="AF39" s="43"/>
      <c r="AG39" s="167"/>
      <c r="AH39" s="43"/>
      <c r="AI39" s="43"/>
      <c r="AJ39" s="239"/>
      <c r="AK39" s="36"/>
      <c r="AL39" s="32"/>
      <c r="AM39" s="381"/>
      <c r="AN39" s="382"/>
      <c r="AO39" s="370"/>
      <c r="AP39" s="383">
        <f t="shared" si="11"/>
        <v>0</v>
      </c>
      <c r="AQ39" s="383">
        <f t="shared" si="9"/>
        <v>0</v>
      </c>
      <c r="AR39" s="383">
        <f t="shared" si="10"/>
        <v>0</v>
      </c>
      <c r="AS39" s="384">
        <f t="shared" si="3"/>
        <v>0</v>
      </c>
      <c r="AU39" s="385">
        <f t="shared" si="4"/>
        <v>0</v>
      </c>
      <c r="AV39" s="386">
        <f t="shared" si="5"/>
        <v>0</v>
      </c>
    </row>
    <row r="40" spans="1:48" x14ac:dyDescent="0.3">
      <c r="A40" s="42"/>
      <c r="B40" s="11">
        <v>32</v>
      </c>
      <c r="C40" s="1"/>
      <c r="D40" s="160"/>
      <c r="E40" s="160"/>
      <c r="F40" s="237"/>
      <c r="G40" s="166"/>
      <c r="H40" s="166"/>
      <c r="I40" s="106"/>
      <c r="J40" s="43"/>
      <c r="K40" s="43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>
        <f t="shared" si="12"/>
        <v>0</v>
      </c>
      <c r="Z40" s="54">
        <f t="shared" si="7"/>
        <v>0</v>
      </c>
      <c r="AA40" s="139">
        <f t="shared" si="13"/>
        <v>0</v>
      </c>
      <c r="AB40" s="144"/>
      <c r="AC40" s="29"/>
      <c r="AD40" s="29"/>
      <c r="AE40" s="106"/>
      <c r="AF40" s="43"/>
      <c r="AG40" s="167"/>
      <c r="AH40" s="43"/>
      <c r="AI40" s="43"/>
      <c r="AJ40" s="239"/>
      <c r="AK40" s="36"/>
      <c r="AL40" s="32"/>
      <c r="AM40" s="381"/>
      <c r="AN40" s="382"/>
      <c r="AO40" s="370"/>
      <c r="AP40" s="383">
        <f t="shared" si="11"/>
        <v>0</v>
      </c>
      <c r="AQ40" s="383">
        <f t="shared" si="9"/>
        <v>0</v>
      </c>
      <c r="AR40" s="383">
        <f t="shared" si="10"/>
        <v>0</v>
      </c>
      <c r="AS40" s="384">
        <f t="shared" si="3"/>
        <v>0</v>
      </c>
      <c r="AU40" s="385">
        <f t="shared" si="4"/>
        <v>0</v>
      </c>
      <c r="AV40" s="386">
        <f t="shared" si="5"/>
        <v>0</v>
      </c>
    </row>
    <row r="41" spans="1:48" x14ac:dyDescent="0.3">
      <c r="A41" s="42"/>
      <c r="B41" s="11">
        <v>33</v>
      </c>
      <c r="C41" s="1"/>
      <c r="D41" s="160"/>
      <c r="E41" s="160"/>
      <c r="F41" s="237"/>
      <c r="G41" s="166"/>
      <c r="H41" s="166"/>
      <c r="I41" s="106"/>
      <c r="J41" s="43"/>
      <c r="K41" s="43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>
        <f t="shared" si="12"/>
        <v>0</v>
      </c>
      <c r="Z41" s="54">
        <f t="shared" si="7"/>
        <v>0</v>
      </c>
      <c r="AA41" s="139">
        <f t="shared" si="13"/>
        <v>0</v>
      </c>
      <c r="AB41" s="144"/>
      <c r="AC41" s="29"/>
      <c r="AD41" s="29"/>
      <c r="AE41" s="106"/>
      <c r="AF41" s="43"/>
      <c r="AG41" s="167"/>
      <c r="AH41" s="43"/>
      <c r="AI41" s="43"/>
      <c r="AJ41" s="239"/>
      <c r="AK41" s="36"/>
      <c r="AL41" s="32"/>
      <c r="AM41" s="381"/>
      <c r="AN41" s="382"/>
      <c r="AP41" s="383">
        <f t="shared" si="11"/>
        <v>0</v>
      </c>
      <c r="AQ41" s="383">
        <f t="shared" si="9"/>
        <v>0</v>
      </c>
      <c r="AR41" s="383">
        <f t="shared" si="10"/>
        <v>0</v>
      </c>
      <c r="AS41" s="384">
        <f t="shared" si="3"/>
        <v>0</v>
      </c>
      <c r="AU41" s="385">
        <f t="shared" si="4"/>
        <v>0</v>
      </c>
      <c r="AV41" s="386">
        <f t="shared" si="5"/>
        <v>0</v>
      </c>
    </row>
    <row r="42" spans="1:48" x14ac:dyDescent="0.3">
      <c r="A42" s="42"/>
      <c r="B42" s="11">
        <v>34</v>
      </c>
      <c r="C42" s="1"/>
      <c r="D42" s="160"/>
      <c r="E42" s="160"/>
      <c r="F42" s="237"/>
      <c r="G42" s="166"/>
      <c r="H42" s="166"/>
      <c r="I42" s="106"/>
      <c r="J42" s="43"/>
      <c r="K42" s="43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>
        <f t="shared" si="12"/>
        <v>0</v>
      </c>
      <c r="Z42" s="54">
        <f t="shared" si="7"/>
        <v>0</v>
      </c>
      <c r="AA42" s="139">
        <f t="shared" si="13"/>
        <v>0</v>
      </c>
      <c r="AB42" s="144"/>
      <c r="AC42" s="29"/>
      <c r="AD42" s="29"/>
      <c r="AE42" s="106"/>
      <c r="AF42" s="43"/>
      <c r="AG42" s="167"/>
      <c r="AH42" s="43"/>
      <c r="AI42" s="43"/>
      <c r="AJ42" s="239"/>
      <c r="AK42" s="36"/>
      <c r="AL42" s="32"/>
      <c r="AM42" s="381"/>
      <c r="AN42" s="382"/>
      <c r="AO42" s="370"/>
      <c r="AP42" s="383">
        <f t="shared" si="11"/>
        <v>0</v>
      </c>
      <c r="AQ42" s="383">
        <f t="shared" si="9"/>
        <v>0</v>
      </c>
      <c r="AR42" s="383">
        <f t="shared" si="10"/>
        <v>0</v>
      </c>
      <c r="AS42" s="384">
        <f t="shared" si="3"/>
        <v>0</v>
      </c>
      <c r="AU42" s="385">
        <f t="shared" si="4"/>
        <v>0</v>
      </c>
      <c r="AV42" s="386">
        <f t="shared" si="5"/>
        <v>0</v>
      </c>
    </row>
    <row r="43" spans="1:48" x14ac:dyDescent="0.3">
      <c r="A43" s="42"/>
      <c r="B43" s="11">
        <v>35</v>
      </c>
      <c r="C43" s="1"/>
      <c r="D43" s="160"/>
      <c r="E43" s="160"/>
      <c r="F43" s="237"/>
      <c r="G43" s="166"/>
      <c r="H43" s="166"/>
      <c r="I43" s="106"/>
      <c r="J43" s="43"/>
      <c r="K43" s="43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>
        <f t="shared" si="12"/>
        <v>0</v>
      </c>
      <c r="Z43" s="54">
        <f t="shared" si="7"/>
        <v>0</v>
      </c>
      <c r="AA43" s="139">
        <f t="shared" si="13"/>
        <v>0</v>
      </c>
      <c r="AB43" s="144"/>
      <c r="AC43" s="29"/>
      <c r="AD43" s="29"/>
      <c r="AE43" s="106"/>
      <c r="AF43" s="43"/>
      <c r="AG43" s="167"/>
      <c r="AH43" s="43"/>
      <c r="AI43" s="43"/>
      <c r="AJ43" s="43"/>
      <c r="AK43" s="36"/>
      <c r="AL43" s="32"/>
      <c r="AM43" s="381"/>
      <c r="AN43" s="382"/>
      <c r="AO43" s="370"/>
      <c r="AP43" s="383">
        <f t="shared" si="11"/>
        <v>0</v>
      </c>
      <c r="AQ43" s="383">
        <f t="shared" si="9"/>
        <v>0</v>
      </c>
      <c r="AR43" s="383">
        <f t="shared" si="10"/>
        <v>0</v>
      </c>
      <c r="AS43" s="384">
        <f t="shared" si="3"/>
        <v>0</v>
      </c>
      <c r="AU43" s="385">
        <f t="shared" si="4"/>
        <v>0</v>
      </c>
      <c r="AV43" s="386">
        <f t="shared" si="5"/>
        <v>0</v>
      </c>
    </row>
    <row r="44" spans="1:48" x14ac:dyDescent="0.3">
      <c r="A44" s="42"/>
      <c r="B44" s="11">
        <v>36</v>
      </c>
      <c r="C44" s="1"/>
      <c r="D44" s="160"/>
      <c r="E44" s="160"/>
      <c r="F44" s="237"/>
      <c r="G44" s="166"/>
      <c r="H44" s="166"/>
      <c r="I44" s="106"/>
      <c r="J44" s="43"/>
      <c r="K44" s="43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>
        <f t="shared" si="12"/>
        <v>0</v>
      </c>
      <c r="Z44" s="54">
        <f t="shared" si="7"/>
        <v>0</v>
      </c>
      <c r="AA44" s="139">
        <f t="shared" si="13"/>
        <v>0</v>
      </c>
      <c r="AB44" s="144"/>
      <c r="AC44" s="29"/>
      <c r="AD44" s="29"/>
      <c r="AE44" s="106"/>
      <c r="AF44" s="43"/>
      <c r="AG44" s="167"/>
      <c r="AH44" s="43"/>
      <c r="AI44" s="43"/>
      <c r="AJ44" s="239"/>
      <c r="AK44" s="36"/>
      <c r="AL44" s="32"/>
      <c r="AM44" s="381"/>
      <c r="AN44" s="382"/>
      <c r="AO44" s="370"/>
      <c r="AP44" s="383">
        <f t="shared" si="11"/>
        <v>0</v>
      </c>
      <c r="AQ44" s="383">
        <f t="shared" si="9"/>
        <v>0</v>
      </c>
      <c r="AR44" s="383">
        <f t="shared" si="10"/>
        <v>0</v>
      </c>
      <c r="AS44" s="384">
        <f t="shared" si="3"/>
        <v>0</v>
      </c>
      <c r="AU44" s="385">
        <f t="shared" si="4"/>
        <v>0</v>
      </c>
      <c r="AV44" s="386">
        <f t="shared" si="5"/>
        <v>0</v>
      </c>
    </row>
    <row r="45" spans="1:48" x14ac:dyDescent="0.3">
      <c r="A45" s="42"/>
      <c r="B45" s="11">
        <v>37</v>
      </c>
      <c r="C45" s="1"/>
      <c r="D45" s="160"/>
      <c r="E45" s="160"/>
      <c r="F45" s="237"/>
      <c r="G45" s="166"/>
      <c r="H45" s="166"/>
      <c r="I45" s="106"/>
      <c r="J45" s="43"/>
      <c r="K45" s="43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>
        <f t="shared" si="6"/>
        <v>0</v>
      </c>
      <c r="Z45" s="54">
        <f t="shared" si="7"/>
        <v>0</v>
      </c>
      <c r="AA45" s="139">
        <f t="shared" si="8"/>
        <v>0</v>
      </c>
      <c r="AB45" s="144"/>
      <c r="AC45" s="29"/>
      <c r="AD45" s="29"/>
      <c r="AE45" s="106"/>
      <c r="AF45" s="43"/>
      <c r="AG45" s="167"/>
      <c r="AH45" s="43"/>
      <c r="AI45" s="43"/>
      <c r="AJ45" s="239"/>
      <c r="AK45" s="36"/>
      <c r="AL45" s="32"/>
      <c r="AM45" s="381"/>
      <c r="AN45" s="382"/>
      <c r="AP45" s="383">
        <f t="shared" si="11"/>
        <v>0</v>
      </c>
      <c r="AQ45" s="383">
        <f t="shared" si="9"/>
        <v>0</v>
      </c>
      <c r="AR45" s="383">
        <f t="shared" si="10"/>
        <v>0</v>
      </c>
      <c r="AS45" s="384">
        <f t="shared" si="3"/>
        <v>0</v>
      </c>
      <c r="AU45" s="385">
        <f t="shared" si="4"/>
        <v>0</v>
      </c>
      <c r="AV45" s="386">
        <f t="shared" si="5"/>
        <v>0</v>
      </c>
    </row>
    <row r="46" spans="1:48" x14ac:dyDescent="0.3">
      <c r="B46" s="11">
        <v>38</v>
      </c>
      <c r="C46" s="1"/>
      <c r="D46" s="160"/>
      <c r="E46" s="160"/>
      <c r="F46" s="237"/>
      <c r="G46" s="166"/>
      <c r="H46" s="166"/>
      <c r="I46" s="106"/>
      <c r="J46" s="43"/>
      <c r="K46" s="43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>
        <f t="shared" si="6"/>
        <v>0</v>
      </c>
      <c r="Z46" s="54">
        <f t="shared" si="7"/>
        <v>0</v>
      </c>
      <c r="AA46" s="139">
        <f t="shared" si="8"/>
        <v>0</v>
      </c>
      <c r="AB46" s="144"/>
      <c r="AC46" s="29"/>
      <c r="AD46" s="29"/>
      <c r="AE46" s="106"/>
      <c r="AF46" s="43"/>
      <c r="AG46" s="167"/>
      <c r="AH46" s="43"/>
      <c r="AI46" s="43"/>
      <c r="AJ46" s="239"/>
      <c r="AK46" s="36"/>
      <c r="AL46" s="32"/>
      <c r="AM46" s="381"/>
      <c r="AN46" s="382"/>
      <c r="AP46" s="383">
        <f t="shared" si="11"/>
        <v>0</v>
      </c>
      <c r="AQ46" s="383">
        <f t="shared" si="9"/>
        <v>0</v>
      </c>
      <c r="AR46" s="383">
        <f t="shared" si="10"/>
        <v>0</v>
      </c>
      <c r="AS46" s="384">
        <f t="shared" si="3"/>
        <v>0</v>
      </c>
      <c r="AU46" s="385">
        <f t="shared" si="4"/>
        <v>0</v>
      </c>
      <c r="AV46" s="386">
        <f t="shared" si="5"/>
        <v>0</v>
      </c>
    </row>
    <row r="47" spans="1:48" x14ac:dyDescent="0.3">
      <c r="B47" s="11">
        <v>39</v>
      </c>
      <c r="C47" s="1"/>
      <c r="D47" s="160"/>
      <c r="E47" s="160"/>
      <c r="F47" s="237"/>
      <c r="G47" s="166"/>
      <c r="H47" s="166"/>
      <c r="I47" s="106"/>
      <c r="J47" s="43"/>
      <c r="K47" s="43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>
        <f t="shared" si="6"/>
        <v>0</v>
      </c>
      <c r="Z47" s="54">
        <f t="shared" si="7"/>
        <v>0</v>
      </c>
      <c r="AA47" s="139">
        <f t="shared" si="8"/>
        <v>0</v>
      </c>
      <c r="AB47" s="144"/>
      <c r="AC47" s="29"/>
      <c r="AD47" s="29"/>
      <c r="AE47" s="106"/>
      <c r="AF47" s="43"/>
      <c r="AG47" s="167"/>
      <c r="AH47" s="43"/>
      <c r="AI47" s="43"/>
      <c r="AJ47" s="239"/>
      <c r="AK47" s="36"/>
      <c r="AL47" s="32"/>
      <c r="AM47" s="381"/>
      <c r="AN47" s="382"/>
      <c r="AP47" s="383">
        <f t="shared" si="11"/>
        <v>0</v>
      </c>
      <c r="AQ47" s="383">
        <f t="shared" si="9"/>
        <v>0</v>
      </c>
      <c r="AR47" s="383">
        <f t="shared" si="10"/>
        <v>0</v>
      </c>
      <c r="AS47" s="384">
        <f t="shared" si="3"/>
        <v>0</v>
      </c>
      <c r="AU47" s="385">
        <f t="shared" si="4"/>
        <v>0</v>
      </c>
      <c r="AV47" s="386">
        <f t="shared" si="5"/>
        <v>0</v>
      </c>
    </row>
    <row r="48" spans="1:48" x14ac:dyDescent="0.3">
      <c r="A48" s="42"/>
      <c r="B48" s="11">
        <v>40</v>
      </c>
      <c r="C48" s="1"/>
      <c r="D48" s="160"/>
      <c r="E48" s="160"/>
      <c r="F48" s="237"/>
      <c r="G48" s="166"/>
      <c r="H48" s="166"/>
      <c r="I48" s="106"/>
      <c r="J48" s="43"/>
      <c r="K48" s="43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>
        <f t="shared" ref="Y48:Y54" si="14">SUM(L48:X48)</f>
        <v>0</v>
      </c>
      <c r="Z48" s="54">
        <f t="shared" si="7"/>
        <v>0</v>
      </c>
      <c r="AA48" s="139">
        <f t="shared" ref="AA48:AA54" si="15">Y48-Z48</f>
        <v>0</v>
      </c>
      <c r="AB48" s="144"/>
      <c r="AC48" s="29"/>
      <c r="AD48" s="29"/>
      <c r="AE48" s="106"/>
      <c r="AF48" s="43"/>
      <c r="AG48" s="167"/>
      <c r="AH48" s="43"/>
      <c r="AI48" s="43"/>
      <c r="AJ48" s="239"/>
      <c r="AK48" s="36"/>
      <c r="AL48" s="32"/>
      <c r="AM48" s="381"/>
      <c r="AN48" s="382"/>
      <c r="AO48" s="370"/>
      <c r="AP48" s="383">
        <f t="shared" si="11"/>
        <v>0</v>
      </c>
      <c r="AQ48" s="383">
        <f t="shared" si="9"/>
        <v>0</v>
      </c>
      <c r="AR48" s="383">
        <f t="shared" si="10"/>
        <v>0</v>
      </c>
      <c r="AS48" s="384">
        <f t="shared" si="3"/>
        <v>0</v>
      </c>
      <c r="AU48" s="385">
        <f t="shared" si="4"/>
        <v>0</v>
      </c>
      <c r="AV48" s="386">
        <f t="shared" si="5"/>
        <v>0</v>
      </c>
    </row>
    <row r="49" spans="1:48" x14ac:dyDescent="0.3">
      <c r="A49" s="42"/>
      <c r="B49" s="11">
        <v>41</v>
      </c>
      <c r="C49" s="1"/>
      <c r="D49" s="160"/>
      <c r="E49" s="160"/>
      <c r="F49" s="237"/>
      <c r="G49" s="166"/>
      <c r="H49" s="166"/>
      <c r="I49" s="106"/>
      <c r="J49" s="43"/>
      <c r="K49" s="43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>
        <f t="shared" si="14"/>
        <v>0</v>
      </c>
      <c r="Z49" s="54">
        <f t="shared" si="7"/>
        <v>0</v>
      </c>
      <c r="AA49" s="139">
        <f t="shared" si="15"/>
        <v>0</v>
      </c>
      <c r="AB49" s="144"/>
      <c r="AC49" s="29"/>
      <c r="AD49" s="29"/>
      <c r="AE49" s="106"/>
      <c r="AF49" s="43"/>
      <c r="AG49" s="167"/>
      <c r="AH49" s="43"/>
      <c r="AI49" s="43"/>
      <c r="AJ49" s="239"/>
      <c r="AK49" s="36"/>
      <c r="AL49" s="32"/>
      <c r="AM49" s="381"/>
      <c r="AN49" s="382"/>
      <c r="AO49" s="370"/>
      <c r="AP49" s="383">
        <f t="shared" si="11"/>
        <v>0</v>
      </c>
      <c r="AQ49" s="383">
        <f t="shared" si="9"/>
        <v>0</v>
      </c>
      <c r="AR49" s="383">
        <f t="shared" si="10"/>
        <v>0</v>
      </c>
      <c r="AS49" s="384">
        <f t="shared" si="3"/>
        <v>0</v>
      </c>
      <c r="AU49" s="385">
        <f t="shared" si="4"/>
        <v>0</v>
      </c>
      <c r="AV49" s="386">
        <f t="shared" si="5"/>
        <v>0</v>
      </c>
    </row>
    <row r="50" spans="1:48" x14ac:dyDescent="0.3">
      <c r="A50" s="42"/>
      <c r="B50" s="11">
        <v>42</v>
      </c>
      <c r="C50" s="1"/>
      <c r="D50" s="160"/>
      <c r="E50" s="160"/>
      <c r="F50" s="237"/>
      <c r="G50" s="166"/>
      <c r="H50" s="166"/>
      <c r="I50" s="106"/>
      <c r="J50" s="43"/>
      <c r="K50" s="43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>
        <f t="shared" si="14"/>
        <v>0</v>
      </c>
      <c r="Z50" s="54">
        <f t="shared" si="7"/>
        <v>0</v>
      </c>
      <c r="AA50" s="139">
        <f t="shared" si="15"/>
        <v>0</v>
      </c>
      <c r="AB50" s="144"/>
      <c r="AC50" s="29"/>
      <c r="AD50" s="29"/>
      <c r="AE50" s="106"/>
      <c r="AF50" s="43"/>
      <c r="AG50" s="167"/>
      <c r="AH50" s="43"/>
      <c r="AI50" s="43"/>
      <c r="AJ50" s="239"/>
      <c r="AK50" s="36"/>
      <c r="AL50" s="32"/>
      <c r="AM50" s="381"/>
      <c r="AN50" s="382"/>
      <c r="AO50" s="370"/>
      <c r="AP50" s="383">
        <f t="shared" si="11"/>
        <v>0</v>
      </c>
      <c r="AQ50" s="383">
        <f t="shared" si="9"/>
        <v>0</v>
      </c>
      <c r="AR50" s="383">
        <f t="shared" si="10"/>
        <v>0</v>
      </c>
      <c r="AS50" s="384">
        <f t="shared" si="3"/>
        <v>0</v>
      </c>
      <c r="AU50" s="385">
        <f t="shared" si="4"/>
        <v>0</v>
      </c>
      <c r="AV50" s="386">
        <f t="shared" si="5"/>
        <v>0</v>
      </c>
    </row>
    <row r="51" spans="1:48" x14ac:dyDescent="0.3">
      <c r="A51" s="42"/>
      <c r="B51" s="11">
        <v>43</v>
      </c>
      <c r="C51" s="1"/>
      <c r="D51" s="160"/>
      <c r="E51" s="160"/>
      <c r="F51" s="237"/>
      <c r="G51" s="166"/>
      <c r="H51" s="166"/>
      <c r="I51" s="106"/>
      <c r="J51" s="43"/>
      <c r="K51" s="43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>
        <f t="shared" si="14"/>
        <v>0</v>
      </c>
      <c r="Z51" s="54">
        <f t="shared" si="7"/>
        <v>0</v>
      </c>
      <c r="AA51" s="139">
        <f t="shared" si="15"/>
        <v>0</v>
      </c>
      <c r="AB51" s="144"/>
      <c r="AC51" s="29"/>
      <c r="AD51" s="29"/>
      <c r="AE51" s="106"/>
      <c r="AF51" s="43"/>
      <c r="AG51" s="167"/>
      <c r="AH51" s="43"/>
      <c r="AI51" s="43"/>
      <c r="AJ51" s="239"/>
      <c r="AK51" s="36"/>
      <c r="AL51" s="32"/>
      <c r="AM51" s="381"/>
      <c r="AN51" s="382"/>
      <c r="AO51" s="370"/>
      <c r="AP51" s="383">
        <f t="shared" si="11"/>
        <v>0</v>
      </c>
      <c r="AQ51" s="383">
        <f t="shared" si="9"/>
        <v>0</v>
      </c>
      <c r="AR51" s="383">
        <f t="shared" si="10"/>
        <v>0</v>
      </c>
      <c r="AS51" s="384">
        <f t="shared" si="3"/>
        <v>0</v>
      </c>
      <c r="AU51" s="385">
        <f t="shared" si="4"/>
        <v>0</v>
      </c>
      <c r="AV51" s="386">
        <f t="shared" si="5"/>
        <v>0</v>
      </c>
    </row>
    <row r="52" spans="1:48" x14ac:dyDescent="0.3">
      <c r="A52" s="42"/>
      <c r="B52" s="11">
        <v>44</v>
      </c>
      <c r="C52" s="1"/>
      <c r="D52" s="160"/>
      <c r="E52" s="160"/>
      <c r="F52" s="237"/>
      <c r="G52" s="166"/>
      <c r="H52" s="166"/>
      <c r="I52" s="106"/>
      <c r="J52" s="43"/>
      <c r="K52" s="43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>
        <f t="shared" si="14"/>
        <v>0</v>
      </c>
      <c r="Z52" s="54">
        <f t="shared" si="7"/>
        <v>0</v>
      </c>
      <c r="AA52" s="139">
        <f t="shared" si="15"/>
        <v>0</v>
      </c>
      <c r="AB52" s="144"/>
      <c r="AC52" s="29"/>
      <c r="AD52" s="29"/>
      <c r="AE52" s="106"/>
      <c r="AF52" s="43"/>
      <c r="AG52" s="167"/>
      <c r="AH52" s="43"/>
      <c r="AI52" s="43"/>
      <c r="AJ52" s="239"/>
      <c r="AK52" s="36"/>
      <c r="AL52" s="32"/>
      <c r="AM52" s="381"/>
      <c r="AN52" s="382"/>
      <c r="AO52" s="370"/>
      <c r="AP52" s="383">
        <f t="shared" si="11"/>
        <v>0</v>
      </c>
      <c r="AQ52" s="383">
        <f t="shared" si="9"/>
        <v>0</v>
      </c>
      <c r="AR52" s="383">
        <f t="shared" si="10"/>
        <v>0</v>
      </c>
      <c r="AS52" s="384">
        <f t="shared" si="3"/>
        <v>0</v>
      </c>
      <c r="AU52" s="385">
        <f t="shared" si="4"/>
        <v>0</v>
      </c>
      <c r="AV52" s="386">
        <f t="shared" si="5"/>
        <v>0</v>
      </c>
    </row>
    <row r="53" spans="1:48" x14ac:dyDescent="0.3">
      <c r="A53" s="42"/>
      <c r="B53" s="11">
        <v>45</v>
      </c>
      <c r="C53" s="1"/>
      <c r="D53" s="160"/>
      <c r="E53" s="160"/>
      <c r="F53" s="237"/>
      <c r="G53" s="166"/>
      <c r="H53" s="166"/>
      <c r="I53" s="106"/>
      <c r="J53" s="43"/>
      <c r="K53" s="43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>
        <f t="shared" si="14"/>
        <v>0</v>
      </c>
      <c r="Z53" s="54">
        <f t="shared" si="7"/>
        <v>0</v>
      </c>
      <c r="AA53" s="139">
        <f t="shared" si="15"/>
        <v>0</v>
      </c>
      <c r="AB53" s="144"/>
      <c r="AC53" s="29"/>
      <c r="AD53" s="29"/>
      <c r="AE53" s="106"/>
      <c r="AF53" s="43"/>
      <c r="AG53" s="167"/>
      <c r="AH53" s="43"/>
      <c r="AI53" s="43"/>
      <c r="AJ53" s="239"/>
      <c r="AK53" s="36"/>
      <c r="AL53" s="32"/>
      <c r="AM53" s="381"/>
      <c r="AN53" s="382"/>
      <c r="AO53" s="370"/>
      <c r="AP53" s="383">
        <f t="shared" si="11"/>
        <v>0</v>
      </c>
      <c r="AQ53" s="383">
        <f t="shared" si="9"/>
        <v>0</v>
      </c>
      <c r="AR53" s="383">
        <f t="shared" si="10"/>
        <v>0</v>
      </c>
      <c r="AS53" s="384">
        <f t="shared" si="3"/>
        <v>0</v>
      </c>
      <c r="AU53" s="385">
        <f t="shared" si="4"/>
        <v>0</v>
      </c>
      <c r="AV53" s="386">
        <f t="shared" si="5"/>
        <v>0</v>
      </c>
    </row>
    <row r="54" spans="1:48" x14ac:dyDescent="0.3">
      <c r="A54" s="42"/>
      <c r="B54" s="11"/>
      <c r="C54" s="106"/>
      <c r="D54" s="106"/>
      <c r="E54" s="106"/>
      <c r="F54" s="120"/>
      <c r="G54" s="166"/>
      <c r="H54" s="166"/>
      <c r="I54" s="106"/>
      <c r="J54" s="43"/>
      <c r="K54" s="43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>
        <f t="shared" si="14"/>
        <v>0</v>
      </c>
      <c r="Z54" s="54">
        <f t="shared" si="7"/>
        <v>0</v>
      </c>
      <c r="AA54" s="139">
        <f t="shared" si="15"/>
        <v>0</v>
      </c>
      <c r="AB54" s="144"/>
      <c r="AC54" s="29"/>
      <c r="AD54" s="36"/>
      <c r="AE54" s="106"/>
      <c r="AF54" s="43"/>
      <c r="AG54" s="167"/>
      <c r="AH54" s="43"/>
      <c r="AI54" s="43"/>
      <c r="AJ54" s="239"/>
      <c r="AK54" s="36"/>
      <c r="AL54" s="32"/>
      <c r="AM54" s="381"/>
      <c r="AN54" s="382"/>
      <c r="AO54" s="370"/>
      <c r="AP54" s="383">
        <f t="shared" si="11"/>
        <v>0</v>
      </c>
      <c r="AQ54" s="383">
        <f t="shared" si="9"/>
        <v>0</v>
      </c>
      <c r="AR54" s="383">
        <f t="shared" si="10"/>
        <v>0</v>
      </c>
      <c r="AS54" s="384">
        <f t="shared" si="3"/>
        <v>0</v>
      </c>
      <c r="AU54" s="385">
        <f t="shared" si="4"/>
        <v>0</v>
      </c>
      <c r="AV54" s="386">
        <f t="shared" si="5"/>
        <v>0</v>
      </c>
    </row>
    <row r="55" spans="1:48" x14ac:dyDescent="0.3">
      <c r="B55" s="44"/>
      <c r="C55" s="107"/>
      <c r="D55" s="107"/>
      <c r="E55" s="107"/>
      <c r="F55" s="49"/>
      <c r="G55" s="161"/>
      <c r="H55" s="28"/>
      <c r="I55" s="117"/>
      <c r="J55" s="49"/>
      <c r="K55" s="49"/>
      <c r="L55" s="55">
        <f>SUBTOTAL(9,L9:L54)</f>
        <v>0</v>
      </c>
      <c r="M55" s="55">
        <f t="shared" ref="M55:AA55" si="16">SUBTOTAL(9,M9:M54)</f>
        <v>0</v>
      </c>
      <c r="N55" s="55">
        <f t="shared" si="16"/>
        <v>0</v>
      </c>
      <c r="O55" s="55">
        <f t="shared" si="16"/>
        <v>0</v>
      </c>
      <c r="P55" s="55">
        <f t="shared" si="16"/>
        <v>0</v>
      </c>
      <c r="Q55" s="55">
        <f t="shared" si="16"/>
        <v>0</v>
      </c>
      <c r="R55" s="55">
        <f t="shared" si="16"/>
        <v>0</v>
      </c>
      <c r="S55" s="55">
        <f t="shared" si="16"/>
        <v>0</v>
      </c>
      <c r="T55" s="55">
        <f t="shared" si="16"/>
        <v>0</v>
      </c>
      <c r="U55" s="55">
        <f t="shared" si="16"/>
        <v>0</v>
      </c>
      <c r="V55" s="55">
        <f t="shared" si="16"/>
        <v>0</v>
      </c>
      <c r="W55" s="55">
        <f t="shared" si="16"/>
        <v>0</v>
      </c>
      <c r="X55" s="55">
        <f t="shared" si="16"/>
        <v>0</v>
      </c>
      <c r="Y55" s="55">
        <f t="shared" si="16"/>
        <v>0</v>
      </c>
      <c r="Z55" s="55">
        <f t="shared" si="16"/>
        <v>0</v>
      </c>
      <c r="AA55" s="55">
        <f t="shared" si="16"/>
        <v>0</v>
      </c>
      <c r="AB55" s="145"/>
      <c r="AC55" s="3"/>
      <c r="AD55" s="32"/>
      <c r="AE55" s="3"/>
      <c r="AF55" s="3"/>
      <c r="AG55" s="14"/>
      <c r="AH55" s="3"/>
      <c r="AI55" s="3"/>
      <c r="AJ55" s="14"/>
      <c r="AO55" s="370"/>
      <c r="AP55" s="387">
        <f>SUBTOTAL(9,AP9:AP54)</f>
        <v>0</v>
      </c>
      <c r="AQ55" s="387">
        <f>SUBTOTAL(9,AQ9:AQ54)</f>
        <v>0</v>
      </c>
      <c r="AR55" s="387">
        <f>SUBTOTAL(9,AR9:AR54)</f>
        <v>0</v>
      </c>
      <c r="AS55" s="384">
        <f t="shared" si="3"/>
        <v>0</v>
      </c>
      <c r="AU55" s="385">
        <f>SUM(AU9:AU54)</f>
        <v>0</v>
      </c>
    </row>
    <row r="56" spans="1:48" x14ac:dyDescent="0.3">
      <c r="F56" s="49"/>
      <c r="G56" s="161"/>
      <c r="H56" s="28"/>
      <c r="I56" s="14"/>
      <c r="J56" s="49"/>
      <c r="K56" s="49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123"/>
      <c r="AC56" s="3"/>
      <c r="AD56" s="32"/>
      <c r="AE56" s="3"/>
      <c r="AF56" s="3"/>
      <c r="AG56" s="14"/>
      <c r="AH56" s="3"/>
      <c r="AI56" s="3"/>
      <c r="AJ56" s="14"/>
      <c r="AO56" s="370"/>
      <c r="AU56" s="385"/>
    </row>
    <row r="57" spans="1:48" ht="15" thickBot="1" x14ac:dyDescent="0.35">
      <c r="G57" s="161"/>
      <c r="AB57" s="146"/>
      <c r="AJ57" s="8"/>
      <c r="AP57" s="388">
        <f>SUM(AP9:AP54)</f>
        <v>0</v>
      </c>
      <c r="AQ57" s="388">
        <f>SUM(AQ9:AQ54)</f>
        <v>0</v>
      </c>
      <c r="AR57" s="388">
        <f>SUM(AR9:AR54)</f>
        <v>0</v>
      </c>
      <c r="AU57" s="388">
        <f>SUM(AU9:AU54)</f>
        <v>0</v>
      </c>
    </row>
    <row r="58" spans="1:48" ht="15.6" thickTop="1" thickBot="1" x14ac:dyDescent="0.35">
      <c r="A58" s="52"/>
      <c r="G58" s="161"/>
      <c r="L58" s="102">
        <f t="shared" ref="L58:AA58" si="17">SUM(L9:L54)</f>
        <v>0</v>
      </c>
      <c r="M58" s="102">
        <f t="shared" si="17"/>
        <v>0</v>
      </c>
      <c r="N58" s="102">
        <f t="shared" si="17"/>
        <v>0</v>
      </c>
      <c r="O58" s="102">
        <f t="shared" si="17"/>
        <v>0</v>
      </c>
      <c r="P58" s="102">
        <f t="shared" si="17"/>
        <v>0</v>
      </c>
      <c r="Q58" s="102">
        <f t="shared" si="17"/>
        <v>0</v>
      </c>
      <c r="R58" s="102">
        <f t="shared" si="17"/>
        <v>0</v>
      </c>
      <c r="S58" s="102">
        <f t="shared" si="17"/>
        <v>0</v>
      </c>
      <c r="T58" s="102">
        <f t="shared" si="17"/>
        <v>0</v>
      </c>
      <c r="U58" s="102">
        <f t="shared" si="17"/>
        <v>0</v>
      </c>
      <c r="V58" s="102">
        <f t="shared" si="17"/>
        <v>0</v>
      </c>
      <c r="W58" s="102">
        <f t="shared" si="17"/>
        <v>0</v>
      </c>
      <c r="X58" s="102">
        <f t="shared" si="17"/>
        <v>0</v>
      </c>
      <c r="Y58" s="102">
        <f t="shared" si="17"/>
        <v>0</v>
      </c>
      <c r="Z58" s="102">
        <f t="shared" si="17"/>
        <v>0</v>
      </c>
      <c r="AA58" s="102">
        <f t="shared" si="17"/>
        <v>0</v>
      </c>
      <c r="AB58" s="143"/>
      <c r="AU58" s="385"/>
    </row>
    <row r="59" spans="1:48" ht="15" thickTop="1" x14ac:dyDescent="0.3">
      <c r="D59" s="279" t="s">
        <v>124</v>
      </c>
      <c r="E59" s="279" t="s">
        <v>13</v>
      </c>
      <c r="F59" s="280" t="s">
        <v>125</v>
      </c>
      <c r="G59" s="281" t="s">
        <v>126</v>
      </c>
      <c r="AU59" s="385"/>
    </row>
    <row r="60" spans="1:48" x14ac:dyDescent="0.3">
      <c r="E60" s="282">
        <f>SUMIF($C$9:$C$54,$D60,$Y$9:$Y$54)</f>
        <v>0</v>
      </c>
      <c r="F60" s="211">
        <f>SUMIFS($AA$9:$AA$54,$AF$9:$AF$54,"YES",$C$9:$C$54,$D60)</f>
        <v>0</v>
      </c>
      <c r="G60" s="283">
        <f>E60-F60</f>
        <v>0</v>
      </c>
      <c r="AU60" s="385"/>
    </row>
    <row r="61" spans="1:48" x14ac:dyDescent="0.3">
      <c r="E61" s="282">
        <f>SUMIF($C$9:$C$54,$D61,$Y$9:$Y$54)</f>
        <v>0</v>
      </c>
      <c r="F61" s="211">
        <f>SUMIFS($AA$9:$AA$54,$AF$9:$AF$54,"YES",$C$9:$C$54,$D61)</f>
        <v>0</v>
      </c>
      <c r="G61" s="283">
        <f t="shared" ref="G61:G63" si="18">E61-F61</f>
        <v>0</v>
      </c>
      <c r="AU61" s="385"/>
    </row>
    <row r="62" spans="1:48" x14ac:dyDescent="0.3">
      <c r="E62" s="282">
        <f>SUMIF($C$9:$C$54,$D62,$Y$9:$Y$54)</f>
        <v>0</v>
      </c>
      <c r="F62" s="211">
        <f>SUMIFS($AA$9:$AA$54,$AF$9:$AF$54,"YES",$C$9:$C$54,$D62)</f>
        <v>0</v>
      </c>
      <c r="G62" s="283">
        <f t="shared" si="18"/>
        <v>0</v>
      </c>
      <c r="H62" s="41"/>
      <c r="I62"/>
      <c r="J62" s="41"/>
      <c r="K62" s="41"/>
      <c r="L62" s="48"/>
      <c r="M62" s="48"/>
      <c r="N62" s="48"/>
      <c r="O62" s="48"/>
      <c r="P62" s="48"/>
      <c r="Q62" s="48"/>
      <c r="R62" s="48"/>
      <c r="S62" s="48"/>
      <c r="T62" s="48"/>
      <c r="U62" s="425" t="s">
        <v>127</v>
      </c>
      <c r="V62" s="426"/>
      <c r="W62" s="427"/>
      <c r="X62" s="47"/>
      <c r="Y62" s="8"/>
      <c r="Z62" s="425" t="s">
        <v>128</v>
      </c>
      <c r="AA62" s="426"/>
      <c r="AB62" s="427"/>
      <c r="AC62" s="8"/>
      <c r="AD62"/>
      <c r="AU62" s="385"/>
    </row>
    <row r="63" spans="1:48" ht="15" thickBot="1" x14ac:dyDescent="0.35">
      <c r="D63" s="208"/>
      <c r="E63" s="284">
        <f>SUMIF($C$9:$C$54,$D63,$Y$9:$Y$54)</f>
        <v>0</v>
      </c>
      <c r="F63" s="209">
        <f>SUMIFS($AA$9:$AA$54,$AF$9:$AF$54,"YES",$C$9:$C$54,$D63)</f>
        <v>0</v>
      </c>
      <c r="G63" s="285">
        <f t="shared" si="18"/>
        <v>0</v>
      </c>
      <c r="H63" s="41"/>
      <c r="I63"/>
      <c r="J63" s="41"/>
      <c r="K63" s="41"/>
      <c r="L63" s="48"/>
      <c r="M63" s="48"/>
      <c r="N63" s="48"/>
      <c r="O63" s="48"/>
      <c r="P63" s="48"/>
      <c r="Q63" s="48"/>
      <c r="R63" s="48"/>
      <c r="S63" s="48"/>
      <c r="T63" s="48"/>
      <c r="U63" s="16" t="s">
        <v>129</v>
      </c>
      <c r="V63" s="92" t="s">
        <v>130</v>
      </c>
      <c r="W63" s="100" t="s">
        <v>131</v>
      </c>
      <c r="X63" s="47"/>
      <c r="Y63" s="91"/>
      <c r="Z63" s="16" t="s">
        <v>129</v>
      </c>
      <c r="AA63" s="92" t="s">
        <v>130</v>
      </c>
      <c r="AB63" s="93" t="s">
        <v>131</v>
      </c>
      <c r="AC63" s="8"/>
      <c r="AD63"/>
      <c r="AU63" s="385"/>
    </row>
    <row r="64" spans="1:48" ht="15" thickTop="1" x14ac:dyDescent="0.3">
      <c r="D64" s="8" t="s">
        <v>13</v>
      </c>
      <c r="E64" s="163">
        <f>SUM(E60:E63)</f>
        <v>0</v>
      </c>
      <c r="F64" s="163">
        <f t="shared" ref="F64:G64" si="19">SUM(F60:F63)</f>
        <v>0</v>
      </c>
      <c r="G64" s="235">
        <f t="shared" si="19"/>
        <v>0</v>
      </c>
      <c r="H64" s="41"/>
      <c r="I64"/>
      <c r="J64" s="41"/>
      <c r="K64" s="41"/>
      <c r="L64" s="48"/>
      <c r="M64" s="48"/>
      <c r="N64" s="48"/>
      <c r="O64" s="48"/>
      <c r="P64" s="48"/>
      <c r="Q64" s="48"/>
      <c r="R64" s="48"/>
      <c r="S64" s="48"/>
      <c r="T64" s="48"/>
      <c r="U64" s="94">
        <f>SUMIF($AF$9:$AF$54,U63,$AR$9:$AR$54)</f>
        <v>0</v>
      </c>
      <c r="V64" s="94">
        <f>SUMIF($AF$9:$AF$54,V63,$AR$9:$AR$54)</f>
        <v>0</v>
      </c>
      <c r="W64" s="94">
        <f>SUMIF($AF$9:$AF$54,W63,$AR$9:$AR$54)</f>
        <v>0</v>
      </c>
      <c r="X64" s="95">
        <f>SUM(U64:W64)</f>
        <v>0</v>
      </c>
      <c r="Y64" s="96"/>
      <c r="Z64" s="94">
        <f>SUMIF($AF$9:$AF$54,Z63,$AU$9:$AU$54)</f>
        <v>0</v>
      </c>
      <c r="AA64" s="94">
        <f>SUMIF($AF$9:$AF$54,AA63,$AU$9:$AU$54)</f>
        <v>0</v>
      </c>
      <c r="AB64" s="94">
        <f>SUMIF($AF$9:$AF$54,AB63,$AU$9:$AU$54)</f>
        <v>0</v>
      </c>
      <c r="AC64" s="118">
        <f>SUM(Z64:AB64)</f>
        <v>0</v>
      </c>
      <c r="AD64"/>
      <c r="AU64" s="385"/>
    </row>
    <row r="65" spans="4:47" x14ac:dyDescent="0.3">
      <c r="D65" s="8"/>
      <c r="E65" s="236">
        <f>E64-Y58</f>
        <v>0</v>
      </c>
      <c r="F65" s="236">
        <f>F64-Y67</f>
        <v>0</v>
      </c>
      <c r="G65" s="236">
        <f>G64-Y68</f>
        <v>0</v>
      </c>
      <c r="H65" s="41"/>
      <c r="I65"/>
      <c r="J65" s="41"/>
      <c r="K65" s="41"/>
      <c r="L65" s="48"/>
      <c r="M65" s="48"/>
      <c r="N65" s="48"/>
      <c r="O65" s="48"/>
      <c r="P65" s="48"/>
      <c r="Q65" s="48"/>
      <c r="R65" s="48"/>
      <c r="S65" s="48"/>
      <c r="T65" s="48"/>
      <c r="U65" s="8"/>
      <c r="V65"/>
      <c r="W65"/>
      <c r="X65" s="97">
        <f>X64-AR57</f>
        <v>0</v>
      </c>
      <c r="Y65" s="91"/>
      <c r="Z65" s="32"/>
      <c r="AA65" s="32"/>
      <c r="AB65" s="98"/>
      <c r="AC65" s="97">
        <f>AC64-AU57</f>
        <v>0</v>
      </c>
      <c r="AD65"/>
      <c r="AU65" s="385"/>
    </row>
    <row r="66" spans="4:47" x14ac:dyDescent="0.3">
      <c r="D66" s="8"/>
      <c r="G66" s="161"/>
      <c r="I66"/>
      <c r="U66" s="47"/>
      <c r="V66" s="47"/>
      <c r="W66" s="47"/>
      <c r="X66" s="47"/>
      <c r="Y66" s="68"/>
      <c r="Z66"/>
      <c r="AA66" s="8"/>
      <c r="AB66"/>
      <c r="AD66"/>
      <c r="AU66" s="385"/>
    </row>
    <row r="67" spans="4:47" x14ac:dyDescent="0.3">
      <c r="D67"/>
      <c r="G67" s="161"/>
      <c r="I67"/>
      <c r="U67" s="8"/>
      <c r="V67" s="27"/>
      <c r="W67" s="47"/>
      <c r="X67" s="47" t="s">
        <v>132</v>
      </c>
      <c r="Y67" s="47">
        <f>W64</f>
        <v>0</v>
      </c>
      <c r="Z67" s="47"/>
      <c r="AA67" s="47"/>
      <c r="AB67" s="47"/>
      <c r="AD67"/>
      <c r="AU67" s="385"/>
    </row>
    <row r="68" spans="4:47" ht="15" thickBot="1" x14ac:dyDescent="0.35">
      <c r="D68"/>
      <c r="G68" s="161"/>
      <c r="I68"/>
      <c r="U68" s="8"/>
      <c r="V68" s="27"/>
      <c r="W68" s="47"/>
      <c r="X68" s="99" t="s">
        <v>133</v>
      </c>
      <c r="Y68" s="99">
        <f>U64+V64+Z64+AA64+AB64</f>
        <v>0</v>
      </c>
      <c r="Z68" s="47"/>
      <c r="AA68" s="47"/>
      <c r="AB68" s="47"/>
      <c r="AD68"/>
      <c r="AU68" s="385"/>
    </row>
    <row r="69" spans="4:47" ht="15" thickTop="1" x14ac:dyDescent="0.3">
      <c r="D69"/>
      <c r="G69" s="161"/>
      <c r="U69" s="8"/>
      <c r="V69" s="27"/>
      <c r="W69" s="47"/>
      <c r="X69" s="47" t="s">
        <v>134</v>
      </c>
      <c r="Y69" s="47">
        <f>SUM(Y67:Y68)</f>
        <v>0</v>
      </c>
      <c r="AA69" s="47"/>
      <c r="AB69" s="47"/>
      <c r="AC69" s="68"/>
      <c r="AD69" s="119"/>
      <c r="AU69" s="385"/>
    </row>
    <row r="70" spans="4:47" x14ac:dyDescent="0.3">
      <c r="D70"/>
      <c r="G70" s="161"/>
      <c r="U70" s="8"/>
      <c r="V70" s="27"/>
      <c r="W70" s="47"/>
      <c r="X70" s="47"/>
      <c r="Y70" s="97">
        <f>Y69-Y58</f>
        <v>0</v>
      </c>
      <c r="AA70" s="97"/>
      <c r="AB70" s="97"/>
      <c r="AC70" s="68"/>
      <c r="AD70" s="119"/>
      <c r="AU70" s="385"/>
    </row>
    <row r="71" spans="4:47" x14ac:dyDescent="0.3">
      <c r="D71"/>
      <c r="G71" s="161"/>
      <c r="AU71" s="385"/>
    </row>
    <row r="72" spans="4:47" x14ac:dyDescent="0.3">
      <c r="D72"/>
      <c r="G72" s="161"/>
      <c r="AU72" s="385"/>
    </row>
    <row r="73" spans="4:47" x14ac:dyDescent="0.3">
      <c r="D73"/>
      <c r="G73" s="28"/>
      <c r="AU73" s="385"/>
    </row>
    <row r="74" spans="4:47" x14ac:dyDescent="0.3">
      <c r="D74"/>
      <c r="G74" s="28"/>
      <c r="AU74" s="385"/>
    </row>
    <row r="75" spans="4:47" x14ac:dyDescent="0.3">
      <c r="D75"/>
      <c r="AU75" s="385"/>
    </row>
    <row r="76" spans="4:47" x14ac:dyDescent="0.3">
      <c r="D76"/>
      <c r="AU76" s="385"/>
    </row>
    <row r="77" spans="4:47" x14ac:dyDescent="0.3">
      <c r="D77"/>
      <c r="AU77" s="385"/>
    </row>
    <row r="78" spans="4:47" x14ac:dyDescent="0.3">
      <c r="D78"/>
      <c r="AU78" s="385"/>
    </row>
    <row r="79" spans="4:47" x14ac:dyDescent="0.3">
      <c r="D79"/>
      <c r="AU79" s="385"/>
    </row>
    <row r="80" spans="4:47" x14ac:dyDescent="0.3">
      <c r="D80"/>
      <c r="G80" s="41"/>
      <c r="AU80" s="385"/>
    </row>
    <row r="81" spans="4:47" x14ac:dyDescent="0.3">
      <c r="D81"/>
      <c r="G81" s="41"/>
      <c r="AU81" s="385"/>
    </row>
    <row r="82" spans="4:47" x14ac:dyDescent="0.3">
      <c r="D82"/>
      <c r="G82" s="41"/>
      <c r="AU82" s="385"/>
    </row>
    <row r="83" spans="4:47" x14ac:dyDescent="0.3">
      <c r="D83"/>
      <c r="G83" s="41"/>
      <c r="AU83" s="385"/>
    </row>
    <row r="84" spans="4:47" x14ac:dyDescent="0.3">
      <c r="D84"/>
      <c r="AU84" s="385"/>
    </row>
    <row r="85" spans="4:47" x14ac:dyDescent="0.3">
      <c r="D85"/>
      <c r="AU85" s="385"/>
    </row>
    <row r="86" spans="4:47" x14ac:dyDescent="0.3">
      <c r="D86"/>
      <c r="AU86" s="385"/>
    </row>
    <row r="87" spans="4:47" x14ac:dyDescent="0.3">
      <c r="D87"/>
      <c r="AU87" s="385"/>
    </row>
    <row r="88" spans="4:47" x14ac:dyDescent="0.3">
      <c r="D88"/>
      <c r="AU88" s="385"/>
    </row>
    <row r="89" spans="4:47" x14ac:dyDescent="0.3">
      <c r="D89"/>
      <c r="AU89" s="385"/>
    </row>
    <row r="90" spans="4:47" x14ac:dyDescent="0.3">
      <c r="D90"/>
      <c r="AU90" s="385"/>
    </row>
    <row r="91" spans="4:47" x14ac:dyDescent="0.3">
      <c r="D91"/>
      <c r="AU91" s="385"/>
    </row>
    <row r="92" spans="4:47" x14ac:dyDescent="0.3">
      <c r="D92"/>
      <c r="AU92" s="385"/>
    </row>
    <row r="93" spans="4:47" x14ac:dyDescent="0.3">
      <c r="D93"/>
      <c r="AU93" s="385"/>
    </row>
    <row r="94" spans="4:47" x14ac:dyDescent="0.3">
      <c r="D94"/>
      <c r="AU94" s="385"/>
    </row>
    <row r="95" spans="4:47" x14ac:dyDescent="0.3">
      <c r="D95"/>
      <c r="AU95" s="385"/>
    </row>
    <row r="96" spans="4:47" x14ac:dyDescent="0.3">
      <c r="D96"/>
      <c r="AU96" s="385"/>
    </row>
    <row r="97" spans="4:47" x14ac:dyDescent="0.3">
      <c r="D97"/>
      <c r="AU97" s="385"/>
    </row>
    <row r="98" spans="4:47" x14ac:dyDescent="0.3">
      <c r="D98"/>
      <c r="AU98" s="385"/>
    </row>
    <row r="99" spans="4:47" x14ac:dyDescent="0.3">
      <c r="D99"/>
      <c r="AU99" s="385"/>
    </row>
    <row r="100" spans="4:47" x14ac:dyDescent="0.3">
      <c r="D100"/>
      <c r="AU100" s="385"/>
    </row>
    <row r="101" spans="4:47" x14ac:dyDescent="0.3">
      <c r="D101"/>
      <c r="AU101" s="385"/>
    </row>
    <row r="102" spans="4:47" x14ac:dyDescent="0.3">
      <c r="D102"/>
      <c r="AU102" s="385"/>
    </row>
    <row r="103" spans="4:47" x14ac:dyDescent="0.3">
      <c r="D103"/>
      <c r="AU103" s="385"/>
    </row>
    <row r="104" spans="4:47" x14ac:dyDescent="0.3">
      <c r="D104"/>
      <c r="AU104" s="385"/>
    </row>
    <row r="105" spans="4:47" x14ac:dyDescent="0.3">
      <c r="D105"/>
      <c r="AU105" s="385"/>
    </row>
    <row r="106" spans="4:47" x14ac:dyDescent="0.3">
      <c r="AU106" s="385"/>
    </row>
    <row r="107" spans="4:47" x14ac:dyDescent="0.3">
      <c r="AU107" s="385"/>
    </row>
    <row r="108" spans="4:47" x14ac:dyDescent="0.3">
      <c r="AU108" s="385"/>
    </row>
    <row r="109" spans="4:47" x14ac:dyDescent="0.3">
      <c r="AU109" s="385"/>
    </row>
    <row r="110" spans="4:47" x14ac:dyDescent="0.3">
      <c r="AU110" s="385"/>
    </row>
    <row r="111" spans="4:47" x14ac:dyDescent="0.3">
      <c r="AU111" s="385"/>
    </row>
    <row r="112" spans="4:47" x14ac:dyDescent="0.3">
      <c r="AU112" s="385"/>
    </row>
    <row r="113" spans="47:47" x14ac:dyDescent="0.3">
      <c r="AU113" s="385"/>
    </row>
    <row r="114" spans="47:47" x14ac:dyDescent="0.3">
      <c r="AU114" s="385"/>
    </row>
    <row r="115" spans="47:47" x14ac:dyDescent="0.3">
      <c r="AU115" s="385"/>
    </row>
    <row r="116" spans="47:47" x14ac:dyDescent="0.3">
      <c r="AU116" s="385"/>
    </row>
    <row r="117" spans="47:47" x14ac:dyDescent="0.3">
      <c r="AU117" s="385"/>
    </row>
    <row r="118" spans="47:47" x14ac:dyDescent="0.3">
      <c r="AU118" s="385"/>
    </row>
    <row r="119" spans="47:47" x14ac:dyDescent="0.3">
      <c r="AU119" s="385"/>
    </row>
    <row r="120" spans="47:47" x14ac:dyDescent="0.3">
      <c r="AU120" s="385"/>
    </row>
    <row r="121" spans="47:47" x14ac:dyDescent="0.3">
      <c r="AU121" s="385"/>
    </row>
    <row r="122" spans="47:47" x14ac:dyDescent="0.3">
      <c r="AU122" s="385"/>
    </row>
    <row r="123" spans="47:47" x14ac:dyDescent="0.3">
      <c r="AU123" s="385"/>
    </row>
    <row r="124" spans="47:47" x14ac:dyDescent="0.3">
      <c r="AU124" s="385"/>
    </row>
    <row r="125" spans="47:47" x14ac:dyDescent="0.3">
      <c r="AU125" s="385"/>
    </row>
    <row r="126" spans="47:47" x14ac:dyDescent="0.3">
      <c r="AU126" s="385"/>
    </row>
    <row r="127" spans="47:47" x14ac:dyDescent="0.3">
      <c r="AU127" s="385"/>
    </row>
    <row r="128" spans="47:47" x14ac:dyDescent="0.3">
      <c r="AU128" s="385"/>
    </row>
    <row r="129" spans="47:47" x14ac:dyDescent="0.3">
      <c r="AU129" s="385"/>
    </row>
    <row r="130" spans="47:47" x14ac:dyDescent="0.3">
      <c r="AU130" s="385"/>
    </row>
    <row r="131" spans="47:47" x14ac:dyDescent="0.3">
      <c r="AU131" s="385"/>
    </row>
    <row r="132" spans="47:47" x14ac:dyDescent="0.3">
      <c r="AU132" s="385"/>
    </row>
    <row r="133" spans="47:47" x14ac:dyDescent="0.3">
      <c r="AU133" s="385"/>
    </row>
    <row r="134" spans="47:47" x14ac:dyDescent="0.3">
      <c r="AU134" s="385"/>
    </row>
    <row r="135" spans="47:47" x14ac:dyDescent="0.3">
      <c r="AU135" s="385"/>
    </row>
    <row r="136" spans="47:47" x14ac:dyDescent="0.3">
      <c r="AU136" s="385"/>
    </row>
    <row r="137" spans="47:47" x14ac:dyDescent="0.3">
      <c r="AU137" s="385"/>
    </row>
    <row r="138" spans="47:47" x14ac:dyDescent="0.3">
      <c r="AU138" s="385"/>
    </row>
    <row r="139" spans="47:47" x14ac:dyDescent="0.3">
      <c r="AU139" s="385"/>
    </row>
    <row r="140" spans="47:47" x14ac:dyDescent="0.3">
      <c r="AU140" s="385"/>
    </row>
    <row r="141" spans="47:47" x14ac:dyDescent="0.3">
      <c r="AU141" s="385"/>
    </row>
    <row r="142" spans="47:47" x14ac:dyDescent="0.3">
      <c r="AU142" s="385"/>
    </row>
    <row r="143" spans="47:47" x14ac:dyDescent="0.3">
      <c r="AU143" s="385"/>
    </row>
    <row r="144" spans="47:47" x14ac:dyDescent="0.3">
      <c r="AU144" s="385"/>
    </row>
    <row r="145" spans="47:47" x14ac:dyDescent="0.3">
      <c r="AU145" s="385"/>
    </row>
    <row r="146" spans="47:47" x14ac:dyDescent="0.3">
      <c r="AU146" s="385"/>
    </row>
    <row r="147" spans="47:47" x14ac:dyDescent="0.3">
      <c r="AU147" s="385"/>
    </row>
    <row r="148" spans="47:47" x14ac:dyDescent="0.3">
      <c r="AU148" s="385"/>
    </row>
    <row r="149" spans="47:47" x14ac:dyDescent="0.3">
      <c r="AU149" s="385"/>
    </row>
    <row r="150" spans="47:47" x14ac:dyDescent="0.3">
      <c r="AU150" s="385"/>
    </row>
    <row r="151" spans="47:47" x14ac:dyDescent="0.3">
      <c r="AU151" s="385"/>
    </row>
    <row r="152" spans="47:47" x14ac:dyDescent="0.3">
      <c r="AU152" s="385"/>
    </row>
    <row r="153" spans="47:47" x14ac:dyDescent="0.3">
      <c r="AU153" s="385"/>
    </row>
    <row r="154" spans="47:47" x14ac:dyDescent="0.3">
      <c r="AU154" s="385"/>
    </row>
    <row r="155" spans="47:47" x14ac:dyDescent="0.3">
      <c r="AU155" s="385"/>
    </row>
    <row r="156" spans="47:47" x14ac:dyDescent="0.3">
      <c r="AU156" s="385"/>
    </row>
    <row r="157" spans="47:47" x14ac:dyDescent="0.3">
      <c r="AU157" s="385"/>
    </row>
    <row r="158" spans="47:47" x14ac:dyDescent="0.3">
      <c r="AU158" s="385"/>
    </row>
    <row r="159" spans="47:47" x14ac:dyDescent="0.3">
      <c r="AU159" s="385"/>
    </row>
    <row r="160" spans="47:47" x14ac:dyDescent="0.3">
      <c r="AU160" s="385"/>
    </row>
    <row r="161" spans="47:47" x14ac:dyDescent="0.3">
      <c r="AU161" s="385"/>
    </row>
    <row r="162" spans="47:47" x14ac:dyDescent="0.3">
      <c r="AU162" s="385"/>
    </row>
    <row r="163" spans="47:47" x14ac:dyDescent="0.3">
      <c r="AU163" s="385"/>
    </row>
    <row r="164" spans="47:47" x14ac:dyDescent="0.3">
      <c r="AU164" s="385"/>
    </row>
    <row r="165" spans="47:47" x14ac:dyDescent="0.3">
      <c r="AU165" s="385"/>
    </row>
    <row r="166" spans="47:47" x14ac:dyDescent="0.3">
      <c r="AU166" s="385"/>
    </row>
    <row r="167" spans="47:47" x14ac:dyDescent="0.3">
      <c r="AU167" s="385"/>
    </row>
    <row r="168" spans="47:47" x14ac:dyDescent="0.3">
      <c r="AU168" s="385"/>
    </row>
    <row r="169" spans="47:47" x14ac:dyDescent="0.3">
      <c r="AU169" s="385"/>
    </row>
    <row r="170" spans="47:47" x14ac:dyDescent="0.3">
      <c r="AU170" s="385"/>
    </row>
    <row r="171" spans="47:47" x14ac:dyDescent="0.3">
      <c r="AU171" s="385"/>
    </row>
    <row r="172" spans="47:47" x14ac:dyDescent="0.3">
      <c r="AU172" s="385"/>
    </row>
    <row r="173" spans="47:47" x14ac:dyDescent="0.3">
      <c r="AU173" s="385"/>
    </row>
    <row r="174" spans="47:47" x14ac:dyDescent="0.3">
      <c r="AU174" s="385"/>
    </row>
    <row r="175" spans="47:47" x14ac:dyDescent="0.3">
      <c r="AU175" s="385"/>
    </row>
    <row r="176" spans="47:47" x14ac:dyDescent="0.3">
      <c r="AU176" s="385"/>
    </row>
    <row r="177" spans="47:47" x14ac:dyDescent="0.3">
      <c r="AU177" s="385"/>
    </row>
    <row r="178" spans="47:47" x14ac:dyDescent="0.3">
      <c r="AU178" s="385"/>
    </row>
    <row r="179" spans="47:47" x14ac:dyDescent="0.3">
      <c r="AU179" s="385"/>
    </row>
    <row r="180" spans="47:47" x14ac:dyDescent="0.3">
      <c r="AU180" s="385"/>
    </row>
    <row r="181" spans="47:47" x14ac:dyDescent="0.3">
      <c r="AU181" s="385"/>
    </row>
    <row r="182" spans="47:47" x14ac:dyDescent="0.3">
      <c r="AU182" s="385"/>
    </row>
    <row r="183" spans="47:47" x14ac:dyDescent="0.3">
      <c r="AU183" s="385"/>
    </row>
    <row r="184" spans="47:47" x14ac:dyDescent="0.3">
      <c r="AU184" s="385"/>
    </row>
    <row r="185" spans="47:47" x14ac:dyDescent="0.3">
      <c r="AU185" s="385"/>
    </row>
    <row r="186" spans="47:47" x14ac:dyDescent="0.3">
      <c r="AU186" s="385"/>
    </row>
    <row r="187" spans="47:47" x14ac:dyDescent="0.3">
      <c r="AU187" s="385"/>
    </row>
    <row r="188" spans="47:47" x14ac:dyDescent="0.3">
      <c r="AU188" s="385"/>
    </row>
    <row r="189" spans="47:47" x14ac:dyDescent="0.3">
      <c r="AU189" s="385"/>
    </row>
    <row r="190" spans="47:47" x14ac:dyDescent="0.3">
      <c r="AU190" s="385"/>
    </row>
    <row r="191" spans="47:47" x14ac:dyDescent="0.3">
      <c r="AU191" s="385"/>
    </row>
    <row r="192" spans="47:47" x14ac:dyDescent="0.3">
      <c r="AU192" s="385"/>
    </row>
    <row r="193" spans="47:47" x14ac:dyDescent="0.3">
      <c r="AU193" s="385"/>
    </row>
    <row r="194" spans="47:47" x14ac:dyDescent="0.3">
      <c r="AU194" s="385"/>
    </row>
    <row r="195" spans="47:47" x14ac:dyDescent="0.3">
      <c r="AU195" s="385"/>
    </row>
    <row r="196" spans="47:47" x14ac:dyDescent="0.3">
      <c r="AU196" s="385"/>
    </row>
    <row r="197" spans="47:47" x14ac:dyDescent="0.3">
      <c r="AU197" s="385"/>
    </row>
    <row r="198" spans="47:47" x14ac:dyDescent="0.3">
      <c r="AU198" s="385"/>
    </row>
    <row r="199" spans="47:47" x14ac:dyDescent="0.3">
      <c r="AU199" s="385"/>
    </row>
    <row r="200" spans="47:47" x14ac:dyDescent="0.3">
      <c r="AU200" s="385"/>
    </row>
    <row r="201" spans="47:47" x14ac:dyDescent="0.3">
      <c r="AU201" s="385"/>
    </row>
    <row r="202" spans="47:47" x14ac:dyDescent="0.3">
      <c r="AU202" s="385"/>
    </row>
    <row r="203" spans="47:47" x14ac:dyDescent="0.3">
      <c r="AU203" s="385"/>
    </row>
    <row r="204" spans="47:47" x14ac:dyDescent="0.3">
      <c r="AU204" s="385"/>
    </row>
    <row r="205" spans="47:47" x14ac:dyDescent="0.3">
      <c r="AU205" s="385"/>
    </row>
    <row r="206" spans="47:47" x14ac:dyDescent="0.3">
      <c r="AU206" s="385"/>
    </row>
    <row r="207" spans="47:47" x14ac:dyDescent="0.3">
      <c r="AU207" s="385"/>
    </row>
    <row r="208" spans="47:47" x14ac:dyDescent="0.3">
      <c r="AU208" s="385"/>
    </row>
    <row r="209" spans="47:47" x14ac:dyDescent="0.3">
      <c r="AU209" s="385"/>
    </row>
    <row r="210" spans="47:47" x14ac:dyDescent="0.3">
      <c r="AU210" s="385"/>
    </row>
    <row r="211" spans="47:47" x14ac:dyDescent="0.3">
      <c r="AU211" s="385"/>
    </row>
    <row r="212" spans="47:47" x14ac:dyDescent="0.3">
      <c r="AU212" s="385"/>
    </row>
    <row r="213" spans="47:47" x14ac:dyDescent="0.3">
      <c r="AU213" s="385"/>
    </row>
    <row r="214" spans="47:47" x14ac:dyDescent="0.3">
      <c r="AU214" s="385"/>
    </row>
    <row r="215" spans="47:47" x14ac:dyDescent="0.3">
      <c r="AU215" s="385"/>
    </row>
    <row r="216" spans="47:47" x14ac:dyDescent="0.3">
      <c r="AU216" s="385"/>
    </row>
    <row r="217" spans="47:47" x14ac:dyDescent="0.3">
      <c r="AU217" s="385"/>
    </row>
    <row r="218" spans="47:47" x14ac:dyDescent="0.3">
      <c r="AU218" s="385"/>
    </row>
    <row r="219" spans="47:47" x14ac:dyDescent="0.3">
      <c r="AU219" s="385"/>
    </row>
    <row r="220" spans="47:47" x14ac:dyDescent="0.3">
      <c r="AU220" s="385"/>
    </row>
    <row r="221" spans="47:47" x14ac:dyDescent="0.3">
      <c r="AU221" s="385"/>
    </row>
    <row r="222" spans="47:47" x14ac:dyDescent="0.3">
      <c r="AU222" s="385"/>
    </row>
    <row r="223" spans="47:47" x14ac:dyDescent="0.3">
      <c r="AU223" s="385"/>
    </row>
    <row r="224" spans="47:47" x14ac:dyDescent="0.3">
      <c r="AU224" s="385"/>
    </row>
    <row r="225" spans="47:47" x14ac:dyDescent="0.3">
      <c r="AU225" s="385"/>
    </row>
    <row r="226" spans="47:47" x14ac:dyDescent="0.3">
      <c r="AU226" s="385"/>
    </row>
    <row r="227" spans="47:47" x14ac:dyDescent="0.3">
      <c r="AU227" s="385"/>
    </row>
    <row r="228" spans="47:47" x14ac:dyDescent="0.3">
      <c r="AU228" s="385"/>
    </row>
    <row r="229" spans="47:47" x14ac:dyDescent="0.3">
      <c r="AU229" s="385"/>
    </row>
    <row r="230" spans="47:47" x14ac:dyDescent="0.3">
      <c r="AU230" s="385"/>
    </row>
    <row r="231" spans="47:47" x14ac:dyDescent="0.3">
      <c r="AU231" s="385"/>
    </row>
    <row r="232" spans="47:47" x14ac:dyDescent="0.3">
      <c r="AU232" s="385"/>
    </row>
    <row r="233" spans="47:47" x14ac:dyDescent="0.3">
      <c r="AU233" s="385"/>
    </row>
    <row r="234" spans="47:47" x14ac:dyDescent="0.3">
      <c r="AU234" s="385"/>
    </row>
    <row r="235" spans="47:47" x14ac:dyDescent="0.3">
      <c r="AU235" s="385"/>
    </row>
    <row r="236" spans="47:47" x14ac:dyDescent="0.3">
      <c r="AU236" s="385"/>
    </row>
    <row r="237" spans="47:47" x14ac:dyDescent="0.3">
      <c r="AU237" s="385"/>
    </row>
    <row r="238" spans="47:47" x14ac:dyDescent="0.3">
      <c r="AU238" s="385"/>
    </row>
    <row r="239" spans="47:47" x14ac:dyDescent="0.3">
      <c r="AU239" s="385"/>
    </row>
    <row r="240" spans="47:47" x14ac:dyDescent="0.3">
      <c r="AU240" s="385"/>
    </row>
    <row r="241" spans="47:47" x14ac:dyDescent="0.3">
      <c r="AU241" s="385"/>
    </row>
    <row r="242" spans="47:47" x14ac:dyDescent="0.3">
      <c r="AU242" s="385"/>
    </row>
    <row r="243" spans="47:47" x14ac:dyDescent="0.3">
      <c r="AU243" s="385"/>
    </row>
    <row r="244" spans="47:47" x14ac:dyDescent="0.3">
      <c r="AU244" s="385"/>
    </row>
    <row r="245" spans="47:47" x14ac:dyDescent="0.3">
      <c r="AU245" s="385"/>
    </row>
    <row r="246" spans="47:47" x14ac:dyDescent="0.3">
      <c r="AU246" s="385"/>
    </row>
    <row r="247" spans="47:47" x14ac:dyDescent="0.3">
      <c r="AU247" s="385"/>
    </row>
    <row r="248" spans="47:47" x14ac:dyDescent="0.3">
      <c r="AU248" s="385"/>
    </row>
    <row r="249" spans="47:47" x14ac:dyDescent="0.3">
      <c r="AU249" s="385"/>
    </row>
    <row r="250" spans="47:47" x14ac:dyDescent="0.3">
      <c r="AU250" s="385"/>
    </row>
    <row r="251" spans="47:47" x14ac:dyDescent="0.3">
      <c r="AU251" s="385"/>
    </row>
    <row r="252" spans="47:47" x14ac:dyDescent="0.3">
      <c r="AU252" s="385"/>
    </row>
    <row r="253" spans="47:47" x14ac:dyDescent="0.3">
      <c r="AU253" s="385"/>
    </row>
    <row r="254" spans="47:47" x14ac:dyDescent="0.3">
      <c r="AU254" s="385"/>
    </row>
    <row r="255" spans="47:47" x14ac:dyDescent="0.3">
      <c r="AU255" s="385"/>
    </row>
    <row r="256" spans="47:47" x14ac:dyDescent="0.3">
      <c r="AU256" s="385"/>
    </row>
    <row r="257" spans="47:47" x14ac:dyDescent="0.3">
      <c r="AU257" s="385"/>
    </row>
    <row r="258" spans="47:47" x14ac:dyDescent="0.3">
      <c r="AU258" s="385"/>
    </row>
    <row r="259" spans="47:47" x14ac:dyDescent="0.3">
      <c r="AU259" s="385"/>
    </row>
    <row r="260" spans="47:47" x14ac:dyDescent="0.3">
      <c r="AU260" s="385"/>
    </row>
    <row r="261" spans="47:47" x14ac:dyDescent="0.3">
      <c r="AU261" s="385"/>
    </row>
    <row r="262" spans="47:47" x14ac:dyDescent="0.3">
      <c r="AU262" s="385"/>
    </row>
    <row r="263" spans="47:47" x14ac:dyDescent="0.3">
      <c r="AU263" s="385"/>
    </row>
    <row r="264" spans="47:47" x14ac:dyDescent="0.3">
      <c r="AU264" s="385"/>
    </row>
    <row r="265" spans="47:47" x14ac:dyDescent="0.3">
      <c r="AU265" s="385"/>
    </row>
    <row r="266" spans="47:47" x14ac:dyDescent="0.3">
      <c r="AU266" s="385"/>
    </row>
    <row r="267" spans="47:47" x14ac:dyDescent="0.3">
      <c r="AU267" s="385"/>
    </row>
    <row r="268" spans="47:47" x14ac:dyDescent="0.3">
      <c r="AU268" s="385"/>
    </row>
    <row r="269" spans="47:47" x14ac:dyDescent="0.3">
      <c r="AU269" s="385"/>
    </row>
    <row r="270" spans="47:47" x14ac:dyDescent="0.3">
      <c r="AU270" s="385"/>
    </row>
    <row r="271" spans="47:47" x14ac:dyDescent="0.3">
      <c r="AU271" s="385"/>
    </row>
    <row r="272" spans="47:47" x14ac:dyDescent="0.3">
      <c r="AU272" s="385"/>
    </row>
    <row r="273" spans="47:47" x14ac:dyDescent="0.3">
      <c r="AU273" s="385"/>
    </row>
    <row r="274" spans="47:47" x14ac:dyDescent="0.3">
      <c r="AU274" s="385"/>
    </row>
    <row r="275" spans="47:47" x14ac:dyDescent="0.3">
      <c r="AU275" s="385"/>
    </row>
    <row r="276" spans="47:47" x14ac:dyDescent="0.3">
      <c r="AU276" s="385"/>
    </row>
    <row r="277" spans="47:47" x14ac:dyDescent="0.3">
      <c r="AU277" s="385"/>
    </row>
    <row r="278" spans="47:47" x14ac:dyDescent="0.3">
      <c r="AU278" s="385"/>
    </row>
    <row r="279" spans="47:47" x14ac:dyDescent="0.3">
      <c r="AU279" s="385"/>
    </row>
    <row r="280" spans="47:47" x14ac:dyDescent="0.3">
      <c r="AU280" s="385"/>
    </row>
    <row r="281" spans="47:47" x14ac:dyDescent="0.3">
      <c r="AU281" s="385"/>
    </row>
    <row r="282" spans="47:47" x14ac:dyDescent="0.3">
      <c r="AU282" s="385"/>
    </row>
    <row r="283" spans="47:47" x14ac:dyDescent="0.3">
      <c r="AU283" s="385"/>
    </row>
    <row r="284" spans="47:47" x14ac:dyDescent="0.3">
      <c r="AU284" s="385"/>
    </row>
    <row r="285" spans="47:47" x14ac:dyDescent="0.3">
      <c r="AU285" s="385"/>
    </row>
    <row r="286" spans="47:47" x14ac:dyDescent="0.3">
      <c r="AU286" s="385"/>
    </row>
    <row r="287" spans="47:47" x14ac:dyDescent="0.3">
      <c r="AU287" s="385"/>
    </row>
    <row r="288" spans="47:47" x14ac:dyDescent="0.3">
      <c r="AU288" s="385"/>
    </row>
    <row r="289" spans="47:47" x14ac:dyDescent="0.3">
      <c r="AU289" s="385"/>
    </row>
    <row r="290" spans="47:47" x14ac:dyDescent="0.3">
      <c r="AU290" s="385"/>
    </row>
    <row r="291" spans="47:47" x14ac:dyDescent="0.3">
      <c r="AU291" s="385"/>
    </row>
    <row r="292" spans="47:47" x14ac:dyDescent="0.3">
      <c r="AU292" s="385"/>
    </row>
    <row r="293" spans="47:47" x14ac:dyDescent="0.3">
      <c r="AU293" s="385"/>
    </row>
    <row r="294" spans="47:47" x14ac:dyDescent="0.3">
      <c r="AU294" s="385"/>
    </row>
    <row r="295" spans="47:47" x14ac:dyDescent="0.3">
      <c r="AU295" s="385"/>
    </row>
    <row r="296" spans="47:47" x14ac:dyDescent="0.3">
      <c r="AU296" s="385"/>
    </row>
    <row r="297" spans="47:47" x14ac:dyDescent="0.3">
      <c r="AU297" s="385"/>
    </row>
    <row r="298" spans="47:47" x14ac:dyDescent="0.3">
      <c r="AU298" s="385"/>
    </row>
    <row r="299" spans="47:47" x14ac:dyDescent="0.3">
      <c r="AU299" s="385"/>
    </row>
    <row r="300" spans="47:47" x14ac:dyDescent="0.3">
      <c r="AU300" s="385"/>
    </row>
    <row r="301" spans="47:47" x14ac:dyDescent="0.3">
      <c r="AU301" s="385"/>
    </row>
    <row r="302" spans="47:47" x14ac:dyDescent="0.3">
      <c r="AU302" s="385"/>
    </row>
    <row r="303" spans="47:47" x14ac:dyDescent="0.3">
      <c r="AU303" s="385"/>
    </row>
    <row r="304" spans="47:47" x14ac:dyDescent="0.3">
      <c r="AU304" s="385"/>
    </row>
    <row r="305" spans="47:47" x14ac:dyDescent="0.3">
      <c r="AU305" s="385"/>
    </row>
    <row r="306" spans="47:47" x14ac:dyDescent="0.3">
      <c r="AU306" s="385"/>
    </row>
    <row r="307" spans="47:47" x14ac:dyDescent="0.3">
      <c r="AU307" s="385"/>
    </row>
    <row r="308" spans="47:47" x14ac:dyDescent="0.3">
      <c r="AU308" s="385"/>
    </row>
    <row r="309" spans="47:47" x14ac:dyDescent="0.3">
      <c r="AU309" s="385"/>
    </row>
    <row r="310" spans="47:47" x14ac:dyDescent="0.3">
      <c r="AU310" s="385"/>
    </row>
    <row r="311" spans="47:47" x14ac:dyDescent="0.3">
      <c r="AU311" s="385"/>
    </row>
    <row r="312" spans="47:47" x14ac:dyDescent="0.3">
      <c r="AU312" s="385"/>
    </row>
    <row r="313" spans="47:47" x14ac:dyDescent="0.3">
      <c r="AU313" s="385"/>
    </row>
    <row r="314" spans="47:47" x14ac:dyDescent="0.3">
      <c r="AU314" s="385"/>
    </row>
    <row r="315" spans="47:47" x14ac:dyDescent="0.3">
      <c r="AU315" s="385"/>
    </row>
    <row r="316" spans="47:47" x14ac:dyDescent="0.3">
      <c r="AU316" s="385"/>
    </row>
    <row r="317" spans="47:47" x14ac:dyDescent="0.3">
      <c r="AU317" s="385"/>
    </row>
    <row r="318" spans="47:47" x14ac:dyDescent="0.3">
      <c r="AU318" s="385"/>
    </row>
    <row r="319" spans="47:47" x14ac:dyDescent="0.3">
      <c r="AU319" s="385"/>
    </row>
    <row r="320" spans="47:47" x14ac:dyDescent="0.3">
      <c r="AU320" s="385"/>
    </row>
    <row r="321" spans="47:47" x14ac:dyDescent="0.3">
      <c r="AU321" s="385"/>
    </row>
    <row r="322" spans="47:47" x14ac:dyDescent="0.3">
      <c r="AU322" s="385"/>
    </row>
    <row r="323" spans="47:47" x14ac:dyDescent="0.3">
      <c r="AU323" s="385"/>
    </row>
    <row r="324" spans="47:47" x14ac:dyDescent="0.3">
      <c r="AU324" s="385"/>
    </row>
    <row r="325" spans="47:47" x14ac:dyDescent="0.3">
      <c r="AU325" s="385"/>
    </row>
    <row r="326" spans="47:47" x14ac:dyDescent="0.3">
      <c r="AU326" s="385"/>
    </row>
    <row r="327" spans="47:47" x14ac:dyDescent="0.3">
      <c r="AU327" s="389"/>
    </row>
    <row r="328" spans="47:47" x14ac:dyDescent="0.3">
      <c r="AU328" s="390"/>
    </row>
  </sheetData>
  <dataConsolidate/>
  <mergeCells count="5">
    <mergeCell ref="AP7:AR7"/>
    <mergeCell ref="U62:W62"/>
    <mergeCell ref="B1:AK1"/>
    <mergeCell ref="Z62:AB62"/>
    <mergeCell ref="G3:J3"/>
  </mergeCells>
  <phoneticPr fontId="23" type="noConversion"/>
  <conditionalFormatting sqref="I34:I44">
    <cfRule type="cellIs" dxfId="198" priority="475" operator="equal">
      <formula>"NO"</formula>
    </cfRule>
    <cfRule type="cellIs" dxfId="197" priority="476" operator="equal">
      <formula>"YES"</formula>
    </cfRule>
  </conditionalFormatting>
  <conditionalFormatting sqref="I48:I54">
    <cfRule type="cellIs" dxfId="196" priority="128" operator="equal">
      <formula>"NO"</formula>
    </cfRule>
    <cfRule type="cellIs" dxfId="195" priority="129" operator="equal">
      <formula>"YES"</formula>
    </cfRule>
  </conditionalFormatting>
  <conditionalFormatting sqref="U63">
    <cfRule type="cellIs" dxfId="194" priority="495" operator="equal">
      <formula>"NO-OOS"</formula>
    </cfRule>
    <cfRule type="cellIs" dxfId="193" priority="496" operator="equal">
      <formula>"NO-CO"</formula>
    </cfRule>
    <cfRule type="cellIs" dxfId="192" priority="497" operator="equal">
      <formula>"YES"</formula>
    </cfRule>
    <cfRule type="cellIs" dxfId="191" priority="498" operator="equal">
      <formula>"NO"</formula>
    </cfRule>
  </conditionalFormatting>
  <conditionalFormatting sqref="Z63">
    <cfRule type="cellIs" dxfId="190" priority="490" operator="equal">
      <formula>"NO-OOS"</formula>
    </cfRule>
    <cfRule type="cellIs" dxfId="189" priority="491" operator="equal">
      <formula>"NO-CO"</formula>
    </cfRule>
    <cfRule type="cellIs" dxfId="188" priority="492" operator="equal">
      <formula>"YES"</formula>
    </cfRule>
    <cfRule type="cellIs" dxfId="187" priority="493" operator="equal">
      <formula>"NO"</formula>
    </cfRule>
  </conditionalFormatting>
  <conditionalFormatting sqref="AC9:AC54">
    <cfRule type="cellIs" dxfId="186" priority="85" operator="equal">
      <formula>"N/A - (OOS)"</formula>
    </cfRule>
    <cfRule type="cellIs" dxfId="185" priority="86" operator="equal">
      <formula>"YES"</formula>
    </cfRule>
    <cfRule type="cellIs" dxfId="184" priority="87" operator="equal">
      <formula>"NO"</formula>
    </cfRule>
  </conditionalFormatting>
  <conditionalFormatting sqref="AE9:AE54">
    <cfRule type="cellIs" dxfId="183" priority="93" operator="equal">
      <formula>"NO"</formula>
    </cfRule>
  </conditionalFormatting>
  <conditionalFormatting sqref="AE9:AF54">
    <cfRule type="cellIs" dxfId="182" priority="94" operator="equal">
      <formula>"YES"</formula>
    </cfRule>
  </conditionalFormatting>
  <conditionalFormatting sqref="AF9:AF54">
    <cfRule type="cellIs" dxfId="181" priority="463" operator="equal">
      <formula>"NO-OOS"</formula>
    </cfRule>
    <cfRule type="cellIs" dxfId="180" priority="464" operator="equal">
      <formula>"NO-TX"</formula>
    </cfRule>
  </conditionalFormatting>
  <conditionalFormatting sqref="AG11 AG26 AJ26">
    <cfRule type="cellIs" dxfId="179" priority="534" operator="equal">
      <formula>"NO"</formula>
    </cfRule>
    <cfRule type="cellIs" dxfId="178" priority="535" operator="equal">
      <formula>"YES"</formula>
    </cfRule>
  </conditionalFormatting>
  <conditionalFormatting sqref="AG14:AG18 AJ15:AJ18">
    <cfRule type="cellIs" dxfId="177" priority="504" operator="equal">
      <formula>"NO"</formula>
    </cfRule>
    <cfRule type="cellIs" dxfId="176" priority="505" operator="equal">
      <formula>"YES"</formula>
    </cfRule>
  </conditionalFormatting>
  <conditionalFormatting sqref="AG23 AJ23">
    <cfRule type="cellIs" dxfId="175" priority="528" operator="equal">
      <formula>"NO"</formula>
    </cfRule>
    <cfRule type="cellIs" dxfId="174" priority="529" operator="equal">
      <formula>"YES"</formula>
    </cfRule>
  </conditionalFormatting>
  <conditionalFormatting sqref="AG25 AJ25">
    <cfRule type="cellIs" dxfId="173" priority="526" operator="equal">
      <formula>"NO"</formula>
    </cfRule>
    <cfRule type="cellIs" dxfId="172" priority="527" operator="equal">
      <formula>"YES"</formula>
    </cfRule>
  </conditionalFormatting>
  <conditionalFormatting sqref="AG28 AJ28">
    <cfRule type="cellIs" dxfId="171" priority="532" operator="equal">
      <formula>"NO"</formula>
    </cfRule>
    <cfRule type="cellIs" dxfId="170" priority="533" operator="equal">
      <formula>"YES"</formula>
    </cfRule>
  </conditionalFormatting>
  <conditionalFormatting sqref="AG34 AJ34">
    <cfRule type="cellIs" dxfId="169" priority="469" operator="equal">
      <formula>"NO"</formula>
    </cfRule>
    <cfRule type="cellIs" dxfId="168" priority="470" operator="equal">
      <formula>"YES"</formula>
    </cfRule>
  </conditionalFormatting>
  <conditionalFormatting sqref="AG36 AJ36">
    <cfRule type="cellIs" dxfId="167" priority="467" operator="equal">
      <formula>"NO"</formula>
    </cfRule>
    <cfRule type="cellIs" dxfId="166" priority="468" operator="equal">
      <formula>"YES"</formula>
    </cfRule>
  </conditionalFormatting>
  <conditionalFormatting sqref="AG37 AJ37">
    <cfRule type="cellIs" dxfId="165" priority="473" operator="equal">
      <formula>"NO"</formula>
    </cfRule>
    <cfRule type="cellIs" dxfId="164" priority="474" operator="equal">
      <formula>"YES"</formula>
    </cfRule>
  </conditionalFormatting>
  <conditionalFormatting sqref="AG39 AJ39">
    <cfRule type="cellIs" dxfId="163" priority="471" operator="equal">
      <formula>"NO"</formula>
    </cfRule>
    <cfRule type="cellIs" dxfId="162" priority="472" operator="equal">
      <formula>"YES"</formula>
    </cfRule>
  </conditionalFormatting>
  <conditionalFormatting sqref="AG45:AG54 AJ45:AJ54">
    <cfRule type="cellIs" dxfId="161" priority="124" operator="equal">
      <formula>"NO"</formula>
    </cfRule>
    <cfRule type="cellIs" dxfId="160" priority="125" operator="equal">
      <formula>"YES"</formula>
    </cfRule>
  </conditionalFormatting>
  <conditionalFormatting sqref="AG9:AJ10 AG27:AJ27">
    <cfRule type="cellIs" dxfId="159" priority="3" operator="equal">
      <formula>"NO"</formula>
    </cfRule>
    <cfRule type="cellIs" dxfId="158" priority="4" operator="equal">
      <formula>"YES"</formula>
    </cfRule>
  </conditionalFormatting>
  <conditionalFormatting sqref="AH11:AI26 B55:E55">
    <cfRule type="cellIs" dxfId="157" priority="540" operator="equal">
      <formula>"NO"</formula>
    </cfRule>
    <cfRule type="cellIs" dxfId="156" priority="541" operator="equal">
      <formula>"YES"</formula>
    </cfRule>
  </conditionalFormatting>
  <conditionalFormatting sqref="AH28:AI42">
    <cfRule type="cellIs" dxfId="155" priority="465" operator="equal">
      <formula>"NO"</formula>
    </cfRule>
    <cfRule type="cellIs" dxfId="154" priority="466" operator="equal">
      <formula>"YES"</formula>
    </cfRule>
  </conditionalFormatting>
  <conditionalFormatting sqref="AH44:AI54">
    <cfRule type="cellIs" dxfId="153" priority="117" operator="equal">
      <formula>"NO"</formula>
    </cfRule>
    <cfRule type="cellIs" dxfId="152" priority="118" operator="equal">
      <formula>"YES"</formula>
    </cfRule>
  </conditionalFormatting>
  <conditionalFormatting sqref="AH43:AJ43">
    <cfRule type="cellIs" dxfId="151" priority="5" operator="equal">
      <formula>"NO"</formula>
    </cfRule>
    <cfRule type="cellIs" dxfId="150" priority="6" operator="equal">
      <formula>"YES"</formula>
    </cfRule>
  </conditionalFormatting>
  <conditionalFormatting sqref="AJ11:AJ14">
    <cfRule type="cellIs" dxfId="149" priority="512" operator="equal">
      <formula>"NO"</formula>
    </cfRule>
    <cfRule type="cellIs" dxfId="148" priority="513" operator="equal">
      <formula>"YES"</formula>
    </cfRule>
  </conditionalFormatting>
  <conditionalFormatting sqref="AM9:AM54">
    <cfRule type="cellIs" dxfId="147" priority="1" operator="equal">
      <formula>"NO"</formula>
    </cfRule>
    <cfRule type="cellIs" dxfId="146" priority="2" operator="equal">
      <formula>"YES"</formula>
    </cfRule>
  </conditionalFormatting>
  <dataValidations count="2">
    <dataValidation type="list" allowBlank="1" showInputMessage="1" showErrorMessage="1" sqref="U63 Z63" xr:uid="{CDC77590-BE56-476A-BB5E-F9457A1A796F}"/>
    <dataValidation type="list" allowBlank="1" showInputMessage="1" showErrorMessage="1" sqref="AH2 AH6 AF3:AF5" xr:uid="{2431B90B-FCF6-458E-9612-2CE856ECB07C}"/>
  </dataValidations>
  <pageMargins left="0.7" right="0.7" top="0.75" bottom="0.75" header="0.3" footer="0.3"/>
  <pageSetup scale="17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A6F6B91-E780-4907-9DD6-C8AB6964526D}">
          <x14:formula1>
            <xm:f>Legend!#REF!</xm:f>
          </x14:formula1>
          <xm:sqref>AF55:AF1048576 AF8</xm:sqref>
        </x14:dataValidation>
        <x14:dataValidation type="list" allowBlank="1" showInputMessage="1" showErrorMessage="1" xr:uid="{CDEA3823-978E-42D4-A557-63ADAFFC7116}">
          <x14:formula1>
            <xm:f>Legend!$D$2:$D$5</xm:f>
          </x14:formula1>
          <xm:sqref>AC9:AC54</xm:sqref>
        </x14:dataValidation>
        <x14:dataValidation type="list" allowBlank="1" showInputMessage="1" showErrorMessage="1" xr:uid="{593783C6-C522-4C02-AABD-5AD85FDBFDD1}">
          <x14:formula1>
            <xm:f>Legend!$E$2:$E$4</xm:f>
          </x14:formula1>
          <xm:sqref>AF9:AF54</xm:sqref>
        </x14:dataValidation>
        <x14:dataValidation type="list" allowBlank="1" showInputMessage="1" showErrorMessage="1" xr:uid="{6AF6DA90-55B8-4A55-907F-1C7990A23671}">
          <x14:formula1>
            <xm:f>Legend!$C$2:$C$4</xm:f>
          </x14:formula1>
          <xm:sqref>I9:I54 AE9:AE54 AM9:AM54</xm:sqref>
        </x14:dataValidation>
        <x14:dataValidation type="list" allowBlank="1" showInputMessage="1" showErrorMessage="1" xr:uid="{C5E3AC39-120C-4549-ADEB-05BA599EB9BB}">
          <x14:formula1>
            <xm:f>Legend!$H$2:$H$11</xm:f>
          </x14:formula1>
          <xm:sqref>AD9:AD56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E5ED6-94F6-4AC4-BE24-191080B5B315}">
  <sheetPr>
    <tabColor rgb="FF00B0F0"/>
    <pageSetUpPr fitToPage="1"/>
  </sheetPr>
  <dimension ref="A1:AE57"/>
  <sheetViews>
    <sheetView zoomScale="80" zoomScaleNormal="80" workbookViewId="0">
      <pane xSplit="2" ySplit="8" topLeftCell="M9" activePane="bottomRight" state="frozen"/>
      <selection activeCell="I4" sqref="I4"/>
      <selection pane="topRight" activeCell="I4" sqref="I4"/>
      <selection pane="bottomLeft" activeCell="I4" sqref="I4"/>
      <selection pane="bottomRight" activeCell="P4" sqref="P4"/>
    </sheetView>
  </sheetViews>
  <sheetFormatPr defaultColWidth="9.109375" defaultRowHeight="14.4" x14ac:dyDescent="0.3"/>
  <cols>
    <col min="1" max="1" width="2.5546875" customWidth="1"/>
    <col min="2" max="2" width="9.109375" style="9"/>
    <col min="3" max="3" width="16.5546875" style="109" customWidth="1"/>
    <col min="4" max="4" width="22" style="8" bestFit="1" customWidth="1"/>
    <col min="5" max="5" width="22.44140625" style="27" bestFit="1" customWidth="1"/>
    <col min="6" max="6" width="26" style="27" bestFit="1" customWidth="1"/>
    <col min="7" max="10" width="20.109375" style="47" customWidth="1"/>
    <col min="11" max="11" width="18.109375" style="47" customWidth="1"/>
    <col min="12" max="12" width="18.5546875" style="47" customWidth="1"/>
    <col min="13" max="14" width="31" style="68" customWidth="1"/>
    <col min="15" max="15" width="17.44140625" style="119" customWidth="1"/>
    <col min="16" max="16" width="17.33203125" style="8" customWidth="1"/>
    <col min="17" max="17" width="12.6640625" style="8" customWidth="1"/>
    <col min="18" max="18" width="19.5546875" style="8" customWidth="1"/>
    <col min="19" max="19" width="19.109375" style="8" customWidth="1"/>
    <col min="20" max="20" width="13.88671875" style="32" customWidth="1"/>
    <col min="21" max="21" width="30.6640625" style="32" customWidth="1"/>
    <col min="22" max="22" width="28.33203125" style="8" customWidth="1"/>
    <col min="23" max="23" width="18.109375" style="8" customWidth="1"/>
    <col min="24" max="24" width="9.33203125" style="8" customWidth="1"/>
    <col min="25" max="25" width="8.33203125" style="8" customWidth="1"/>
    <col min="26" max="26" width="19.33203125" style="32" customWidth="1"/>
    <col min="27" max="27" width="15.5546875" customWidth="1"/>
    <col min="28" max="28" width="55" style="32" customWidth="1"/>
    <col min="30" max="30" width="12.6640625" style="8" bestFit="1" customWidth="1"/>
    <col min="31" max="31" width="24.6640625" style="8" customWidth="1"/>
  </cols>
  <sheetData>
    <row r="1" spans="1:31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  <c r="Y1" s="428"/>
      <c r="Z1" s="428"/>
      <c r="AA1" s="428"/>
      <c r="AB1" s="428"/>
      <c r="AC1" s="116"/>
      <c r="AD1" s="116"/>
      <c r="AE1" s="116"/>
    </row>
    <row r="2" spans="1:31" ht="15.6" x14ac:dyDescent="0.3">
      <c r="B2" s="116"/>
      <c r="C2" s="116"/>
      <c r="D2" s="116"/>
      <c r="E2" s="25"/>
      <c r="F2" s="25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31"/>
      <c r="W2" s="31"/>
      <c r="X2" s="31"/>
      <c r="Y2" s="116"/>
      <c r="Z2" s="116"/>
      <c r="AA2" s="31"/>
      <c r="AB2" s="31"/>
      <c r="AC2" s="116"/>
      <c r="AD2" s="116"/>
      <c r="AE2" s="116"/>
    </row>
    <row r="3" spans="1:31" ht="15.6" x14ac:dyDescent="0.3">
      <c r="C3" s="9"/>
      <c r="D3" s="116"/>
      <c r="E3" s="25"/>
      <c r="F3" s="25"/>
      <c r="G3"/>
      <c r="H3"/>
      <c r="I3"/>
      <c r="J3"/>
      <c r="K3"/>
      <c r="L3"/>
      <c r="M3"/>
      <c r="N3"/>
      <c r="O3" s="8"/>
      <c r="P3"/>
      <c r="Q3"/>
      <c r="T3" s="8"/>
      <c r="U3"/>
      <c r="V3" s="32"/>
      <c r="W3" s="32"/>
      <c r="X3" s="32"/>
      <c r="Z3" s="8"/>
      <c r="AA3" s="32"/>
    </row>
    <row r="4" spans="1:31" ht="18" x14ac:dyDescent="0.35">
      <c r="C4" s="9"/>
      <c r="D4" s="116"/>
      <c r="E4" s="25"/>
      <c r="F4" s="25"/>
      <c r="G4"/>
      <c r="H4"/>
      <c r="I4"/>
      <c r="J4"/>
      <c r="K4"/>
      <c r="L4"/>
      <c r="M4"/>
      <c r="N4"/>
      <c r="O4" s="8"/>
      <c r="P4"/>
      <c r="Q4"/>
      <c r="R4" s="5"/>
      <c r="S4" s="5"/>
      <c r="T4" s="8"/>
      <c r="U4" s="4"/>
      <c r="V4" s="4"/>
      <c r="W4" s="4"/>
      <c r="X4" s="4"/>
      <c r="Y4" s="115"/>
      <c r="Z4" s="115"/>
      <c r="AA4" s="4"/>
      <c r="AB4" s="4"/>
      <c r="AC4" s="4"/>
      <c r="AD4" s="115"/>
      <c r="AE4" s="115"/>
    </row>
    <row r="5" spans="1:31" ht="18" x14ac:dyDescent="0.35">
      <c r="C5" s="9"/>
      <c r="D5" s="15"/>
      <c r="E5" s="4"/>
      <c r="F5" s="4"/>
      <c r="G5"/>
      <c r="H5"/>
      <c r="I5"/>
      <c r="J5"/>
      <c r="K5"/>
      <c r="L5"/>
      <c r="M5"/>
      <c r="N5"/>
      <c r="O5" s="8"/>
      <c r="P5"/>
      <c r="Q5"/>
      <c r="R5" s="5"/>
      <c r="S5" s="5"/>
      <c r="T5" s="8"/>
      <c r="U5" s="4"/>
      <c r="V5" s="4"/>
      <c r="W5" s="4"/>
      <c r="X5" s="4"/>
      <c r="Y5" s="115"/>
      <c r="Z5" s="115"/>
      <c r="AA5" s="4"/>
      <c r="AB5" s="4"/>
      <c r="AC5" s="4"/>
      <c r="AD5" s="115"/>
      <c r="AE5" s="115"/>
    </row>
    <row r="6" spans="1:31" ht="18" x14ac:dyDescent="0.35">
      <c r="C6" s="9"/>
      <c r="D6" s="15"/>
      <c r="E6" s="4"/>
      <c r="F6" s="4"/>
      <c r="G6"/>
      <c r="H6"/>
      <c r="I6"/>
      <c r="J6"/>
      <c r="K6"/>
      <c r="L6"/>
      <c r="M6"/>
      <c r="N6"/>
      <c r="O6" s="8"/>
      <c r="P6"/>
      <c r="Q6"/>
      <c r="R6" s="5"/>
      <c r="S6" s="5"/>
      <c r="T6" s="8"/>
      <c r="U6" s="4"/>
      <c r="V6" s="4"/>
      <c r="W6" s="4"/>
      <c r="X6" s="4"/>
      <c r="Y6" s="115"/>
      <c r="Z6" s="115"/>
      <c r="AA6" s="4"/>
      <c r="AB6" s="4"/>
      <c r="AC6" s="4"/>
      <c r="AD6" s="115"/>
      <c r="AE6" s="115"/>
    </row>
    <row r="7" spans="1:31" x14ac:dyDescent="0.3">
      <c r="C7" s="103"/>
      <c r="D7" s="103"/>
      <c r="F7" s="27" t="s">
        <v>135</v>
      </c>
      <c r="K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D7" s="123"/>
      <c r="AE7" s="123"/>
    </row>
    <row r="8" spans="1:31" s="7" customFormat="1" ht="18" customHeight="1" x14ac:dyDescent="0.3">
      <c r="A8" s="7" t="s">
        <v>136</v>
      </c>
      <c r="B8" s="306" t="s">
        <v>85</v>
      </c>
      <c r="C8" s="298" t="s">
        <v>137</v>
      </c>
      <c r="D8" s="305" t="s">
        <v>124</v>
      </c>
      <c r="E8" s="308" t="s">
        <v>138</v>
      </c>
      <c r="F8" s="300" t="s">
        <v>139</v>
      </c>
      <c r="G8" s="309" t="s">
        <v>140</v>
      </c>
      <c r="H8" s="309" t="s">
        <v>141</v>
      </c>
      <c r="I8" s="309" t="s">
        <v>142</v>
      </c>
      <c r="J8" s="309" t="s">
        <v>45</v>
      </c>
      <c r="K8" s="310" t="s">
        <v>133</v>
      </c>
      <c r="L8" s="309" t="s">
        <v>143</v>
      </c>
      <c r="M8" s="311" t="s">
        <v>89</v>
      </c>
      <c r="N8" s="311" t="s">
        <v>90</v>
      </c>
      <c r="O8" s="307" t="s">
        <v>91</v>
      </c>
      <c r="P8" s="342" t="s">
        <v>144</v>
      </c>
      <c r="Q8" s="342" t="s">
        <v>145</v>
      </c>
      <c r="R8" s="342" t="s">
        <v>146</v>
      </c>
      <c r="S8" s="342" t="s">
        <v>111</v>
      </c>
      <c r="T8" s="342" t="s">
        <v>147</v>
      </c>
      <c r="U8" s="342" t="s">
        <v>148</v>
      </c>
      <c r="V8" s="342" t="s">
        <v>149</v>
      </c>
      <c r="W8" s="342" t="s">
        <v>150</v>
      </c>
      <c r="X8" s="342" t="s">
        <v>116</v>
      </c>
      <c r="Y8" s="342" t="s">
        <v>117</v>
      </c>
      <c r="Z8" s="342" t="s">
        <v>151</v>
      </c>
      <c r="AA8" s="342" t="s">
        <v>113</v>
      </c>
      <c r="AB8" s="344" t="s">
        <v>118</v>
      </c>
      <c r="AD8" s="344" t="s">
        <v>119</v>
      </c>
      <c r="AE8" s="344" t="s">
        <v>120</v>
      </c>
    </row>
    <row r="9" spans="1:31" x14ac:dyDescent="0.3">
      <c r="B9" s="11">
        <v>1</v>
      </c>
      <c r="C9" s="106"/>
      <c r="D9" s="84"/>
      <c r="E9" s="120"/>
      <c r="F9" s="120"/>
      <c r="G9" s="46">
        <v>0</v>
      </c>
      <c r="H9" s="46">
        <v>0</v>
      </c>
      <c r="I9" s="46">
        <v>0</v>
      </c>
      <c r="J9" s="46">
        <v>0</v>
      </c>
      <c r="K9" s="54">
        <v>0</v>
      </c>
      <c r="L9" s="46">
        <f>SUM(G9:J9)-K9</f>
        <v>0</v>
      </c>
      <c r="M9" s="36"/>
      <c r="N9" s="36"/>
      <c r="O9" s="29"/>
      <c r="P9" s="1"/>
      <c r="Q9" s="1"/>
      <c r="R9" s="136"/>
      <c r="S9" s="1"/>
      <c r="T9" s="1"/>
      <c r="U9" s="36"/>
      <c r="V9" s="36"/>
      <c r="W9" s="29"/>
      <c r="X9" s="29"/>
      <c r="Y9" s="73"/>
      <c r="Z9" s="40"/>
      <c r="AA9" s="16"/>
      <c r="AB9" s="36"/>
      <c r="AD9" s="153"/>
      <c r="AE9" s="29"/>
    </row>
    <row r="10" spans="1:31" ht="15" customHeight="1" x14ac:dyDescent="0.3">
      <c r="B10" s="11">
        <v>2</v>
      </c>
      <c r="C10" s="106"/>
      <c r="D10" s="84"/>
      <c r="E10" s="120"/>
      <c r="F10" s="120"/>
      <c r="G10" s="46">
        <v>0</v>
      </c>
      <c r="H10" s="46">
        <v>0</v>
      </c>
      <c r="I10" s="46">
        <v>0</v>
      </c>
      <c r="J10" s="46">
        <v>0</v>
      </c>
      <c r="K10" s="54">
        <v>0</v>
      </c>
      <c r="L10" s="46">
        <f t="shared" ref="L10:L39" si="0">SUM(G10:J10)-K10</f>
        <v>0</v>
      </c>
      <c r="M10" s="36"/>
      <c r="N10" s="36"/>
      <c r="O10" s="29"/>
      <c r="P10" s="1"/>
      <c r="Q10" s="1"/>
      <c r="R10" s="136"/>
      <c r="S10" s="1"/>
      <c r="T10" s="1"/>
      <c r="U10" s="36"/>
      <c r="V10" s="36"/>
      <c r="W10" s="29"/>
      <c r="X10" s="29"/>
      <c r="Y10" s="29"/>
      <c r="Z10" s="40"/>
      <c r="AA10" s="16"/>
      <c r="AB10" s="36"/>
      <c r="AD10" s="153"/>
      <c r="AE10" s="29"/>
    </row>
    <row r="11" spans="1:31" ht="15" customHeight="1" x14ac:dyDescent="0.3">
      <c r="B11" s="11">
        <v>3</v>
      </c>
      <c r="C11" s="106"/>
      <c r="D11" s="85"/>
      <c r="E11" s="120"/>
      <c r="F11" s="120"/>
      <c r="G11" s="46">
        <v>0</v>
      </c>
      <c r="H11" s="46">
        <v>0</v>
      </c>
      <c r="I11" s="46">
        <v>0</v>
      </c>
      <c r="J11" s="46">
        <v>0</v>
      </c>
      <c r="K11" s="54">
        <v>0</v>
      </c>
      <c r="L11" s="46">
        <f t="shared" si="0"/>
        <v>0</v>
      </c>
      <c r="M11" s="36"/>
      <c r="N11" s="36"/>
      <c r="O11" s="29"/>
      <c r="P11" s="1"/>
      <c r="Q11" s="1"/>
      <c r="R11" s="136"/>
      <c r="S11" s="1"/>
      <c r="T11" s="1"/>
      <c r="U11" s="36"/>
      <c r="V11" s="36"/>
      <c r="W11" s="29"/>
      <c r="X11" s="29"/>
      <c r="Y11" s="29"/>
      <c r="Z11" s="40"/>
      <c r="AA11" s="16"/>
      <c r="AB11" s="36"/>
      <c r="AD11" s="153"/>
      <c r="AE11" s="29"/>
    </row>
    <row r="12" spans="1:31" x14ac:dyDescent="0.3">
      <c r="B12" s="11">
        <v>4</v>
      </c>
      <c r="C12" s="106"/>
      <c r="D12" s="86"/>
      <c r="E12" s="120"/>
      <c r="F12" s="120"/>
      <c r="G12" s="46">
        <v>0</v>
      </c>
      <c r="H12" s="46">
        <v>0</v>
      </c>
      <c r="I12" s="46">
        <v>0</v>
      </c>
      <c r="J12" s="46">
        <v>0</v>
      </c>
      <c r="K12" s="54">
        <v>0</v>
      </c>
      <c r="L12" s="46">
        <f t="shared" si="0"/>
        <v>0</v>
      </c>
      <c r="M12" s="36"/>
      <c r="N12" s="36"/>
      <c r="O12" s="29"/>
      <c r="P12" s="1"/>
      <c r="Q12" s="1"/>
      <c r="R12" s="136"/>
      <c r="S12" s="1"/>
      <c r="T12" s="1"/>
      <c r="U12" s="36"/>
      <c r="V12" s="36"/>
      <c r="W12" s="29"/>
      <c r="X12" s="29"/>
      <c r="Y12" s="29"/>
      <c r="Z12" s="40"/>
      <c r="AA12" s="16"/>
      <c r="AB12" s="36"/>
      <c r="AD12" s="153"/>
      <c r="AE12" s="29"/>
    </row>
    <row r="13" spans="1:31" ht="15" customHeight="1" x14ac:dyDescent="0.3">
      <c r="B13" s="11">
        <v>5</v>
      </c>
      <c r="C13" s="106"/>
      <c r="D13" s="86"/>
      <c r="E13" s="120"/>
      <c r="F13" s="120"/>
      <c r="G13" s="46">
        <v>0</v>
      </c>
      <c r="H13" s="46">
        <v>0</v>
      </c>
      <c r="I13" s="46">
        <v>0</v>
      </c>
      <c r="J13" s="46">
        <v>0</v>
      </c>
      <c r="K13" s="54">
        <v>0</v>
      </c>
      <c r="L13" s="46">
        <f t="shared" si="0"/>
        <v>0</v>
      </c>
      <c r="M13" s="36"/>
      <c r="N13" s="36"/>
      <c r="O13" s="110"/>
      <c r="P13" s="1"/>
      <c r="Q13" s="1"/>
      <c r="R13" s="136"/>
      <c r="S13" s="1"/>
      <c r="T13" s="1"/>
      <c r="U13" s="36"/>
      <c r="V13" s="36"/>
      <c r="W13" s="29"/>
      <c r="X13" s="29"/>
      <c r="Y13" s="29"/>
      <c r="Z13" s="40"/>
      <c r="AA13" s="16"/>
      <c r="AB13" s="36"/>
      <c r="AD13" s="153"/>
      <c r="AE13" s="29"/>
    </row>
    <row r="14" spans="1:31" x14ac:dyDescent="0.3">
      <c r="B14" s="11">
        <v>6</v>
      </c>
      <c r="C14" s="106"/>
      <c r="D14" s="84"/>
      <c r="E14" s="120"/>
      <c r="F14" s="120"/>
      <c r="G14" s="46">
        <v>0</v>
      </c>
      <c r="H14" s="46">
        <v>0</v>
      </c>
      <c r="I14" s="46">
        <v>0</v>
      </c>
      <c r="J14" s="46">
        <v>0</v>
      </c>
      <c r="K14" s="54">
        <v>0</v>
      </c>
      <c r="L14" s="46">
        <f t="shared" si="0"/>
        <v>0</v>
      </c>
      <c r="M14" s="36"/>
      <c r="N14" s="36"/>
      <c r="O14" s="29"/>
      <c r="P14" s="1"/>
      <c r="Q14" s="1"/>
      <c r="R14" s="136"/>
      <c r="S14" s="1"/>
      <c r="T14" s="1"/>
      <c r="V14" s="36"/>
      <c r="W14" s="29"/>
      <c r="X14" s="29"/>
      <c r="Y14" s="29"/>
      <c r="Z14" s="40"/>
      <c r="AA14" s="16"/>
      <c r="AB14" s="36"/>
      <c r="AD14" s="153"/>
      <c r="AE14" s="29"/>
    </row>
    <row r="15" spans="1:31" x14ac:dyDescent="0.3">
      <c r="B15" s="11">
        <v>7</v>
      </c>
      <c r="C15" s="106"/>
      <c r="D15" s="84"/>
      <c r="E15" s="120"/>
      <c r="F15" s="120"/>
      <c r="G15" s="46">
        <v>0</v>
      </c>
      <c r="H15" s="46">
        <v>0</v>
      </c>
      <c r="I15" s="46">
        <v>0</v>
      </c>
      <c r="J15" s="46">
        <v>0</v>
      </c>
      <c r="K15" s="54">
        <v>0</v>
      </c>
      <c r="L15" s="46">
        <f t="shared" si="0"/>
        <v>0</v>
      </c>
      <c r="M15" s="36"/>
      <c r="N15" s="36"/>
      <c r="O15" s="29"/>
      <c r="P15" s="1"/>
      <c r="Q15" s="1"/>
      <c r="R15" s="136"/>
      <c r="S15" s="1"/>
      <c r="T15" s="1"/>
      <c r="U15" s="36"/>
      <c r="V15" s="36"/>
      <c r="W15" s="29"/>
      <c r="X15" s="29"/>
      <c r="Y15" s="29"/>
      <c r="Z15" s="40"/>
      <c r="AA15" s="16"/>
      <c r="AB15" s="36"/>
      <c r="AD15" s="153"/>
      <c r="AE15" s="29"/>
    </row>
    <row r="16" spans="1:31" ht="15" customHeight="1" x14ac:dyDescent="0.3">
      <c r="B16" s="11">
        <v>8</v>
      </c>
      <c r="C16" s="106"/>
      <c r="D16" s="85"/>
      <c r="E16" s="120"/>
      <c r="F16" s="120"/>
      <c r="G16" s="46">
        <v>0</v>
      </c>
      <c r="H16" s="46">
        <v>0</v>
      </c>
      <c r="I16" s="46">
        <v>0</v>
      </c>
      <c r="J16" s="46">
        <v>0</v>
      </c>
      <c r="K16" s="54">
        <v>0</v>
      </c>
      <c r="L16" s="46">
        <f t="shared" si="0"/>
        <v>0</v>
      </c>
      <c r="M16" s="36"/>
      <c r="N16" s="36"/>
      <c r="O16" s="29"/>
      <c r="P16" s="1"/>
      <c r="Q16" s="1"/>
      <c r="R16" s="136"/>
      <c r="S16" s="1"/>
      <c r="T16" s="1"/>
      <c r="U16" s="36"/>
      <c r="V16" s="36"/>
      <c r="W16" s="29"/>
      <c r="X16" s="29"/>
      <c r="Y16" s="73"/>
      <c r="Z16" s="40"/>
      <c r="AA16" s="16"/>
      <c r="AB16" s="36"/>
      <c r="AD16" s="153"/>
      <c r="AE16" s="29"/>
    </row>
    <row r="17" spans="2:31" x14ac:dyDescent="0.3">
      <c r="B17" s="11">
        <v>9</v>
      </c>
      <c r="C17" s="106"/>
      <c r="D17" s="85"/>
      <c r="E17" s="120"/>
      <c r="F17" s="120"/>
      <c r="G17" s="46">
        <v>0</v>
      </c>
      <c r="H17" s="46">
        <v>0</v>
      </c>
      <c r="I17" s="46">
        <v>0</v>
      </c>
      <c r="J17" s="46">
        <v>0</v>
      </c>
      <c r="K17" s="54">
        <v>0</v>
      </c>
      <c r="L17" s="46">
        <f t="shared" si="0"/>
        <v>0</v>
      </c>
      <c r="M17" s="36"/>
      <c r="N17" s="36"/>
      <c r="O17" s="29"/>
      <c r="P17" s="1"/>
      <c r="Q17" s="1"/>
      <c r="R17" s="136"/>
      <c r="S17" s="1"/>
      <c r="T17" s="1"/>
      <c r="U17" s="36"/>
      <c r="V17" s="36"/>
      <c r="W17" s="29"/>
      <c r="X17" s="29"/>
      <c r="Y17" s="73"/>
      <c r="Z17" s="40"/>
      <c r="AA17" s="16"/>
      <c r="AB17" s="36"/>
      <c r="AD17" s="153"/>
      <c r="AE17" s="29"/>
    </row>
    <row r="18" spans="2:31" x14ac:dyDescent="0.3">
      <c r="B18" s="11">
        <v>10</v>
      </c>
      <c r="C18" s="106"/>
      <c r="D18" s="85"/>
      <c r="E18" s="120"/>
      <c r="F18" s="120"/>
      <c r="G18" s="46">
        <v>0</v>
      </c>
      <c r="H18" s="46">
        <v>0</v>
      </c>
      <c r="I18" s="46">
        <v>0</v>
      </c>
      <c r="J18" s="46">
        <v>0</v>
      </c>
      <c r="K18" s="54">
        <v>0</v>
      </c>
      <c r="L18" s="46">
        <f t="shared" si="0"/>
        <v>0</v>
      </c>
      <c r="M18" s="36"/>
      <c r="N18" s="36"/>
      <c r="O18" s="29"/>
      <c r="P18" s="1"/>
      <c r="Q18" s="1"/>
      <c r="R18" s="136"/>
      <c r="S18" s="1"/>
      <c r="T18" s="1"/>
      <c r="U18" s="36"/>
      <c r="V18" s="36"/>
      <c r="W18" s="29"/>
      <c r="X18" s="29"/>
      <c r="Y18" s="73"/>
      <c r="Z18" s="40"/>
      <c r="AA18" s="16"/>
      <c r="AB18" s="36"/>
      <c r="AD18" s="153"/>
      <c r="AE18" s="29"/>
    </row>
    <row r="19" spans="2:31" ht="15" customHeight="1" x14ac:dyDescent="0.3">
      <c r="B19" s="11">
        <v>11</v>
      </c>
      <c r="C19" s="106"/>
      <c r="D19" s="85"/>
      <c r="E19" s="120"/>
      <c r="F19" s="120"/>
      <c r="G19" s="46">
        <v>0</v>
      </c>
      <c r="H19" s="46">
        <v>0</v>
      </c>
      <c r="I19" s="46">
        <v>0</v>
      </c>
      <c r="J19" s="46">
        <v>0</v>
      </c>
      <c r="K19" s="54">
        <v>0</v>
      </c>
      <c r="L19" s="46">
        <f t="shared" si="0"/>
        <v>0</v>
      </c>
      <c r="M19" s="36"/>
      <c r="N19" s="36"/>
      <c r="O19" s="29"/>
      <c r="P19" s="1"/>
      <c r="Q19" s="1"/>
      <c r="R19" s="136"/>
      <c r="S19" s="1"/>
      <c r="T19" s="1"/>
      <c r="U19" s="36"/>
      <c r="V19" s="36"/>
      <c r="W19" s="29"/>
      <c r="X19" s="29"/>
      <c r="Y19" s="29"/>
      <c r="Z19" s="40"/>
      <c r="AA19" s="16"/>
      <c r="AB19" s="36"/>
      <c r="AD19" s="153"/>
      <c r="AE19" s="29"/>
    </row>
    <row r="20" spans="2:31" ht="15" customHeight="1" x14ac:dyDescent="0.3">
      <c r="B20" s="11">
        <v>12</v>
      </c>
      <c r="C20" s="106"/>
      <c r="D20" s="72"/>
      <c r="E20" s="120"/>
      <c r="F20" s="120"/>
      <c r="G20" s="46">
        <v>0</v>
      </c>
      <c r="H20" s="46">
        <v>0</v>
      </c>
      <c r="I20" s="46">
        <v>0</v>
      </c>
      <c r="J20" s="46">
        <v>0</v>
      </c>
      <c r="K20" s="54">
        <v>0</v>
      </c>
      <c r="L20" s="46">
        <f t="shared" si="0"/>
        <v>0</v>
      </c>
      <c r="M20" s="36"/>
      <c r="N20" s="36"/>
      <c r="O20" s="29"/>
      <c r="P20" s="1"/>
      <c r="Q20" s="1"/>
      <c r="R20" s="136"/>
      <c r="S20" s="1"/>
      <c r="T20" s="1"/>
      <c r="U20" s="36"/>
      <c r="V20" s="36"/>
      <c r="W20" s="29"/>
      <c r="X20" s="29"/>
      <c r="Y20" s="73"/>
      <c r="Z20" s="40"/>
      <c r="AA20" s="16"/>
      <c r="AB20" s="36"/>
      <c r="AD20" s="153"/>
      <c r="AE20" s="29"/>
    </row>
    <row r="21" spans="2:31" ht="15" customHeight="1" x14ac:dyDescent="0.3">
      <c r="B21" s="11">
        <v>13</v>
      </c>
      <c r="C21" s="106"/>
      <c r="D21" s="85"/>
      <c r="E21" s="120"/>
      <c r="F21" s="120"/>
      <c r="G21" s="46">
        <v>0</v>
      </c>
      <c r="H21" s="46">
        <v>0</v>
      </c>
      <c r="I21" s="46">
        <v>0</v>
      </c>
      <c r="J21" s="46">
        <v>0</v>
      </c>
      <c r="K21" s="54">
        <v>0</v>
      </c>
      <c r="L21" s="46">
        <f t="shared" si="0"/>
        <v>0</v>
      </c>
      <c r="M21" s="36"/>
      <c r="N21" s="36"/>
      <c r="O21" s="29"/>
      <c r="P21" s="1"/>
      <c r="Q21" s="1"/>
      <c r="R21" s="136"/>
      <c r="S21" s="1"/>
      <c r="T21" s="1"/>
      <c r="U21" s="36"/>
      <c r="V21" s="36"/>
      <c r="W21" s="29"/>
      <c r="X21" s="29"/>
      <c r="Y21" s="73"/>
      <c r="Z21" s="40"/>
      <c r="AA21" s="16"/>
      <c r="AB21" s="36"/>
      <c r="AD21" s="153"/>
      <c r="AE21" s="29"/>
    </row>
    <row r="22" spans="2:31" ht="15" customHeight="1" x14ac:dyDescent="0.3">
      <c r="B22" s="11">
        <v>14</v>
      </c>
      <c r="C22" s="106"/>
      <c r="D22" s="85"/>
      <c r="E22" s="120"/>
      <c r="F22" s="120"/>
      <c r="G22" s="46">
        <v>0</v>
      </c>
      <c r="H22" s="46">
        <v>0</v>
      </c>
      <c r="I22" s="46">
        <v>0</v>
      </c>
      <c r="J22" s="46">
        <v>0</v>
      </c>
      <c r="K22" s="54">
        <v>0</v>
      </c>
      <c r="L22" s="46">
        <f t="shared" si="0"/>
        <v>0</v>
      </c>
      <c r="M22" s="36"/>
      <c r="N22" s="36"/>
      <c r="O22" s="29"/>
      <c r="P22" s="1"/>
      <c r="Q22" s="1"/>
      <c r="R22" s="136"/>
      <c r="S22" s="1"/>
      <c r="T22" s="1"/>
      <c r="U22" s="36"/>
      <c r="V22" s="36"/>
      <c r="W22" s="29"/>
      <c r="X22" s="29"/>
      <c r="Y22" s="73"/>
      <c r="Z22" s="40"/>
      <c r="AA22" s="16"/>
      <c r="AB22" s="36"/>
      <c r="AD22" s="153"/>
      <c r="AE22" s="29"/>
    </row>
    <row r="23" spans="2:31" ht="15" customHeight="1" x14ac:dyDescent="0.3">
      <c r="B23" s="11">
        <v>15</v>
      </c>
      <c r="C23" s="106"/>
      <c r="D23" s="85"/>
      <c r="E23" s="120"/>
      <c r="F23" s="120"/>
      <c r="G23" s="46">
        <v>0</v>
      </c>
      <c r="H23" s="46">
        <v>0</v>
      </c>
      <c r="I23" s="46">
        <v>0</v>
      </c>
      <c r="J23" s="46">
        <v>0</v>
      </c>
      <c r="K23" s="54">
        <v>0</v>
      </c>
      <c r="L23" s="46">
        <f t="shared" si="0"/>
        <v>0</v>
      </c>
      <c r="M23" s="36"/>
      <c r="N23" s="36"/>
      <c r="O23" s="29"/>
      <c r="P23" s="1"/>
      <c r="Q23" s="1"/>
      <c r="R23" s="136"/>
      <c r="S23" s="1"/>
      <c r="T23" s="1"/>
      <c r="U23" s="36"/>
      <c r="V23" s="36"/>
      <c r="W23" s="29"/>
      <c r="X23" s="29"/>
      <c r="Y23" s="73"/>
      <c r="Z23" s="40"/>
      <c r="AA23" s="16"/>
      <c r="AB23" s="36"/>
      <c r="AD23" s="153"/>
      <c r="AE23" s="29"/>
    </row>
    <row r="24" spans="2:31" ht="15" customHeight="1" x14ac:dyDescent="0.3">
      <c r="B24" s="11">
        <v>16</v>
      </c>
      <c r="C24" s="106"/>
      <c r="D24" s="85"/>
      <c r="E24" s="120"/>
      <c r="F24" s="120"/>
      <c r="G24" s="46">
        <v>0</v>
      </c>
      <c r="H24" s="46">
        <v>0</v>
      </c>
      <c r="I24" s="46">
        <v>0</v>
      </c>
      <c r="J24" s="46">
        <v>0</v>
      </c>
      <c r="K24" s="54">
        <v>0</v>
      </c>
      <c r="L24" s="46">
        <f t="shared" si="0"/>
        <v>0</v>
      </c>
      <c r="M24" s="36"/>
      <c r="N24" s="36"/>
      <c r="O24" s="29"/>
      <c r="P24" s="1"/>
      <c r="Q24" s="1"/>
      <c r="R24" s="136"/>
      <c r="S24" s="1"/>
      <c r="T24" s="1"/>
      <c r="U24" s="36"/>
      <c r="V24" s="36"/>
      <c r="W24" s="29"/>
      <c r="X24" s="29"/>
      <c r="Y24" s="73"/>
      <c r="Z24" s="40"/>
      <c r="AA24" s="16"/>
      <c r="AB24" s="36"/>
      <c r="AD24" s="153"/>
      <c r="AE24" s="29"/>
    </row>
    <row r="25" spans="2:31" ht="15" customHeight="1" x14ac:dyDescent="0.3">
      <c r="B25" s="11">
        <v>17</v>
      </c>
      <c r="C25" s="106"/>
      <c r="D25" s="85"/>
      <c r="E25" s="120"/>
      <c r="F25" s="120"/>
      <c r="G25" s="46">
        <v>0</v>
      </c>
      <c r="H25" s="46">
        <v>0</v>
      </c>
      <c r="I25" s="46">
        <v>0</v>
      </c>
      <c r="J25" s="46">
        <v>0</v>
      </c>
      <c r="K25" s="54">
        <v>0</v>
      </c>
      <c r="L25" s="46">
        <f t="shared" si="0"/>
        <v>0</v>
      </c>
      <c r="M25" s="36"/>
      <c r="N25" s="36"/>
      <c r="O25" s="29"/>
      <c r="P25" s="1"/>
      <c r="Q25" s="1"/>
      <c r="R25" s="136"/>
      <c r="S25" s="1"/>
      <c r="T25" s="1"/>
      <c r="U25" s="36"/>
      <c r="V25" s="36"/>
      <c r="W25" s="29"/>
      <c r="X25" s="29"/>
      <c r="Y25" s="73"/>
      <c r="Z25" s="40"/>
      <c r="AA25" s="16"/>
      <c r="AB25" s="36"/>
      <c r="AD25" s="153"/>
      <c r="AE25" s="29"/>
    </row>
    <row r="26" spans="2:31" ht="15" customHeight="1" x14ac:dyDescent="0.3">
      <c r="B26" s="11">
        <v>18</v>
      </c>
      <c r="C26" s="106"/>
      <c r="D26" s="85"/>
      <c r="E26" s="120"/>
      <c r="F26" s="120"/>
      <c r="G26" s="46">
        <v>0</v>
      </c>
      <c r="H26" s="46">
        <v>0</v>
      </c>
      <c r="I26" s="46">
        <v>0</v>
      </c>
      <c r="J26" s="46">
        <v>0</v>
      </c>
      <c r="K26" s="54">
        <v>0</v>
      </c>
      <c r="L26" s="46">
        <f t="shared" si="0"/>
        <v>0</v>
      </c>
      <c r="M26" s="36"/>
      <c r="N26" s="36"/>
      <c r="O26" s="29"/>
      <c r="P26" s="1"/>
      <c r="Q26" s="1"/>
      <c r="R26" s="136"/>
      <c r="S26" s="1"/>
      <c r="T26" s="1"/>
      <c r="U26" s="36"/>
      <c r="V26" s="36"/>
      <c r="W26" s="29"/>
      <c r="X26" s="29"/>
      <c r="Y26" s="73"/>
      <c r="Z26" s="40"/>
      <c r="AA26" s="16"/>
      <c r="AB26" s="36"/>
      <c r="AD26" s="153"/>
      <c r="AE26" s="29"/>
    </row>
    <row r="27" spans="2:31" ht="15" customHeight="1" x14ac:dyDescent="0.3">
      <c r="B27" s="11">
        <v>19</v>
      </c>
      <c r="C27" s="106"/>
      <c r="D27" s="85"/>
      <c r="E27" s="120"/>
      <c r="F27" s="120"/>
      <c r="G27" s="46">
        <v>0</v>
      </c>
      <c r="H27" s="46">
        <v>0</v>
      </c>
      <c r="I27" s="46">
        <v>0</v>
      </c>
      <c r="J27" s="46">
        <v>0</v>
      </c>
      <c r="K27" s="54">
        <v>0</v>
      </c>
      <c r="L27" s="46">
        <f t="shared" si="0"/>
        <v>0</v>
      </c>
      <c r="M27" s="36"/>
      <c r="N27" s="36"/>
      <c r="O27" s="29"/>
      <c r="P27" s="1"/>
      <c r="Q27" s="1"/>
      <c r="R27" s="136"/>
      <c r="S27" s="1"/>
      <c r="T27" s="1"/>
      <c r="U27" s="36"/>
      <c r="V27" s="36"/>
      <c r="W27" s="29"/>
      <c r="X27" s="29"/>
      <c r="Y27" s="73"/>
      <c r="Z27" s="40"/>
      <c r="AA27" s="16"/>
      <c r="AB27" s="36"/>
      <c r="AD27" s="153"/>
      <c r="AE27" s="29"/>
    </row>
    <row r="28" spans="2:31" ht="15" customHeight="1" x14ac:dyDescent="0.3">
      <c r="B28" s="11">
        <v>20</v>
      </c>
      <c r="C28" s="106"/>
      <c r="D28" s="85"/>
      <c r="E28" s="120"/>
      <c r="F28" s="120"/>
      <c r="G28" s="46">
        <v>0</v>
      </c>
      <c r="H28" s="46">
        <v>0</v>
      </c>
      <c r="I28" s="46">
        <v>0</v>
      </c>
      <c r="J28" s="46">
        <v>0</v>
      </c>
      <c r="K28" s="54">
        <v>0</v>
      </c>
      <c r="L28" s="46">
        <f t="shared" si="0"/>
        <v>0</v>
      </c>
      <c r="M28" s="36"/>
      <c r="N28" s="36"/>
      <c r="O28" s="29"/>
      <c r="P28" s="1"/>
      <c r="Q28" s="1"/>
      <c r="R28" s="136"/>
      <c r="S28" s="1"/>
      <c r="T28" s="1"/>
      <c r="U28" s="36"/>
      <c r="V28" s="36"/>
      <c r="W28" s="29"/>
      <c r="X28" s="29"/>
      <c r="Y28" s="73"/>
      <c r="Z28" s="40"/>
      <c r="AA28" s="16"/>
      <c r="AB28" s="36"/>
      <c r="AD28" s="153"/>
      <c r="AE28" s="29"/>
    </row>
    <row r="29" spans="2:31" ht="15" customHeight="1" x14ac:dyDescent="0.3">
      <c r="B29" s="11">
        <v>21</v>
      </c>
      <c r="C29" s="106"/>
      <c r="D29" s="85"/>
      <c r="E29" s="120"/>
      <c r="F29" s="120"/>
      <c r="G29" s="46">
        <v>0</v>
      </c>
      <c r="H29" s="46">
        <v>0</v>
      </c>
      <c r="I29" s="46">
        <v>0</v>
      </c>
      <c r="J29" s="46">
        <v>0</v>
      </c>
      <c r="K29" s="54">
        <v>0</v>
      </c>
      <c r="L29" s="46">
        <f t="shared" si="0"/>
        <v>0</v>
      </c>
      <c r="M29" s="36"/>
      <c r="N29" s="36"/>
      <c r="O29" s="29"/>
      <c r="P29" s="1"/>
      <c r="Q29" s="1"/>
      <c r="R29" s="136"/>
      <c r="S29" s="1"/>
      <c r="T29" s="1"/>
      <c r="U29" s="36"/>
      <c r="V29" s="36"/>
      <c r="W29" s="29"/>
      <c r="X29" s="29"/>
      <c r="Y29" s="73"/>
      <c r="Z29" s="40"/>
      <c r="AA29" s="16"/>
      <c r="AB29" s="36"/>
      <c r="AD29" s="153"/>
      <c r="AE29" s="29"/>
    </row>
    <row r="30" spans="2:31" ht="15" customHeight="1" x14ac:dyDescent="0.3">
      <c r="B30" s="11">
        <v>22</v>
      </c>
      <c r="C30" s="106"/>
      <c r="D30" s="85"/>
      <c r="E30" s="120"/>
      <c r="F30" s="120"/>
      <c r="G30" s="46">
        <v>0</v>
      </c>
      <c r="H30" s="46">
        <v>0</v>
      </c>
      <c r="I30" s="46">
        <v>0</v>
      </c>
      <c r="J30" s="46">
        <v>0</v>
      </c>
      <c r="K30" s="54">
        <v>0</v>
      </c>
      <c r="L30" s="46">
        <f t="shared" si="0"/>
        <v>0</v>
      </c>
      <c r="M30" s="36"/>
      <c r="N30" s="36"/>
      <c r="O30" s="29"/>
      <c r="P30" s="1"/>
      <c r="Q30" s="1"/>
      <c r="R30" s="136"/>
      <c r="S30" s="1"/>
      <c r="T30" s="1"/>
      <c r="U30" s="36"/>
      <c r="V30" s="36"/>
      <c r="W30" s="29"/>
      <c r="X30" s="29"/>
      <c r="Y30" s="73"/>
      <c r="Z30" s="40"/>
      <c r="AA30" s="16"/>
      <c r="AB30" s="36"/>
      <c r="AD30" s="153"/>
      <c r="AE30" s="29"/>
    </row>
    <row r="31" spans="2:31" ht="15" customHeight="1" x14ac:dyDescent="0.3">
      <c r="B31" s="11">
        <v>23</v>
      </c>
      <c r="C31" s="106"/>
      <c r="D31" s="85"/>
      <c r="E31" s="120"/>
      <c r="F31" s="120"/>
      <c r="G31" s="46">
        <v>0</v>
      </c>
      <c r="H31" s="46">
        <v>0</v>
      </c>
      <c r="I31" s="46">
        <v>0</v>
      </c>
      <c r="J31" s="46">
        <v>0</v>
      </c>
      <c r="K31" s="54">
        <v>0</v>
      </c>
      <c r="L31" s="46">
        <f t="shared" si="0"/>
        <v>0</v>
      </c>
      <c r="M31" s="36"/>
      <c r="N31" s="36"/>
      <c r="O31" s="29"/>
      <c r="P31" s="1"/>
      <c r="Q31" s="1"/>
      <c r="R31" s="136"/>
      <c r="S31" s="1"/>
      <c r="T31" s="1"/>
      <c r="U31" s="36"/>
      <c r="V31" s="36"/>
      <c r="W31" s="29"/>
      <c r="X31" s="29"/>
      <c r="Y31" s="73"/>
      <c r="Z31" s="40"/>
      <c r="AA31" s="16"/>
      <c r="AB31" s="36"/>
      <c r="AD31" s="153"/>
      <c r="AE31" s="29"/>
    </row>
    <row r="32" spans="2:31" ht="15" customHeight="1" x14ac:dyDescent="0.3">
      <c r="B32" s="11">
        <v>24</v>
      </c>
      <c r="C32" s="106"/>
      <c r="D32" s="85"/>
      <c r="E32" s="120"/>
      <c r="F32" s="120"/>
      <c r="G32" s="46">
        <v>0</v>
      </c>
      <c r="H32" s="46">
        <v>0</v>
      </c>
      <c r="I32" s="46">
        <v>0</v>
      </c>
      <c r="J32" s="46">
        <v>0</v>
      </c>
      <c r="K32" s="54">
        <v>0</v>
      </c>
      <c r="L32" s="46">
        <f t="shared" si="0"/>
        <v>0</v>
      </c>
      <c r="M32" s="36"/>
      <c r="N32" s="36"/>
      <c r="O32" s="29"/>
      <c r="P32" s="1"/>
      <c r="Q32" s="1"/>
      <c r="R32" s="136"/>
      <c r="S32" s="1"/>
      <c r="T32" s="1"/>
      <c r="U32" s="36"/>
      <c r="V32" s="36"/>
      <c r="W32" s="29"/>
      <c r="X32" s="29"/>
      <c r="Y32" s="73"/>
      <c r="Z32" s="40"/>
      <c r="AA32" s="16"/>
      <c r="AB32" s="36"/>
      <c r="AD32" s="153"/>
      <c r="AE32" s="29"/>
    </row>
    <row r="33" spans="2:31" ht="15" customHeight="1" x14ac:dyDescent="0.3">
      <c r="B33" s="11">
        <v>25</v>
      </c>
      <c r="C33" s="106"/>
      <c r="D33" s="85"/>
      <c r="E33" s="120"/>
      <c r="F33" s="120"/>
      <c r="G33" s="46">
        <v>0</v>
      </c>
      <c r="H33" s="46">
        <v>0</v>
      </c>
      <c r="I33" s="46">
        <v>0</v>
      </c>
      <c r="J33" s="46">
        <v>0</v>
      </c>
      <c r="K33" s="54">
        <v>0</v>
      </c>
      <c r="L33" s="46">
        <f t="shared" si="0"/>
        <v>0</v>
      </c>
      <c r="M33" s="36"/>
      <c r="N33" s="36"/>
      <c r="O33" s="29"/>
      <c r="P33" s="1"/>
      <c r="Q33" s="1"/>
      <c r="R33" s="136"/>
      <c r="S33" s="1"/>
      <c r="T33" s="1"/>
      <c r="U33" s="36"/>
      <c r="V33" s="36"/>
      <c r="W33" s="29"/>
      <c r="X33" s="29"/>
      <c r="Y33" s="73"/>
      <c r="Z33" s="40"/>
      <c r="AA33" s="16"/>
      <c r="AB33" s="36"/>
      <c r="AD33" s="153"/>
      <c r="AE33" s="29"/>
    </row>
    <row r="34" spans="2:31" ht="15" customHeight="1" x14ac:dyDescent="0.3">
      <c r="B34" s="11">
        <v>26</v>
      </c>
      <c r="C34" s="106"/>
      <c r="D34" s="85"/>
      <c r="E34" s="120"/>
      <c r="F34" s="120"/>
      <c r="G34" s="46">
        <v>0</v>
      </c>
      <c r="H34" s="46">
        <v>0</v>
      </c>
      <c r="I34" s="46">
        <v>0</v>
      </c>
      <c r="J34" s="46">
        <v>0</v>
      </c>
      <c r="K34" s="54">
        <v>0</v>
      </c>
      <c r="L34" s="46">
        <f t="shared" si="0"/>
        <v>0</v>
      </c>
      <c r="M34" s="36"/>
      <c r="N34" s="36"/>
      <c r="O34" s="29"/>
      <c r="P34" s="1"/>
      <c r="Q34" s="1"/>
      <c r="R34" s="136"/>
      <c r="S34" s="1"/>
      <c r="T34" s="1"/>
      <c r="U34" s="36"/>
      <c r="V34" s="36"/>
      <c r="W34" s="29"/>
      <c r="X34" s="29"/>
      <c r="Y34" s="73"/>
      <c r="Z34" s="40"/>
      <c r="AA34" s="16"/>
      <c r="AB34" s="36"/>
      <c r="AD34" s="153"/>
      <c r="AE34" s="29"/>
    </row>
    <row r="35" spans="2:31" ht="15" customHeight="1" x14ac:dyDescent="0.3">
      <c r="B35" s="11">
        <v>27</v>
      </c>
      <c r="C35" s="106"/>
      <c r="D35" s="87"/>
      <c r="E35" s="120"/>
      <c r="F35" s="120"/>
      <c r="G35" s="46">
        <v>0</v>
      </c>
      <c r="H35" s="46">
        <v>0</v>
      </c>
      <c r="I35" s="46">
        <v>0</v>
      </c>
      <c r="J35" s="46">
        <v>0</v>
      </c>
      <c r="K35" s="54">
        <v>0</v>
      </c>
      <c r="L35" s="46">
        <f t="shared" si="0"/>
        <v>0</v>
      </c>
      <c r="M35" s="36"/>
      <c r="N35" s="36"/>
      <c r="O35" s="29"/>
      <c r="P35" s="1"/>
      <c r="Q35" s="1"/>
      <c r="R35" s="136"/>
      <c r="S35" s="1"/>
      <c r="T35" s="1"/>
      <c r="U35" s="36"/>
      <c r="V35" s="36"/>
      <c r="W35" s="29"/>
      <c r="X35" s="29"/>
      <c r="Y35" s="29"/>
      <c r="Z35" s="40"/>
      <c r="AA35" s="16"/>
      <c r="AB35" s="36"/>
      <c r="AD35" s="153"/>
      <c r="AE35" s="29"/>
    </row>
    <row r="36" spans="2:31" ht="15" customHeight="1" x14ac:dyDescent="0.3">
      <c r="B36" s="11">
        <v>28</v>
      </c>
      <c r="C36" s="106"/>
      <c r="D36" s="85"/>
      <c r="E36" s="120"/>
      <c r="F36" s="120"/>
      <c r="G36" s="46">
        <v>0</v>
      </c>
      <c r="H36" s="46">
        <v>0</v>
      </c>
      <c r="I36" s="46">
        <v>0</v>
      </c>
      <c r="J36" s="46">
        <v>0</v>
      </c>
      <c r="K36" s="54">
        <v>0</v>
      </c>
      <c r="L36" s="46">
        <f t="shared" si="0"/>
        <v>0</v>
      </c>
      <c r="M36" s="36"/>
      <c r="N36" s="36"/>
      <c r="O36" s="29"/>
      <c r="P36" s="1"/>
      <c r="Q36" s="1"/>
      <c r="R36" s="136"/>
      <c r="S36" s="1"/>
      <c r="T36" s="1"/>
      <c r="U36" s="36"/>
      <c r="V36" s="36"/>
      <c r="W36" s="29"/>
      <c r="X36" s="29"/>
      <c r="Y36" s="73"/>
      <c r="Z36" s="40"/>
      <c r="AA36" s="16"/>
      <c r="AB36" s="36"/>
      <c r="AD36" s="153"/>
      <c r="AE36" s="29"/>
    </row>
    <row r="37" spans="2:31" ht="15" customHeight="1" x14ac:dyDescent="0.3">
      <c r="B37" s="11">
        <v>29</v>
      </c>
      <c r="C37" s="106"/>
      <c r="D37" s="87"/>
      <c r="E37" s="120"/>
      <c r="F37" s="120"/>
      <c r="G37" s="46">
        <v>0</v>
      </c>
      <c r="H37" s="46">
        <v>0</v>
      </c>
      <c r="I37" s="46">
        <v>0</v>
      </c>
      <c r="J37" s="46">
        <v>0</v>
      </c>
      <c r="K37" s="54">
        <v>0</v>
      </c>
      <c r="L37" s="46">
        <f t="shared" si="0"/>
        <v>0</v>
      </c>
      <c r="M37" s="36"/>
      <c r="N37" s="36"/>
      <c r="O37" s="29"/>
      <c r="P37" s="1"/>
      <c r="Q37" s="1"/>
      <c r="R37" s="136"/>
      <c r="S37" s="1"/>
      <c r="T37" s="1"/>
      <c r="U37" s="36"/>
      <c r="V37" s="36"/>
      <c r="W37" s="29"/>
      <c r="X37" s="29"/>
      <c r="Y37" s="29"/>
      <c r="Z37" s="40"/>
      <c r="AA37" s="16"/>
      <c r="AB37" s="36"/>
      <c r="AD37" s="153"/>
      <c r="AE37" s="29"/>
    </row>
    <row r="38" spans="2:31" ht="15" customHeight="1" x14ac:dyDescent="0.3">
      <c r="B38" s="11">
        <v>30</v>
      </c>
      <c r="C38" s="106"/>
      <c r="D38" s="87"/>
      <c r="E38" s="120"/>
      <c r="F38" s="120"/>
      <c r="G38" s="46">
        <v>0</v>
      </c>
      <c r="H38" s="46">
        <v>0</v>
      </c>
      <c r="I38" s="46">
        <v>0</v>
      </c>
      <c r="J38" s="46">
        <v>0</v>
      </c>
      <c r="K38" s="54">
        <v>0</v>
      </c>
      <c r="L38" s="46">
        <f t="shared" si="0"/>
        <v>0</v>
      </c>
      <c r="M38" s="36"/>
      <c r="N38" s="36"/>
      <c r="O38" s="29"/>
      <c r="P38" s="1"/>
      <c r="Q38" s="1"/>
      <c r="R38" s="136"/>
      <c r="S38" s="1"/>
      <c r="T38" s="1"/>
      <c r="U38" s="36"/>
      <c r="V38" s="36"/>
      <c r="W38" s="29"/>
      <c r="X38" s="29"/>
      <c r="Y38" s="29"/>
      <c r="Z38" s="40"/>
      <c r="AA38" s="16"/>
      <c r="AB38" s="36"/>
      <c r="AD38" s="153"/>
      <c r="AE38" s="29"/>
    </row>
    <row r="39" spans="2:31" x14ac:dyDescent="0.3">
      <c r="B39" s="11"/>
      <c r="C39" s="108"/>
      <c r="D39" s="16"/>
      <c r="E39" s="121"/>
      <c r="F39" s="121"/>
      <c r="G39" s="46">
        <v>0</v>
      </c>
      <c r="H39" s="46">
        <v>0</v>
      </c>
      <c r="I39" s="46">
        <v>0</v>
      </c>
      <c r="J39" s="46">
        <v>0</v>
      </c>
      <c r="K39" s="54">
        <v>0</v>
      </c>
      <c r="L39" s="46">
        <f t="shared" si="0"/>
        <v>0</v>
      </c>
      <c r="M39" s="36"/>
      <c r="N39" s="36"/>
      <c r="O39" s="29"/>
      <c r="P39" s="1"/>
      <c r="Q39" s="1"/>
      <c r="R39" s="136"/>
      <c r="S39" s="1"/>
      <c r="T39" s="1"/>
      <c r="U39" s="36"/>
      <c r="V39" s="36"/>
      <c r="W39" s="29"/>
      <c r="X39" s="29"/>
      <c r="Y39" s="29"/>
      <c r="Z39" s="40"/>
      <c r="AA39" s="16"/>
      <c r="AB39" s="36"/>
      <c r="AD39" s="153"/>
      <c r="AE39" s="29"/>
    </row>
    <row r="40" spans="2:31" x14ac:dyDescent="0.3">
      <c r="C40" s="104"/>
      <c r="D40" s="61"/>
      <c r="E40" s="80"/>
      <c r="F40" s="80"/>
      <c r="G40" s="79">
        <f>SUBTOTAL(9,G9:G39)</f>
        <v>0</v>
      </c>
      <c r="H40" s="79">
        <f t="shared" ref="H40:L40" si="1">SUBTOTAL(9,H9:H39)</f>
        <v>0</v>
      </c>
      <c r="I40" s="79">
        <f t="shared" si="1"/>
        <v>0</v>
      </c>
      <c r="J40" s="79">
        <f t="shared" si="1"/>
        <v>0</v>
      </c>
      <c r="K40" s="79">
        <f t="shared" si="1"/>
        <v>0</v>
      </c>
      <c r="L40" s="79">
        <f t="shared" si="1"/>
        <v>0</v>
      </c>
      <c r="M40" s="70"/>
      <c r="N40" s="147"/>
      <c r="O40" s="147"/>
      <c r="P40" s="17"/>
      <c r="Q40" s="30">
        <f>SUBTOTAL(2,Q9:Q39)</f>
        <v>0</v>
      </c>
      <c r="R40" s="18"/>
      <c r="S40" s="19"/>
      <c r="T40" s="34"/>
      <c r="U40" s="34"/>
      <c r="V40" s="19"/>
      <c r="W40" s="19"/>
      <c r="X40" s="19"/>
      <c r="Y40" s="19"/>
      <c r="Z40" s="34"/>
      <c r="AA40" s="22"/>
      <c r="AB40" s="37"/>
      <c r="AD40" s="291"/>
      <c r="AE40" s="291"/>
    </row>
    <row r="41" spans="2:31" x14ac:dyDescent="0.3">
      <c r="G41" s="52"/>
      <c r="H41" s="52"/>
      <c r="I41" s="52"/>
      <c r="J41" s="52"/>
      <c r="K41" s="52"/>
      <c r="L41" s="52"/>
    </row>
    <row r="42" spans="2:31" x14ac:dyDescent="0.3">
      <c r="G42" s="52"/>
      <c r="H42" s="52"/>
      <c r="I42" s="52"/>
      <c r="J42" s="52"/>
      <c r="K42" s="52"/>
      <c r="L42" s="52"/>
    </row>
    <row r="43" spans="2:31" ht="15" thickBot="1" x14ac:dyDescent="0.35">
      <c r="C43" s="105"/>
      <c r="D43" s="20"/>
      <c r="E43" s="28"/>
      <c r="F43" s="28"/>
      <c r="G43" s="312"/>
      <c r="H43" s="312"/>
      <c r="I43" s="312"/>
      <c r="J43" s="312"/>
      <c r="K43" s="312"/>
      <c r="L43" s="74">
        <f t="shared" ref="L43" si="2">SUM(L9:L39)</f>
        <v>0</v>
      </c>
      <c r="M43" s="75"/>
      <c r="N43" s="75"/>
      <c r="O43" s="148"/>
      <c r="P43" s="14"/>
      <c r="R43" s="14"/>
      <c r="S43" s="14"/>
      <c r="T43" s="35"/>
      <c r="U43" s="35"/>
      <c r="V43" s="14"/>
      <c r="W43" s="14"/>
      <c r="X43" s="14"/>
      <c r="Y43" s="14"/>
      <c r="Z43" s="35"/>
      <c r="AA43" s="3"/>
    </row>
    <row r="44" spans="2:31" ht="15" thickTop="1" x14ac:dyDescent="0.3">
      <c r="R44" s="14"/>
    </row>
    <row r="47" spans="2:31" x14ac:dyDescent="0.3">
      <c r="D47" s="133" t="s">
        <v>127</v>
      </c>
      <c r="E47" s="134"/>
      <c r="F47" s="134"/>
      <c r="G47" s="135"/>
      <c r="H47" s="8"/>
      <c r="J47" s="425" t="s">
        <v>128</v>
      </c>
      <c r="K47" s="426"/>
      <c r="L47" s="427"/>
      <c r="M47" s="8"/>
      <c r="N47" s="8"/>
      <c r="O47" s="8"/>
    </row>
    <row r="48" spans="2:31" x14ac:dyDescent="0.3">
      <c r="D48" s="16" t="s">
        <v>129</v>
      </c>
      <c r="E48" s="92" t="s">
        <v>130</v>
      </c>
      <c r="F48" s="92" t="s">
        <v>130</v>
      </c>
      <c r="G48" s="93" t="s">
        <v>131</v>
      </c>
      <c r="H48" s="91"/>
      <c r="J48" s="16" t="s">
        <v>129</v>
      </c>
      <c r="K48" s="92" t="s">
        <v>130</v>
      </c>
      <c r="L48" s="93" t="s">
        <v>131</v>
      </c>
      <c r="M48" s="8"/>
      <c r="N48" s="8"/>
      <c r="O48" s="8"/>
    </row>
    <row r="49" spans="4:15" x14ac:dyDescent="0.3">
      <c r="D49" s="94">
        <f>SUMIF($AA$9:$AA$38,D48,$L$9:$L$39)</f>
        <v>0</v>
      </c>
      <c r="E49" s="94">
        <f>SUMIF($AA$9:$AA$38,E48,$L$9:$L$39)</f>
        <v>0</v>
      </c>
      <c r="F49" s="94">
        <f>SUMIF($AA$9:$AA$38,F48,$L$9:$L$39)</f>
        <v>0</v>
      </c>
      <c r="G49" s="94">
        <f>SUMIF($AA$9:$AA$38,G48,$L$10:$L$40)</f>
        <v>0</v>
      </c>
      <c r="H49" s="95">
        <f>SUM(D49:G49)</f>
        <v>0</v>
      </c>
      <c r="J49" s="94">
        <f>SUMIF($AA$9:$AA$38,J48,$K$9:$K$38)</f>
        <v>0</v>
      </c>
      <c r="K49" s="94">
        <f>SUMIF($AA$9:$AA$38,K48,$K$9:$K$38)</f>
        <v>0</v>
      </c>
      <c r="L49" s="94">
        <f>SUMIF($AA$9:$AA$38,L48,$K$9:$K$38)</f>
        <v>0</v>
      </c>
      <c r="M49" s="95">
        <f>SUM(J49:L49)</f>
        <v>0</v>
      </c>
      <c r="N49" s="8"/>
      <c r="O49" s="8"/>
    </row>
    <row r="50" spans="4:15" x14ac:dyDescent="0.3">
      <c r="E50"/>
      <c r="F50"/>
      <c r="G50"/>
      <c r="H50" s="97">
        <f>L43-H49</f>
        <v>0</v>
      </c>
      <c r="J50" s="32"/>
      <c r="K50" s="32"/>
      <c r="L50" s="149"/>
      <c r="M50" s="97">
        <f>K43-M49</f>
        <v>0</v>
      </c>
      <c r="N50" s="8"/>
      <c r="O50" s="8"/>
    </row>
    <row r="51" spans="4:15" x14ac:dyDescent="0.3">
      <c r="D51" s="47"/>
      <c r="E51" s="47"/>
      <c r="F51" s="47"/>
      <c r="H51" s="68"/>
      <c r="J51"/>
      <c r="K51"/>
      <c r="L51" s="8"/>
      <c r="M51" s="8"/>
      <c r="N51"/>
      <c r="O51" s="8"/>
    </row>
    <row r="52" spans="4:15" x14ac:dyDescent="0.3">
      <c r="H52" s="123" t="s">
        <v>132</v>
      </c>
      <c r="I52" s="47">
        <f>G49</f>
        <v>0</v>
      </c>
      <c r="L52" s="123"/>
      <c r="N52" s="8"/>
      <c r="O52" s="8"/>
    </row>
    <row r="53" spans="4:15" ht="15" thickBot="1" x14ac:dyDescent="0.35">
      <c r="H53" s="124" t="s">
        <v>133</v>
      </c>
      <c r="I53" s="99">
        <f>D49+E49+J49+K49+L49</f>
        <v>0</v>
      </c>
      <c r="L53" s="123"/>
      <c r="N53" s="8"/>
      <c r="O53" s="8"/>
    </row>
    <row r="54" spans="4:15" ht="15" thickTop="1" x14ac:dyDescent="0.3">
      <c r="H54" s="123" t="s">
        <v>134</v>
      </c>
      <c r="I54" s="47">
        <f>SUM(I52:I53)</f>
        <v>0</v>
      </c>
      <c r="L54" s="123"/>
      <c r="N54" s="8"/>
      <c r="O54" s="8"/>
    </row>
    <row r="55" spans="4:15" x14ac:dyDescent="0.3">
      <c r="I55" s="97">
        <f>G43-I54</f>
        <v>0</v>
      </c>
      <c r="L55" s="123"/>
      <c r="M55" s="8"/>
      <c r="N55" s="8"/>
      <c r="O55" s="8"/>
    </row>
    <row r="56" spans="4:15" x14ac:dyDescent="0.3">
      <c r="J56" s="68"/>
      <c r="K56" s="68"/>
      <c r="L56" s="119"/>
      <c r="M56" s="8"/>
      <c r="N56" s="8"/>
      <c r="O56" s="8"/>
    </row>
    <row r="57" spans="4:15" x14ac:dyDescent="0.3">
      <c r="J57" s="68"/>
      <c r="K57" s="68"/>
      <c r="L57" s="119"/>
      <c r="M57" s="8"/>
      <c r="N57" s="8"/>
      <c r="O57" s="8"/>
    </row>
  </sheetData>
  <dataConsolidate/>
  <mergeCells count="2">
    <mergeCell ref="B1:AB1"/>
    <mergeCell ref="J47:L47"/>
  </mergeCells>
  <conditionalFormatting sqref="D48">
    <cfRule type="cellIs" dxfId="145" priority="14" operator="equal">
      <formula>"NO-OOS"</formula>
    </cfRule>
    <cfRule type="cellIs" dxfId="144" priority="15" operator="equal">
      <formula>"NO-CO"</formula>
    </cfRule>
    <cfRule type="cellIs" dxfId="143" priority="16" operator="equal">
      <formula>"YES"</formula>
    </cfRule>
    <cfRule type="cellIs" dxfId="142" priority="17" operator="equal">
      <formula>"NO"</formula>
    </cfRule>
  </conditionalFormatting>
  <conditionalFormatting sqref="J48">
    <cfRule type="cellIs" dxfId="141" priority="9" operator="equal">
      <formula>"NO-OOS"</formula>
    </cfRule>
    <cfRule type="cellIs" dxfId="140" priority="10" operator="equal">
      <formula>"NO-CO"</formula>
    </cfRule>
    <cfRule type="cellIs" dxfId="139" priority="11" operator="equal">
      <formula>"YES"</formula>
    </cfRule>
    <cfRule type="cellIs" dxfId="138" priority="12" operator="equal">
      <formula>"NO"</formula>
    </cfRule>
  </conditionalFormatting>
  <conditionalFormatting sqref="O9:O39">
    <cfRule type="cellIs" dxfId="137" priority="4" operator="equal">
      <formula>"NO"</formula>
    </cfRule>
    <cfRule type="cellIs" dxfId="136" priority="5" operator="equal">
      <formula>"YES"</formula>
    </cfRule>
  </conditionalFormatting>
  <conditionalFormatting sqref="R9:R39">
    <cfRule type="cellIs" dxfId="135" priority="6" operator="equal">
      <formula>"N/A"</formula>
    </cfRule>
    <cfRule type="cellIs" dxfId="134" priority="7" operator="equal">
      <formula>"YES"</formula>
    </cfRule>
    <cfRule type="cellIs" dxfId="133" priority="8" operator="equal">
      <formula>"NO"</formula>
    </cfRule>
  </conditionalFormatting>
  <conditionalFormatting sqref="AA9:AA39">
    <cfRule type="cellIs" dxfId="132" priority="19" operator="equal">
      <formula>"NO-OOS"</formula>
    </cfRule>
    <cfRule type="cellIs" dxfId="131" priority="20" operator="equal">
      <formula>"NO-TX"</formula>
    </cfRule>
    <cfRule type="cellIs" dxfId="130" priority="21" operator="equal">
      <formula>"YES"</formula>
    </cfRule>
  </conditionalFormatting>
  <conditionalFormatting sqref="AD9:AD39">
    <cfRule type="cellIs" dxfId="129" priority="1" operator="equal">
      <formula>"N/A"</formula>
    </cfRule>
    <cfRule type="cellIs" dxfId="128" priority="2" operator="equal">
      <formula>"YES"</formula>
    </cfRule>
    <cfRule type="cellIs" dxfId="127" priority="3" operator="equal">
      <formula>"NO"</formula>
    </cfRule>
  </conditionalFormatting>
  <dataValidations count="2">
    <dataValidation type="list" allowBlank="1" showInputMessage="1" showErrorMessage="1" sqref="AC2:AC6" xr:uid="{D4627949-624B-43CB-B27E-0CD8C62A26D2}"/>
    <dataValidation type="list" allowBlank="1" showInputMessage="1" showErrorMessage="1" sqref="D48 J48" xr:uid="{079C8679-B847-4916-BBCC-A5492EB0170F}"/>
  </dataValidations>
  <hyperlinks>
    <hyperlink ref="H43:L43" location="'Comm Summary'!A1" display="'Comm Summary'!A1" xr:uid="{CE0D432C-7D77-4FC4-A81A-48D3AA3EB87F}"/>
  </hyperlinks>
  <pageMargins left="0.45" right="0.45" top="0.75" bottom="0.75" header="0.3" footer="0.3"/>
  <pageSetup scale="2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error="Please select a valid option from the 3 below" promptTitle="Payment Method" prompt="Select a payment method" xr:uid="{70C6E620-B535-4CEE-BBDE-524A5EF1E644}">
          <x14:formula1>
            <xm:f>Legend!$A$2:$A$8</xm:f>
          </x14:formula1>
          <xm:sqref>P19:P39</xm:sqref>
        </x14:dataValidation>
        <x14:dataValidation type="list" allowBlank="1" showInputMessage="1" showErrorMessage="1" xr:uid="{485CB967-5EDA-429A-A370-E9C3037CFCFC}">
          <x14:formula1>
            <xm:f>Legend!$E$2:$E$4</xm:f>
          </x14:formula1>
          <xm:sqref>AA9:AA39</xm:sqref>
        </x14:dataValidation>
        <x14:dataValidation type="list" allowBlank="1" showInputMessage="1" showErrorMessage="1" prompt="Select a category that most closely matches" xr:uid="{CAA01173-2290-4F2D-AFFE-AA8E1FCE5C74}">
          <x14:formula1>
            <xm:f>Legend!$F$2:$F$5</xm:f>
          </x14:formula1>
          <xm:sqref>T9:T39</xm:sqref>
        </x14:dataValidation>
        <x14:dataValidation type="list" allowBlank="1" showInputMessage="1" showErrorMessage="1" error="Please select a valid option from the 3 below" promptTitle="Payment Method" prompt="Select a payment method" xr:uid="{967EFE48-01AB-4A78-B4A6-EA24063631D7}">
          <x14:formula1>
            <xm:f>Legend!$A$2:$A$7</xm:f>
          </x14:formula1>
          <xm:sqref>P58:P1048576 L48:L50 N51 M47 P40:P46 M52:M57 P8:P18</xm:sqref>
        </x14:dataValidation>
        <x14:dataValidation type="list" allowBlank="1" showInputMessage="1" showErrorMessage="1" xr:uid="{0B6DAEFB-C69C-4B58-8CAC-77CD4767814A}">
          <x14:formula1>
            <xm:f>Legend!$H$2:$H$14</xm:f>
          </x14:formula1>
          <xm:sqref>S9:S38</xm:sqref>
        </x14:dataValidation>
        <x14:dataValidation type="list" allowBlank="1" showInputMessage="1" showErrorMessage="1" xr:uid="{E2F97F25-F419-4771-8D96-3972324F45FD}">
          <x14:formula1>
            <xm:f>Legend!$C$2:$C$4</xm:f>
          </x14:formula1>
          <xm:sqref>R9:R39 O9:O39 AD9:AD39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CAA8B-8122-4A10-94C6-583C7DD99A73}">
  <sheetPr>
    <tabColor rgb="FFFFCCFF"/>
    <pageSetUpPr fitToPage="1"/>
  </sheetPr>
  <dimension ref="A1:AP264"/>
  <sheetViews>
    <sheetView zoomScale="90" zoomScaleNormal="90" workbookViewId="0">
      <pane xSplit="2" ySplit="8" topLeftCell="AC9" activePane="bottomRight" state="frozen"/>
      <selection activeCell="T4" sqref="T4"/>
      <selection pane="topRight" activeCell="T4" sqref="T4"/>
      <selection pane="bottomLeft" activeCell="T4" sqref="T4"/>
      <selection pane="bottomRight" activeCell="AG3" sqref="AG3"/>
    </sheetView>
  </sheetViews>
  <sheetFormatPr defaultColWidth="9.109375" defaultRowHeight="14.4" x14ac:dyDescent="0.3"/>
  <cols>
    <col min="1" max="1" width="7.33203125" customWidth="1"/>
    <col min="2" max="2" width="9.109375" style="9"/>
    <col min="3" max="3" width="14.88671875" style="103" customWidth="1"/>
    <col min="4" max="4" width="18.6640625" style="27" customWidth="1"/>
    <col min="5" max="5" width="22.21875" style="27" customWidth="1"/>
    <col min="6" max="6" width="34.88671875" customWidth="1"/>
    <col min="7" max="7" width="19.6640625" style="8" customWidth="1"/>
    <col min="8" max="8" width="20.6640625" style="103" customWidth="1"/>
    <col min="9" max="10" width="16.109375" style="8" customWidth="1"/>
    <col min="11" max="21" width="19.33203125" style="42" customWidth="1"/>
    <col min="22" max="24" width="19.33203125" style="8" customWidth="1"/>
    <col min="25" max="25" width="26.33203125" style="8" customWidth="1"/>
    <col min="26" max="26" width="12.88671875" style="8" customWidth="1"/>
    <col min="27" max="27" width="13.5546875" style="63" customWidth="1"/>
    <col min="28" max="28" width="20.6640625" customWidth="1"/>
    <col min="29" max="29" width="44.33203125" customWidth="1"/>
    <col min="30" max="30" width="14.109375" style="8" customWidth="1"/>
    <col min="31" max="31" width="10.109375" style="8" customWidth="1"/>
    <col min="32" max="32" width="8.33203125" style="8" customWidth="1"/>
    <col min="33" max="33" width="53.5546875" bestFit="1" customWidth="1"/>
    <col min="35" max="35" width="13.33203125" style="370" bestFit="1" customWidth="1"/>
    <col min="36" max="36" width="12" style="370" customWidth="1"/>
    <col min="37" max="37" width="13.33203125" style="370" bestFit="1" customWidth="1"/>
    <col min="38" max="38" width="10.33203125" style="370" bestFit="1" customWidth="1"/>
    <col min="39" max="39" width="9.109375" style="370"/>
    <col min="40" max="40" width="11.109375" style="372" bestFit="1" customWidth="1"/>
    <col min="41" max="42" width="9.109375" style="370"/>
  </cols>
  <sheetData>
    <row r="1" spans="1:42" ht="15.6" x14ac:dyDescent="0.3">
      <c r="A1" s="428"/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369"/>
      <c r="AJ1" s="369"/>
    </row>
    <row r="2" spans="1:42" ht="15.6" x14ac:dyDescent="0.3">
      <c r="B2" s="116"/>
      <c r="C2" s="116"/>
      <c r="D2" s="116"/>
      <c r="E2" s="116"/>
      <c r="F2" s="116"/>
      <c r="G2" s="116"/>
      <c r="H2" s="116"/>
      <c r="I2" s="116"/>
      <c r="J2" s="116"/>
      <c r="K2" s="25"/>
      <c r="L2" s="25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31"/>
      <c r="AC2" s="31"/>
      <c r="AD2" s="116"/>
      <c r="AE2" s="116"/>
      <c r="AF2" s="116"/>
      <c r="AG2" s="31"/>
      <c r="AH2" s="31"/>
      <c r="AI2" s="369"/>
      <c r="AJ2" s="391"/>
    </row>
    <row r="3" spans="1:42" ht="18" x14ac:dyDescent="0.35">
      <c r="C3" s="9"/>
      <c r="D3" s="15"/>
      <c r="E3" s="15"/>
      <c r="F3" s="23"/>
      <c r="G3" s="23"/>
      <c r="H3" s="8"/>
      <c r="K3"/>
      <c r="L3"/>
      <c r="M3"/>
      <c r="N3"/>
      <c r="O3" s="234"/>
      <c r="P3" s="234"/>
      <c r="Q3" s="234"/>
      <c r="R3"/>
      <c r="S3"/>
      <c r="T3" s="433" t="s">
        <v>246</v>
      </c>
      <c r="U3" s="433"/>
      <c r="V3" s="433"/>
      <c r="W3" s="433"/>
      <c r="AA3"/>
      <c r="AB3" s="32"/>
      <c r="AC3" s="32"/>
      <c r="AG3" s="32"/>
      <c r="AH3" s="32"/>
      <c r="AJ3" s="392"/>
    </row>
    <row r="4" spans="1:42" ht="18" x14ac:dyDescent="0.35">
      <c r="C4" s="9"/>
      <c r="D4" s="15"/>
      <c r="E4" s="15"/>
      <c r="F4" s="4"/>
      <c r="G4" s="4"/>
      <c r="H4" s="115"/>
      <c r="I4" s="115"/>
      <c r="J4" s="115"/>
      <c r="K4"/>
      <c r="L4"/>
      <c r="M4"/>
      <c r="N4"/>
      <c r="O4"/>
      <c r="P4"/>
      <c r="Q4"/>
      <c r="R4"/>
      <c r="S4"/>
      <c r="T4" s="433" t="s">
        <v>291</v>
      </c>
      <c r="U4" s="433"/>
      <c r="V4" s="433"/>
      <c r="W4" s="433"/>
      <c r="X4" s="5"/>
      <c r="Y4" s="181"/>
      <c r="AA4" s="4"/>
      <c r="AB4" s="4"/>
      <c r="AC4" s="4"/>
      <c r="AD4" s="115"/>
      <c r="AE4" s="115"/>
      <c r="AF4" s="115"/>
      <c r="AG4" s="4"/>
      <c r="AH4" s="4"/>
      <c r="AI4" s="393"/>
      <c r="AJ4" s="393"/>
      <c r="AK4" s="393"/>
    </row>
    <row r="5" spans="1:42" ht="18" x14ac:dyDescent="0.35">
      <c r="C5" s="9"/>
      <c r="D5" s="15"/>
      <c r="E5" s="15"/>
      <c r="F5" s="4"/>
      <c r="G5" s="4"/>
      <c r="H5" s="115"/>
      <c r="I5" s="115"/>
      <c r="J5" s="115"/>
      <c r="K5"/>
      <c r="L5"/>
      <c r="M5"/>
      <c r="N5"/>
      <c r="O5" s="182" t="s">
        <v>183</v>
      </c>
      <c r="P5" s="182"/>
      <c r="Q5" s="182"/>
      <c r="R5" s="183"/>
      <c r="S5"/>
      <c r="T5"/>
      <c r="U5"/>
      <c r="V5" s="5"/>
      <c r="W5" s="5"/>
      <c r="X5" s="5"/>
      <c r="Y5" s="181"/>
      <c r="AA5" s="4"/>
      <c r="AB5" s="4"/>
      <c r="AC5" s="4"/>
      <c r="AD5" s="115"/>
      <c r="AE5" s="115"/>
      <c r="AF5" s="115"/>
      <c r="AG5" s="4"/>
      <c r="AH5" s="4"/>
      <c r="AI5" s="393"/>
      <c r="AJ5" s="393"/>
      <c r="AK5" s="393"/>
    </row>
    <row r="6" spans="1:42" ht="18" x14ac:dyDescent="0.35">
      <c r="C6" s="9"/>
      <c r="D6" s="15"/>
      <c r="E6" s="15"/>
      <c r="F6" s="4"/>
      <c r="G6" s="115"/>
      <c r="H6" s="115"/>
      <c r="I6" s="115"/>
      <c r="J6" s="115"/>
      <c r="K6" s="4"/>
      <c r="L6" s="4"/>
      <c r="M6"/>
      <c r="N6"/>
      <c r="O6"/>
      <c r="P6"/>
      <c r="Q6"/>
      <c r="R6"/>
      <c r="S6"/>
      <c r="T6"/>
      <c r="U6"/>
      <c r="V6" s="5"/>
      <c r="W6" s="5"/>
      <c r="X6" s="5"/>
      <c r="Y6" s="181"/>
      <c r="AA6" s="4"/>
      <c r="AB6" s="4"/>
      <c r="AC6" s="4"/>
      <c r="AD6" s="115"/>
      <c r="AE6" s="115"/>
      <c r="AF6" s="115"/>
      <c r="AG6" s="4"/>
      <c r="AH6" s="4"/>
      <c r="AI6" s="393"/>
      <c r="AJ6" s="393"/>
      <c r="AK6" s="393"/>
    </row>
    <row r="7" spans="1:42" x14ac:dyDescent="0.3">
      <c r="K7" s="184" t="s">
        <v>184</v>
      </c>
      <c r="L7" s="184"/>
      <c r="M7" s="184" t="s">
        <v>184</v>
      </c>
      <c r="N7" s="184"/>
      <c r="O7" s="184" t="s">
        <v>184</v>
      </c>
      <c r="Q7" s="184" t="s">
        <v>184</v>
      </c>
      <c r="R7" s="184" t="s">
        <v>184</v>
      </c>
      <c r="U7" s="184" t="s">
        <v>184</v>
      </c>
      <c r="Z7" s="184" t="s">
        <v>184</v>
      </c>
      <c r="AG7" s="184" t="s">
        <v>184</v>
      </c>
      <c r="AI7" s="422" t="s">
        <v>83</v>
      </c>
      <c r="AJ7" s="423"/>
      <c r="AK7" s="424"/>
      <c r="AN7" s="373" t="s">
        <v>84</v>
      </c>
    </row>
    <row r="8" spans="1:42" s="7" customFormat="1" ht="18.75" customHeight="1" x14ac:dyDescent="0.3">
      <c r="B8" s="10" t="s">
        <v>85</v>
      </c>
      <c r="C8" s="81" t="s">
        <v>124</v>
      </c>
      <c r="D8" s="26" t="s">
        <v>86</v>
      </c>
      <c r="E8" s="267" t="s">
        <v>185</v>
      </c>
      <c r="F8" s="12" t="s">
        <v>186</v>
      </c>
      <c r="G8" s="12" t="s">
        <v>187</v>
      </c>
      <c r="H8" s="12" t="s">
        <v>91</v>
      </c>
      <c r="I8" s="12" t="s">
        <v>188</v>
      </c>
      <c r="J8" s="12" t="s">
        <v>189</v>
      </c>
      <c r="K8" s="45" t="s">
        <v>190</v>
      </c>
      <c r="L8" s="45" t="s">
        <v>191</v>
      </c>
      <c r="M8" s="50" t="s">
        <v>141</v>
      </c>
      <c r="N8" s="50" t="s">
        <v>142</v>
      </c>
      <c r="O8" s="45" t="s">
        <v>192</v>
      </c>
      <c r="P8" s="45" t="s">
        <v>193</v>
      </c>
      <c r="Q8" s="45" t="s">
        <v>194</v>
      </c>
      <c r="R8" s="45" t="s">
        <v>195</v>
      </c>
      <c r="S8" s="45" t="s">
        <v>13</v>
      </c>
      <c r="T8" s="88" t="s">
        <v>107</v>
      </c>
      <c r="U8" s="81" t="s">
        <v>108</v>
      </c>
      <c r="V8" s="12" t="s">
        <v>144</v>
      </c>
      <c r="W8" s="12" t="s">
        <v>145</v>
      </c>
      <c r="X8" s="12" t="s">
        <v>110</v>
      </c>
      <c r="Y8" s="12" t="s">
        <v>111</v>
      </c>
      <c r="Z8" s="12" t="s">
        <v>147</v>
      </c>
      <c r="AA8" s="81" t="s">
        <v>196</v>
      </c>
      <c r="AB8" s="12" t="s">
        <v>113</v>
      </c>
      <c r="AC8" s="12" t="s">
        <v>197</v>
      </c>
      <c r="AD8" s="12" t="s">
        <v>115</v>
      </c>
      <c r="AE8" s="12" t="s">
        <v>116</v>
      </c>
      <c r="AF8" s="12" t="s">
        <v>117</v>
      </c>
      <c r="AG8" s="6" t="s">
        <v>118</v>
      </c>
      <c r="AI8" s="394" t="s">
        <v>121</v>
      </c>
      <c r="AJ8" s="378" t="s">
        <v>199</v>
      </c>
      <c r="AK8" s="378" t="s">
        <v>123</v>
      </c>
      <c r="AL8" s="380"/>
      <c r="AM8" s="380"/>
      <c r="AN8" s="379"/>
      <c r="AO8" s="380"/>
      <c r="AP8" s="380"/>
    </row>
    <row r="9" spans="1:42" ht="15" customHeight="1" x14ac:dyDescent="0.3">
      <c r="A9" s="42"/>
      <c r="B9" s="11">
        <v>1</v>
      </c>
      <c r="C9" s="286"/>
      <c r="D9" s="120"/>
      <c r="E9" s="120"/>
      <c r="F9" s="36"/>
      <c r="G9" s="13"/>
      <c r="H9" s="62"/>
      <c r="I9" s="13"/>
      <c r="J9" s="13"/>
      <c r="K9" s="46"/>
      <c r="L9" s="46"/>
      <c r="M9" s="46"/>
      <c r="N9" s="46"/>
      <c r="O9" s="46"/>
      <c r="P9" s="46"/>
      <c r="Q9" s="46"/>
      <c r="R9" s="46"/>
      <c r="S9" s="46">
        <f>SUM(K9:R9)</f>
        <v>0</v>
      </c>
      <c r="T9" s="54">
        <f>P9</f>
        <v>0</v>
      </c>
      <c r="U9" s="46">
        <f>S9-T9</f>
        <v>0</v>
      </c>
      <c r="V9" s="29"/>
      <c r="W9" s="29"/>
      <c r="X9" s="180"/>
      <c r="Y9" s="29"/>
      <c r="Z9" s="13"/>
      <c r="AA9" s="180"/>
      <c r="AB9" s="16"/>
      <c r="AC9" s="43"/>
      <c r="AD9" s="43"/>
      <c r="AE9" s="43"/>
      <c r="AF9" s="43"/>
      <c r="AG9" s="187"/>
      <c r="AI9" s="383">
        <f t="shared" ref="AI9:AI38" si="0">K9+L9+M9</f>
        <v>0</v>
      </c>
      <c r="AJ9" s="383">
        <f t="shared" ref="AJ9:AJ38" si="1">O9+Q9+R9</f>
        <v>0</v>
      </c>
      <c r="AK9" s="383">
        <f>SUM(AI9:AJ9)</f>
        <v>0</v>
      </c>
      <c r="AL9" s="384">
        <f t="shared" ref="AL9:AL38" si="2">AK9-U9</f>
        <v>0</v>
      </c>
      <c r="AN9" s="385">
        <f t="shared" ref="AN9:AN38" si="3">S9-AK9</f>
        <v>0</v>
      </c>
      <c r="AO9" s="386">
        <f t="shared" ref="AO9:AO38" si="4">AN9-T9</f>
        <v>0</v>
      </c>
    </row>
    <row r="10" spans="1:42" ht="15" customHeight="1" x14ac:dyDescent="0.3">
      <c r="A10" s="42"/>
      <c r="B10" s="11">
        <v>2</v>
      </c>
      <c r="C10" s="106"/>
      <c r="D10" s="120"/>
      <c r="E10" s="120"/>
      <c r="F10" s="36"/>
      <c r="G10" s="13"/>
      <c r="H10" s="62"/>
      <c r="I10" s="13"/>
      <c r="J10" s="13"/>
      <c r="K10" s="46"/>
      <c r="L10" s="46"/>
      <c r="M10" s="46"/>
      <c r="N10" s="46"/>
      <c r="O10" s="46"/>
      <c r="P10" s="46"/>
      <c r="Q10" s="46"/>
      <c r="R10" s="46"/>
      <c r="S10" s="46">
        <f t="shared" ref="S10:S39" si="5">SUM(K10:R10)</f>
        <v>0</v>
      </c>
      <c r="T10" s="54">
        <f t="shared" ref="T10:T39" si="6">P10</f>
        <v>0</v>
      </c>
      <c r="U10" s="46">
        <f t="shared" ref="U10:U39" si="7">S10-T10</f>
        <v>0</v>
      </c>
      <c r="V10" s="29"/>
      <c r="W10" s="29"/>
      <c r="X10" s="180"/>
      <c r="Y10" s="29"/>
      <c r="Z10" s="13"/>
      <c r="AA10" s="62"/>
      <c r="AB10" s="16"/>
      <c r="AC10" s="43"/>
      <c r="AD10" s="43"/>
      <c r="AE10" s="43"/>
      <c r="AF10" s="43"/>
      <c r="AG10" s="36"/>
      <c r="AI10" s="383">
        <f t="shared" si="0"/>
        <v>0</v>
      </c>
      <c r="AJ10" s="383">
        <f t="shared" si="1"/>
        <v>0</v>
      </c>
      <c r="AK10" s="383">
        <f t="shared" ref="AK10:AK38" si="8">SUM(AI10:AJ10)</f>
        <v>0</v>
      </c>
      <c r="AL10" s="384">
        <f t="shared" si="2"/>
        <v>0</v>
      </c>
      <c r="AN10" s="385">
        <f t="shared" si="3"/>
        <v>0</v>
      </c>
      <c r="AO10" s="386">
        <f t="shared" si="4"/>
        <v>0</v>
      </c>
    </row>
    <row r="11" spans="1:42" ht="15" customHeight="1" x14ac:dyDescent="0.3">
      <c r="A11" s="42"/>
      <c r="B11" s="11">
        <v>3</v>
      </c>
      <c r="C11" s="180"/>
      <c r="D11" s="120"/>
      <c r="E11" s="120"/>
      <c r="F11" s="36"/>
      <c r="G11" s="13"/>
      <c r="H11" s="62"/>
      <c r="I11" s="13"/>
      <c r="J11" s="13"/>
      <c r="K11" s="46"/>
      <c r="L11" s="46"/>
      <c r="M11" s="46"/>
      <c r="N11" s="46"/>
      <c r="O11" s="46"/>
      <c r="P11" s="46"/>
      <c r="Q11" s="46"/>
      <c r="R11" s="46"/>
      <c r="S11" s="46">
        <f t="shared" si="5"/>
        <v>0</v>
      </c>
      <c r="T11" s="54">
        <f t="shared" si="6"/>
        <v>0</v>
      </c>
      <c r="U11" s="46">
        <f t="shared" si="7"/>
        <v>0</v>
      </c>
      <c r="V11" s="29"/>
      <c r="W11" s="29"/>
      <c r="X11" s="180"/>
      <c r="Y11" s="29"/>
      <c r="Z11" s="13"/>
      <c r="AA11" s="180"/>
      <c r="AB11" s="16"/>
      <c r="AC11" s="43"/>
      <c r="AD11" s="43"/>
      <c r="AE11" s="43"/>
      <c r="AF11" s="43"/>
      <c r="AG11" s="187"/>
      <c r="AI11" s="383">
        <f t="shared" si="0"/>
        <v>0</v>
      </c>
      <c r="AJ11" s="383">
        <f t="shared" si="1"/>
        <v>0</v>
      </c>
      <c r="AK11" s="383">
        <f t="shared" si="8"/>
        <v>0</v>
      </c>
      <c r="AL11" s="384">
        <f t="shared" si="2"/>
        <v>0</v>
      </c>
      <c r="AN11" s="385">
        <f t="shared" si="3"/>
        <v>0</v>
      </c>
      <c r="AO11" s="386">
        <f t="shared" si="4"/>
        <v>0</v>
      </c>
    </row>
    <row r="12" spans="1:42" ht="15" customHeight="1" x14ac:dyDescent="0.3">
      <c r="B12" s="11">
        <v>4</v>
      </c>
      <c r="C12" s="106"/>
      <c r="D12" s="120"/>
      <c r="E12" s="120"/>
      <c r="F12" s="36"/>
      <c r="G12" s="13"/>
      <c r="H12" s="180"/>
      <c r="I12" s="13"/>
      <c r="J12" s="13"/>
      <c r="K12" s="46"/>
      <c r="L12" s="46"/>
      <c r="M12" s="46"/>
      <c r="N12" s="46"/>
      <c r="O12" s="46"/>
      <c r="P12" s="46"/>
      <c r="Q12" s="46"/>
      <c r="R12" s="46"/>
      <c r="S12" s="46">
        <f t="shared" si="5"/>
        <v>0</v>
      </c>
      <c r="T12" s="54">
        <f t="shared" si="6"/>
        <v>0</v>
      </c>
      <c r="U12" s="46">
        <f t="shared" si="7"/>
        <v>0</v>
      </c>
      <c r="V12" s="29"/>
      <c r="W12" s="13"/>
      <c r="X12" s="180"/>
      <c r="Y12" s="29"/>
      <c r="Z12" s="13"/>
      <c r="AA12" s="62"/>
      <c r="AB12" s="16"/>
      <c r="AC12" s="43"/>
      <c r="AD12" s="43"/>
      <c r="AE12" s="43"/>
      <c r="AF12" s="43"/>
      <c r="AG12" s="187"/>
      <c r="AI12" s="383">
        <f t="shared" si="0"/>
        <v>0</v>
      </c>
      <c r="AJ12" s="383">
        <f t="shared" si="1"/>
        <v>0</v>
      </c>
      <c r="AK12" s="383">
        <f t="shared" si="8"/>
        <v>0</v>
      </c>
      <c r="AL12" s="384">
        <f t="shared" si="2"/>
        <v>0</v>
      </c>
      <c r="AN12" s="385">
        <f t="shared" si="3"/>
        <v>0</v>
      </c>
      <c r="AO12" s="386">
        <f t="shared" si="4"/>
        <v>0</v>
      </c>
    </row>
    <row r="13" spans="1:42" ht="15" customHeight="1" x14ac:dyDescent="0.3">
      <c r="A13" s="42"/>
      <c r="B13" s="11">
        <v>5</v>
      </c>
      <c r="C13" s="286"/>
      <c r="D13" s="120"/>
      <c r="E13" s="120"/>
      <c r="F13" s="36"/>
      <c r="G13" s="13"/>
      <c r="H13" s="62"/>
      <c r="I13" s="13"/>
      <c r="J13" s="13"/>
      <c r="K13" s="46"/>
      <c r="L13" s="46"/>
      <c r="M13" s="46"/>
      <c r="N13" s="46"/>
      <c r="O13" s="46"/>
      <c r="P13" s="46"/>
      <c r="Q13" s="46"/>
      <c r="R13" s="46"/>
      <c r="S13" s="46">
        <f t="shared" si="5"/>
        <v>0</v>
      </c>
      <c r="T13" s="54">
        <f t="shared" si="6"/>
        <v>0</v>
      </c>
      <c r="U13" s="46">
        <f t="shared" si="7"/>
        <v>0</v>
      </c>
      <c r="V13" s="29"/>
      <c r="W13" s="13"/>
      <c r="X13" s="180"/>
      <c r="Y13" s="29"/>
      <c r="Z13" s="13"/>
      <c r="AA13" s="180"/>
      <c r="AB13" s="16"/>
      <c r="AC13" s="43"/>
      <c r="AD13" s="43"/>
      <c r="AE13" s="43"/>
      <c r="AF13" s="43"/>
      <c r="AG13" s="187"/>
      <c r="AI13" s="383">
        <f t="shared" si="0"/>
        <v>0</v>
      </c>
      <c r="AJ13" s="383">
        <f t="shared" si="1"/>
        <v>0</v>
      </c>
      <c r="AK13" s="383">
        <f t="shared" si="8"/>
        <v>0</v>
      </c>
      <c r="AL13" s="384">
        <f t="shared" si="2"/>
        <v>0</v>
      </c>
      <c r="AN13" s="385">
        <f t="shared" si="3"/>
        <v>0</v>
      </c>
      <c r="AO13" s="386">
        <f t="shared" si="4"/>
        <v>0</v>
      </c>
    </row>
    <row r="14" spans="1:42" ht="15" customHeight="1" x14ac:dyDescent="0.3">
      <c r="A14" s="42"/>
      <c r="B14" s="11">
        <v>6</v>
      </c>
      <c r="C14" s="286"/>
      <c r="D14" s="120"/>
      <c r="E14" s="120"/>
      <c r="F14" s="36"/>
      <c r="G14" s="13"/>
      <c r="H14" s="62"/>
      <c r="I14" s="13"/>
      <c r="J14" s="13"/>
      <c r="K14" s="46"/>
      <c r="L14" s="46"/>
      <c r="M14" s="46"/>
      <c r="N14" s="46"/>
      <c r="O14" s="46"/>
      <c r="P14" s="46"/>
      <c r="Q14" s="46"/>
      <c r="R14" s="46"/>
      <c r="S14" s="46">
        <f t="shared" si="5"/>
        <v>0</v>
      </c>
      <c r="T14" s="54">
        <f t="shared" si="6"/>
        <v>0</v>
      </c>
      <c r="U14" s="46">
        <f t="shared" si="7"/>
        <v>0</v>
      </c>
      <c r="V14" s="29"/>
      <c r="W14" s="13"/>
      <c r="X14" s="180"/>
      <c r="Y14" s="29"/>
      <c r="Z14" s="13"/>
      <c r="AA14" s="62"/>
      <c r="AB14" s="16"/>
      <c r="AC14" s="43"/>
      <c r="AD14" s="43"/>
      <c r="AE14" s="43"/>
      <c r="AF14" s="43"/>
      <c r="AG14" s="187"/>
      <c r="AI14" s="383">
        <f t="shared" si="0"/>
        <v>0</v>
      </c>
      <c r="AJ14" s="383">
        <f t="shared" si="1"/>
        <v>0</v>
      </c>
      <c r="AK14" s="383">
        <f t="shared" si="8"/>
        <v>0</v>
      </c>
      <c r="AL14" s="384">
        <f t="shared" si="2"/>
        <v>0</v>
      </c>
      <c r="AN14" s="385">
        <f t="shared" si="3"/>
        <v>0</v>
      </c>
      <c r="AO14" s="386">
        <f t="shared" si="4"/>
        <v>0</v>
      </c>
    </row>
    <row r="15" spans="1:42" ht="15" customHeight="1" x14ac:dyDescent="0.3">
      <c r="A15" s="42"/>
      <c r="B15" s="11">
        <v>7</v>
      </c>
      <c r="C15" s="286"/>
      <c r="D15" s="120"/>
      <c r="E15" s="120"/>
      <c r="F15" s="36"/>
      <c r="G15" s="13"/>
      <c r="H15" s="62"/>
      <c r="I15" s="13"/>
      <c r="J15" s="13"/>
      <c r="K15" s="46"/>
      <c r="L15" s="46"/>
      <c r="M15" s="46"/>
      <c r="N15" s="46"/>
      <c r="O15" s="46"/>
      <c r="P15" s="46"/>
      <c r="Q15" s="46"/>
      <c r="R15" s="46"/>
      <c r="S15" s="46">
        <f t="shared" si="5"/>
        <v>0</v>
      </c>
      <c r="T15" s="54">
        <f t="shared" si="6"/>
        <v>0</v>
      </c>
      <c r="U15" s="46">
        <f t="shared" si="7"/>
        <v>0</v>
      </c>
      <c r="V15" s="29"/>
      <c r="W15" s="13"/>
      <c r="X15" s="180"/>
      <c r="Y15" s="29"/>
      <c r="Z15" s="13"/>
      <c r="AA15" s="180"/>
      <c r="AB15" s="16"/>
      <c r="AC15" s="43"/>
      <c r="AD15" s="43"/>
      <c r="AE15" s="43"/>
      <c r="AF15" s="43"/>
      <c r="AG15" s="187"/>
      <c r="AI15" s="383">
        <f t="shared" si="0"/>
        <v>0</v>
      </c>
      <c r="AJ15" s="383">
        <f t="shared" si="1"/>
        <v>0</v>
      </c>
      <c r="AK15" s="383">
        <f t="shared" si="8"/>
        <v>0</v>
      </c>
      <c r="AL15" s="384">
        <f t="shared" si="2"/>
        <v>0</v>
      </c>
      <c r="AN15" s="385">
        <f t="shared" si="3"/>
        <v>0</v>
      </c>
      <c r="AO15" s="386">
        <f t="shared" si="4"/>
        <v>0</v>
      </c>
    </row>
    <row r="16" spans="1:42" ht="15" customHeight="1" x14ac:dyDescent="0.3">
      <c r="B16" s="11">
        <v>8</v>
      </c>
      <c r="C16" s="286"/>
      <c r="D16" s="120"/>
      <c r="E16" s="120"/>
      <c r="F16" s="36"/>
      <c r="G16" s="13"/>
      <c r="H16" s="180"/>
      <c r="I16" s="13"/>
      <c r="J16" s="13"/>
      <c r="K16" s="46"/>
      <c r="L16" s="46"/>
      <c r="M16" s="46"/>
      <c r="N16" s="46"/>
      <c r="O16" s="46"/>
      <c r="P16" s="46"/>
      <c r="Q16" s="46"/>
      <c r="R16" s="46"/>
      <c r="S16" s="46">
        <f t="shared" si="5"/>
        <v>0</v>
      </c>
      <c r="T16" s="54">
        <f t="shared" si="6"/>
        <v>0</v>
      </c>
      <c r="U16" s="46">
        <f t="shared" si="7"/>
        <v>0</v>
      </c>
      <c r="V16" s="29"/>
      <c r="W16" s="13"/>
      <c r="X16" s="180"/>
      <c r="Y16" s="29"/>
      <c r="Z16" s="13"/>
      <c r="AA16" s="62"/>
      <c r="AB16" s="16"/>
      <c r="AC16" s="43"/>
      <c r="AD16" s="43"/>
      <c r="AE16" s="43"/>
      <c r="AF16" s="43"/>
      <c r="AG16" s="187"/>
      <c r="AI16" s="383">
        <f t="shared" si="0"/>
        <v>0</v>
      </c>
      <c r="AJ16" s="383">
        <f t="shared" si="1"/>
        <v>0</v>
      </c>
      <c r="AK16" s="383">
        <f t="shared" si="8"/>
        <v>0</v>
      </c>
      <c r="AL16" s="384">
        <f t="shared" si="2"/>
        <v>0</v>
      </c>
      <c r="AN16" s="385">
        <f t="shared" si="3"/>
        <v>0</v>
      </c>
      <c r="AO16" s="386">
        <f t="shared" si="4"/>
        <v>0</v>
      </c>
    </row>
    <row r="17" spans="1:42" s="32" customFormat="1" x14ac:dyDescent="0.3">
      <c r="A17" s="191"/>
      <c r="B17" s="11">
        <v>9</v>
      </c>
      <c r="C17" s="286"/>
      <c r="D17" s="120"/>
      <c r="E17" s="120"/>
      <c r="F17" s="36"/>
      <c r="G17" s="13"/>
      <c r="H17" s="180"/>
      <c r="I17" s="13"/>
      <c r="J17" s="13"/>
      <c r="K17" s="46"/>
      <c r="L17" s="46"/>
      <c r="M17" s="46"/>
      <c r="N17" s="46"/>
      <c r="O17" s="46"/>
      <c r="P17" s="46"/>
      <c r="Q17" s="46"/>
      <c r="R17" s="46"/>
      <c r="S17" s="46">
        <f t="shared" si="5"/>
        <v>0</v>
      </c>
      <c r="T17" s="54">
        <f t="shared" si="6"/>
        <v>0</v>
      </c>
      <c r="U17" s="46">
        <f t="shared" si="7"/>
        <v>0</v>
      </c>
      <c r="V17" s="29"/>
      <c r="W17" s="13"/>
      <c r="X17" s="180"/>
      <c r="Y17" s="29"/>
      <c r="Z17" s="13"/>
      <c r="AA17" s="180"/>
      <c r="AB17" s="16"/>
      <c r="AC17" s="43"/>
      <c r="AD17" s="43"/>
      <c r="AE17" s="43"/>
      <c r="AF17" s="43"/>
      <c r="AG17" s="187"/>
      <c r="AI17" s="383">
        <f t="shared" si="0"/>
        <v>0</v>
      </c>
      <c r="AJ17" s="383">
        <f t="shared" si="1"/>
        <v>0</v>
      </c>
      <c r="AK17" s="383">
        <f t="shared" si="8"/>
        <v>0</v>
      </c>
      <c r="AL17" s="384">
        <f t="shared" si="2"/>
        <v>0</v>
      </c>
      <c r="AM17" s="370"/>
      <c r="AN17" s="385">
        <f t="shared" si="3"/>
        <v>0</v>
      </c>
      <c r="AO17" s="386">
        <f t="shared" si="4"/>
        <v>0</v>
      </c>
      <c r="AP17" s="370"/>
    </row>
    <row r="18" spans="1:42" ht="15" customHeight="1" x14ac:dyDescent="0.3">
      <c r="A18" s="42"/>
      <c r="B18" s="11">
        <v>10</v>
      </c>
      <c r="C18" s="286"/>
      <c r="D18" s="120"/>
      <c r="E18" s="120"/>
      <c r="F18" s="36"/>
      <c r="G18" s="13"/>
      <c r="H18" s="180"/>
      <c r="I18" s="13"/>
      <c r="J18" s="13"/>
      <c r="K18" s="46"/>
      <c r="L18" s="46"/>
      <c r="M18" s="46"/>
      <c r="N18" s="46"/>
      <c r="O18" s="46"/>
      <c r="P18" s="46"/>
      <c r="Q18" s="46"/>
      <c r="R18" s="46"/>
      <c r="S18" s="46">
        <f t="shared" si="5"/>
        <v>0</v>
      </c>
      <c r="T18" s="54">
        <f t="shared" si="6"/>
        <v>0</v>
      </c>
      <c r="U18" s="46">
        <f t="shared" si="7"/>
        <v>0</v>
      </c>
      <c r="V18" s="29"/>
      <c r="W18" s="13"/>
      <c r="X18" s="180"/>
      <c r="Y18" s="29"/>
      <c r="Z18" s="13"/>
      <c r="AA18" s="62"/>
      <c r="AB18" s="16"/>
      <c r="AC18" s="43"/>
      <c r="AD18" s="43"/>
      <c r="AE18" s="43"/>
      <c r="AF18" s="43"/>
      <c r="AG18" s="187"/>
      <c r="AI18" s="383">
        <f t="shared" si="0"/>
        <v>0</v>
      </c>
      <c r="AJ18" s="383">
        <f t="shared" si="1"/>
        <v>0</v>
      </c>
      <c r="AK18" s="383">
        <f t="shared" si="8"/>
        <v>0</v>
      </c>
      <c r="AL18" s="384">
        <f t="shared" si="2"/>
        <v>0</v>
      </c>
      <c r="AN18" s="385">
        <f t="shared" si="3"/>
        <v>0</v>
      </c>
      <c r="AO18" s="386">
        <f t="shared" si="4"/>
        <v>0</v>
      </c>
    </row>
    <row r="19" spans="1:42" ht="15" customHeight="1" x14ac:dyDescent="0.3">
      <c r="B19" s="11">
        <v>11</v>
      </c>
      <c r="C19" s="287"/>
      <c r="D19" s="120"/>
      <c r="E19" s="120"/>
      <c r="F19" s="36"/>
      <c r="G19" s="13"/>
      <c r="H19" s="180"/>
      <c r="I19" s="13"/>
      <c r="J19" s="13"/>
      <c r="K19" s="46"/>
      <c r="L19" s="46"/>
      <c r="M19" s="46"/>
      <c r="N19" s="46"/>
      <c r="O19" s="46"/>
      <c r="P19" s="46"/>
      <c r="Q19" s="46"/>
      <c r="R19" s="46"/>
      <c r="S19" s="46">
        <f t="shared" si="5"/>
        <v>0</v>
      </c>
      <c r="T19" s="54">
        <f t="shared" si="6"/>
        <v>0</v>
      </c>
      <c r="U19" s="46">
        <f t="shared" si="7"/>
        <v>0</v>
      </c>
      <c r="V19" s="29"/>
      <c r="W19" s="13"/>
      <c r="X19" s="180"/>
      <c r="Y19" s="29"/>
      <c r="Z19" s="13"/>
      <c r="AA19" s="180"/>
      <c r="AB19" s="16"/>
      <c r="AC19" s="43"/>
      <c r="AD19" s="43"/>
      <c r="AE19" s="43"/>
      <c r="AF19" s="43"/>
      <c r="AG19" s="187"/>
      <c r="AI19" s="383">
        <f t="shared" si="0"/>
        <v>0</v>
      </c>
      <c r="AJ19" s="383">
        <f t="shared" si="1"/>
        <v>0</v>
      </c>
      <c r="AK19" s="383">
        <f t="shared" si="8"/>
        <v>0</v>
      </c>
      <c r="AL19" s="384">
        <f t="shared" si="2"/>
        <v>0</v>
      </c>
      <c r="AN19" s="385">
        <f t="shared" si="3"/>
        <v>0</v>
      </c>
      <c r="AO19" s="386">
        <f t="shared" si="4"/>
        <v>0</v>
      </c>
    </row>
    <row r="20" spans="1:42" ht="15" customHeight="1" x14ac:dyDescent="0.3">
      <c r="B20" s="11">
        <v>12</v>
      </c>
      <c r="C20" s="287"/>
      <c r="D20" s="120"/>
      <c r="E20" s="120"/>
      <c r="F20" s="36"/>
      <c r="G20" s="13"/>
      <c r="H20" s="180"/>
      <c r="I20" s="13"/>
      <c r="J20" s="13"/>
      <c r="K20" s="46"/>
      <c r="L20" s="46"/>
      <c r="M20" s="46"/>
      <c r="N20" s="46"/>
      <c r="O20" s="46"/>
      <c r="P20" s="46"/>
      <c r="Q20" s="46"/>
      <c r="R20" s="46"/>
      <c r="S20" s="46">
        <f t="shared" si="5"/>
        <v>0</v>
      </c>
      <c r="T20" s="54">
        <f t="shared" si="6"/>
        <v>0</v>
      </c>
      <c r="U20" s="46">
        <f t="shared" si="7"/>
        <v>0</v>
      </c>
      <c r="V20" s="29"/>
      <c r="W20" s="13"/>
      <c r="X20" s="180"/>
      <c r="Y20" s="29"/>
      <c r="Z20" s="13"/>
      <c r="AA20" s="62"/>
      <c r="AB20" s="16"/>
      <c r="AC20" s="43"/>
      <c r="AD20" s="43"/>
      <c r="AE20" s="43"/>
      <c r="AF20" s="43"/>
      <c r="AG20" s="187"/>
      <c r="AI20" s="383">
        <f t="shared" si="0"/>
        <v>0</v>
      </c>
      <c r="AJ20" s="383">
        <f t="shared" si="1"/>
        <v>0</v>
      </c>
      <c r="AK20" s="383">
        <f t="shared" si="8"/>
        <v>0</v>
      </c>
      <c r="AL20" s="384">
        <f t="shared" si="2"/>
        <v>0</v>
      </c>
      <c r="AN20" s="385">
        <f t="shared" si="3"/>
        <v>0</v>
      </c>
      <c r="AO20" s="386">
        <f t="shared" si="4"/>
        <v>0</v>
      </c>
    </row>
    <row r="21" spans="1:42" ht="15" customHeight="1" x14ac:dyDescent="0.3">
      <c r="A21" s="42"/>
      <c r="B21" s="11">
        <v>13</v>
      </c>
      <c r="C21" s="106"/>
      <c r="D21" s="120"/>
      <c r="E21" s="120"/>
      <c r="F21" s="36"/>
      <c r="G21" s="13"/>
      <c r="H21" s="180"/>
      <c r="I21" s="13"/>
      <c r="J21" s="13"/>
      <c r="K21" s="46"/>
      <c r="L21" s="46"/>
      <c r="M21" s="46"/>
      <c r="N21" s="46"/>
      <c r="O21" s="46"/>
      <c r="P21" s="46"/>
      <c r="Q21" s="46"/>
      <c r="R21" s="46"/>
      <c r="S21" s="46">
        <f t="shared" si="5"/>
        <v>0</v>
      </c>
      <c r="T21" s="54">
        <f t="shared" si="6"/>
        <v>0</v>
      </c>
      <c r="U21" s="46">
        <f t="shared" si="7"/>
        <v>0</v>
      </c>
      <c r="V21" s="29"/>
      <c r="W21" s="13"/>
      <c r="X21" s="180"/>
      <c r="Y21" s="29"/>
      <c r="Z21" s="13"/>
      <c r="AA21" s="180"/>
      <c r="AB21" s="16"/>
      <c r="AC21" s="43"/>
      <c r="AD21" s="43"/>
      <c r="AE21" s="43"/>
      <c r="AF21" s="43"/>
      <c r="AG21" s="187"/>
      <c r="AI21" s="383">
        <f t="shared" si="0"/>
        <v>0</v>
      </c>
      <c r="AJ21" s="383">
        <f t="shared" si="1"/>
        <v>0</v>
      </c>
      <c r="AK21" s="383">
        <f t="shared" si="8"/>
        <v>0</v>
      </c>
      <c r="AL21" s="384">
        <f t="shared" si="2"/>
        <v>0</v>
      </c>
      <c r="AN21" s="385">
        <f t="shared" si="3"/>
        <v>0</v>
      </c>
      <c r="AO21" s="386">
        <f t="shared" si="4"/>
        <v>0</v>
      </c>
    </row>
    <row r="22" spans="1:42" ht="15" customHeight="1" x14ac:dyDescent="0.3">
      <c r="A22" s="42"/>
      <c r="B22" s="11">
        <v>14</v>
      </c>
      <c r="C22" s="106"/>
      <c r="D22" s="120"/>
      <c r="E22" s="120"/>
      <c r="F22" s="36"/>
      <c r="G22" s="13"/>
      <c r="H22" s="180"/>
      <c r="I22" s="13"/>
      <c r="J22" s="13"/>
      <c r="K22" s="46"/>
      <c r="L22" s="46"/>
      <c r="M22" s="46"/>
      <c r="N22" s="46"/>
      <c r="O22" s="46"/>
      <c r="P22" s="46"/>
      <c r="Q22" s="46"/>
      <c r="R22" s="46"/>
      <c r="S22" s="46">
        <f t="shared" si="5"/>
        <v>0</v>
      </c>
      <c r="T22" s="54">
        <f t="shared" si="6"/>
        <v>0</v>
      </c>
      <c r="U22" s="46">
        <f t="shared" si="7"/>
        <v>0</v>
      </c>
      <c r="V22" s="29"/>
      <c r="W22" s="13"/>
      <c r="X22" s="180"/>
      <c r="Y22" s="29"/>
      <c r="Z22" s="13"/>
      <c r="AA22" s="62"/>
      <c r="AB22" s="43"/>
      <c r="AC22" s="43"/>
      <c r="AD22" s="43"/>
      <c r="AE22" s="43"/>
      <c r="AF22" s="43"/>
      <c r="AG22" s="187"/>
      <c r="AI22" s="383">
        <f t="shared" si="0"/>
        <v>0</v>
      </c>
      <c r="AJ22" s="383">
        <f t="shared" si="1"/>
        <v>0</v>
      </c>
      <c r="AK22" s="383">
        <f t="shared" si="8"/>
        <v>0</v>
      </c>
      <c r="AL22" s="384">
        <f t="shared" si="2"/>
        <v>0</v>
      </c>
      <c r="AN22" s="385">
        <f t="shared" si="3"/>
        <v>0</v>
      </c>
      <c r="AO22" s="386">
        <f t="shared" si="4"/>
        <v>0</v>
      </c>
    </row>
    <row r="23" spans="1:42" ht="15" customHeight="1" x14ac:dyDescent="0.3">
      <c r="A23" s="42"/>
      <c r="B23" s="11">
        <v>15</v>
      </c>
      <c r="C23" s="106"/>
      <c r="D23" s="120"/>
      <c r="E23" s="120"/>
      <c r="F23" s="36"/>
      <c r="G23" s="13"/>
      <c r="H23" s="180"/>
      <c r="I23" s="13"/>
      <c r="J23" s="13"/>
      <c r="K23" s="46"/>
      <c r="L23" s="46"/>
      <c r="M23" s="46"/>
      <c r="N23" s="46"/>
      <c r="O23" s="46"/>
      <c r="P23" s="46"/>
      <c r="Q23" s="46"/>
      <c r="R23" s="46"/>
      <c r="S23" s="46">
        <f t="shared" si="5"/>
        <v>0</v>
      </c>
      <c r="T23" s="54">
        <f t="shared" si="6"/>
        <v>0</v>
      </c>
      <c r="U23" s="46">
        <f t="shared" si="7"/>
        <v>0</v>
      </c>
      <c r="V23" s="29"/>
      <c r="W23" s="13"/>
      <c r="X23" s="180"/>
      <c r="Y23" s="29"/>
      <c r="Z23" s="13"/>
      <c r="AA23" s="62"/>
      <c r="AB23" s="16"/>
      <c r="AC23" s="43"/>
      <c r="AD23" s="43"/>
      <c r="AE23" s="43"/>
      <c r="AF23" s="43"/>
      <c r="AG23" s="187"/>
      <c r="AI23" s="383">
        <f t="shared" si="0"/>
        <v>0</v>
      </c>
      <c r="AJ23" s="383">
        <f t="shared" si="1"/>
        <v>0</v>
      </c>
      <c r="AK23" s="383">
        <f t="shared" si="8"/>
        <v>0</v>
      </c>
      <c r="AL23" s="384">
        <f t="shared" si="2"/>
        <v>0</v>
      </c>
      <c r="AN23" s="385">
        <f t="shared" si="3"/>
        <v>0</v>
      </c>
      <c r="AO23" s="386">
        <f t="shared" si="4"/>
        <v>0</v>
      </c>
    </row>
    <row r="24" spans="1:42" ht="15" customHeight="1" x14ac:dyDescent="0.3">
      <c r="B24" s="11">
        <v>16</v>
      </c>
      <c r="C24" s="106"/>
      <c r="D24" s="120"/>
      <c r="E24" s="120"/>
      <c r="F24" s="36"/>
      <c r="G24" s="13"/>
      <c r="H24" s="180"/>
      <c r="I24" s="13"/>
      <c r="J24" s="13"/>
      <c r="K24" s="46"/>
      <c r="L24" s="46"/>
      <c r="M24" s="46"/>
      <c r="N24" s="46"/>
      <c r="O24" s="46"/>
      <c r="P24" s="46"/>
      <c r="Q24" s="46"/>
      <c r="R24" s="46"/>
      <c r="S24" s="46">
        <f t="shared" si="5"/>
        <v>0</v>
      </c>
      <c r="T24" s="54">
        <f t="shared" si="6"/>
        <v>0</v>
      </c>
      <c r="U24" s="46">
        <f t="shared" si="7"/>
        <v>0</v>
      </c>
      <c r="V24" s="29"/>
      <c r="W24" s="13"/>
      <c r="X24" s="180"/>
      <c r="Y24" s="29"/>
      <c r="Z24" s="13"/>
      <c r="AA24" s="62"/>
      <c r="AB24" s="16"/>
      <c r="AC24" s="43"/>
      <c r="AD24" s="43"/>
      <c r="AE24" s="43"/>
      <c r="AF24" s="43"/>
      <c r="AG24" s="36"/>
      <c r="AI24" s="383">
        <f t="shared" si="0"/>
        <v>0</v>
      </c>
      <c r="AJ24" s="383">
        <f t="shared" si="1"/>
        <v>0</v>
      </c>
      <c r="AK24" s="383">
        <f t="shared" si="8"/>
        <v>0</v>
      </c>
      <c r="AL24" s="384">
        <f t="shared" si="2"/>
        <v>0</v>
      </c>
      <c r="AN24" s="385">
        <f t="shared" si="3"/>
        <v>0</v>
      </c>
      <c r="AO24" s="386">
        <f t="shared" si="4"/>
        <v>0</v>
      </c>
    </row>
    <row r="25" spans="1:42" ht="15" customHeight="1" x14ac:dyDescent="0.3">
      <c r="B25" s="11">
        <v>17</v>
      </c>
      <c r="C25" s="106"/>
      <c r="D25" s="120"/>
      <c r="E25" s="120"/>
      <c r="F25" s="36"/>
      <c r="G25" s="13"/>
      <c r="H25" s="180"/>
      <c r="I25" s="13"/>
      <c r="J25" s="13"/>
      <c r="K25" s="46"/>
      <c r="L25" s="46"/>
      <c r="M25" s="46"/>
      <c r="N25" s="46"/>
      <c r="O25" s="46"/>
      <c r="P25" s="46"/>
      <c r="Q25" s="46"/>
      <c r="R25" s="46"/>
      <c r="S25" s="46">
        <f t="shared" si="5"/>
        <v>0</v>
      </c>
      <c r="T25" s="54">
        <f t="shared" si="6"/>
        <v>0</v>
      </c>
      <c r="U25" s="46">
        <f t="shared" si="7"/>
        <v>0</v>
      </c>
      <c r="V25" s="29"/>
      <c r="W25" s="13"/>
      <c r="X25" s="180"/>
      <c r="Y25" s="29"/>
      <c r="Z25" s="13"/>
      <c r="AA25" s="62"/>
      <c r="AB25" s="16"/>
      <c r="AC25" s="43"/>
      <c r="AD25" s="43"/>
      <c r="AE25" s="43"/>
      <c r="AF25" s="43"/>
      <c r="AG25" s="187"/>
      <c r="AI25" s="383">
        <f t="shared" si="0"/>
        <v>0</v>
      </c>
      <c r="AJ25" s="383">
        <f t="shared" si="1"/>
        <v>0</v>
      </c>
      <c r="AK25" s="383">
        <f t="shared" si="8"/>
        <v>0</v>
      </c>
      <c r="AL25" s="384">
        <f t="shared" si="2"/>
        <v>0</v>
      </c>
      <c r="AN25" s="385">
        <f t="shared" si="3"/>
        <v>0</v>
      </c>
      <c r="AO25" s="386">
        <f t="shared" si="4"/>
        <v>0</v>
      </c>
    </row>
    <row r="26" spans="1:42" ht="15" customHeight="1" x14ac:dyDescent="0.3">
      <c r="B26" s="11">
        <v>18</v>
      </c>
      <c r="C26" s="106"/>
      <c r="D26" s="120"/>
      <c r="E26" s="120"/>
      <c r="F26" s="36"/>
      <c r="G26" s="13"/>
      <c r="H26" s="180"/>
      <c r="I26" s="13"/>
      <c r="J26" s="13"/>
      <c r="K26" s="46"/>
      <c r="L26" s="46"/>
      <c r="M26" s="46"/>
      <c r="N26" s="46"/>
      <c r="O26" s="46"/>
      <c r="P26" s="46"/>
      <c r="Q26" s="46"/>
      <c r="R26" s="46"/>
      <c r="S26" s="46">
        <f t="shared" si="5"/>
        <v>0</v>
      </c>
      <c r="T26" s="54">
        <f t="shared" si="6"/>
        <v>0</v>
      </c>
      <c r="U26" s="46">
        <f t="shared" si="7"/>
        <v>0</v>
      </c>
      <c r="V26" s="29"/>
      <c r="W26" s="13"/>
      <c r="X26" s="180"/>
      <c r="Y26" s="29"/>
      <c r="Z26" s="13"/>
      <c r="AA26" s="62"/>
      <c r="AB26" s="16"/>
      <c r="AC26" s="43"/>
      <c r="AD26" s="43"/>
      <c r="AE26" s="43"/>
      <c r="AF26" s="43"/>
      <c r="AG26" s="36"/>
      <c r="AI26" s="383">
        <f t="shared" si="0"/>
        <v>0</v>
      </c>
      <c r="AJ26" s="383">
        <f t="shared" si="1"/>
        <v>0</v>
      </c>
      <c r="AK26" s="383">
        <f t="shared" si="8"/>
        <v>0</v>
      </c>
      <c r="AL26" s="384">
        <f t="shared" si="2"/>
        <v>0</v>
      </c>
      <c r="AN26" s="385">
        <f t="shared" si="3"/>
        <v>0</v>
      </c>
      <c r="AO26" s="386">
        <f t="shared" si="4"/>
        <v>0</v>
      </c>
    </row>
    <row r="27" spans="1:42" ht="15" customHeight="1" x14ac:dyDescent="0.3">
      <c r="B27" s="11">
        <v>19</v>
      </c>
      <c r="C27" s="106"/>
      <c r="D27" s="120"/>
      <c r="E27" s="120"/>
      <c r="F27" s="36"/>
      <c r="G27" s="13"/>
      <c r="H27" s="180"/>
      <c r="I27" s="13"/>
      <c r="J27" s="13"/>
      <c r="K27" s="46"/>
      <c r="L27" s="46"/>
      <c r="M27" s="46"/>
      <c r="N27" s="46"/>
      <c r="O27" s="46"/>
      <c r="P27" s="46"/>
      <c r="Q27" s="46"/>
      <c r="R27" s="46"/>
      <c r="S27" s="46">
        <f t="shared" si="5"/>
        <v>0</v>
      </c>
      <c r="T27" s="54">
        <f t="shared" si="6"/>
        <v>0</v>
      </c>
      <c r="U27" s="46">
        <f t="shared" si="7"/>
        <v>0</v>
      </c>
      <c r="V27" s="29"/>
      <c r="W27" s="13"/>
      <c r="X27" s="180"/>
      <c r="Y27" s="29"/>
      <c r="Z27" s="13"/>
      <c r="AA27" s="62"/>
      <c r="AB27" s="16"/>
      <c r="AC27" s="43"/>
      <c r="AD27" s="43"/>
      <c r="AE27" s="43"/>
      <c r="AF27" s="43"/>
      <c r="AG27" s="187"/>
      <c r="AI27" s="383">
        <f t="shared" si="0"/>
        <v>0</v>
      </c>
      <c r="AJ27" s="383">
        <f t="shared" si="1"/>
        <v>0</v>
      </c>
      <c r="AK27" s="383">
        <f t="shared" si="8"/>
        <v>0</v>
      </c>
      <c r="AL27" s="384">
        <f t="shared" si="2"/>
        <v>0</v>
      </c>
      <c r="AN27" s="385">
        <f t="shared" si="3"/>
        <v>0</v>
      </c>
      <c r="AO27" s="386">
        <f t="shared" si="4"/>
        <v>0</v>
      </c>
    </row>
    <row r="28" spans="1:42" ht="15" customHeight="1" x14ac:dyDescent="0.3">
      <c r="B28" s="11">
        <v>20</v>
      </c>
      <c r="C28" s="106"/>
      <c r="D28" s="120"/>
      <c r="E28" s="120"/>
      <c r="F28" s="36"/>
      <c r="G28" s="13"/>
      <c r="H28" s="180"/>
      <c r="I28" s="13"/>
      <c r="J28" s="13"/>
      <c r="K28" s="46"/>
      <c r="L28" s="46"/>
      <c r="M28" s="46"/>
      <c r="N28" s="46"/>
      <c r="O28" s="46"/>
      <c r="P28" s="46"/>
      <c r="Q28" s="46"/>
      <c r="R28" s="46"/>
      <c r="S28" s="46">
        <f t="shared" si="5"/>
        <v>0</v>
      </c>
      <c r="T28" s="54">
        <f t="shared" si="6"/>
        <v>0</v>
      </c>
      <c r="U28" s="46">
        <f t="shared" si="7"/>
        <v>0</v>
      </c>
      <c r="V28" s="29"/>
      <c r="W28" s="13"/>
      <c r="X28" s="180"/>
      <c r="Y28" s="29"/>
      <c r="Z28" s="13"/>
      <c r="AA28" s="62"/>
      <c r="AB28" s="16"/>
      <c r="AC28" s="43"/>
      <c r="AD28" s="43"/>
      <c r="AE28" s="43"/>
      <c r="AF28" s="43"/>
      <c r="AG28" s="36"/>
      <c r="AI28" s="383">
        <f t="shared" si="0"/>
        <v>0</v>
      </c>
      <c r="AJ28" s="383">
        <f t="shared" si="1"/>
        <v>0</v>
      </c>
      <c r="AK28" s="383">
        <f t="shared" si="8"/>
        <v>0</v>
      </c>
      <c r="AL28" s="384">
        <f t="shared" si="2"/>
        <v>0</v>
      </c>
      <c r="AN28" s="385">
        <f t="shared" si="3"/>
        <v>0</v>
      </c>
      <c r="AO28" s="386">
        <f t="shared" si="4"/>
        <v>0</v>
      </c>
    </row>
    <row r="29" spans="1:42" ht="15" customHeight="1" x14ac:dyDescent="0.3">
      <c r="B29" s="11">
        <v>21</v>
      </c>
      <c r="C29" s="106"/>
      <c r="D29" s="120"/>
      <c r="E29" s="120"/>
      <c r="F29" s="36"/>
      <c r="G29" s="13"/>
      <c r="H29" s="180"/>
      <c r="I29" s="13"/>
      <c r="J29" s="13"/>
      <c r="K29" s="46"/>
      <c r="L29" s="46"/>
      <c r="M29" s="46"/>
      <c r="N29" s="46"/>
      <c r="O29" s="46"/>
      <c r="P29" s="46"/>
      <c r="Q29" s="46"/>
      <c r="R29" s="46"/>
      <c r="S29" s="46">
        <f t="shared" si="5"/>
        <v>0</v>
      </c>
      <c r="T29" s="54">
        <f t="shared" si="6"/>
        <v>0</v>
      </c>
      <c r="U29" s="46">
        <f t="shared" si="7"/>
        <v>0</v>
      </c>
      <c r="V29" s="29"/>
      <c r="W29" s="13"/>
      <c r="X29" s="180"/>
      <c r="Y29" s="29"/>
      <c r="Z29" s="13"/>
      <c r="AA29" s="62"/>
      <c r="AB29" s="16"/>
      <c r="AC29" s="43"/>
      <c r="AD29" s="43"/>
      <c r="AE29" s="43"/>
      <c r="AF29" s="43"/>
      <c r="AG29" s="187"/>
      <c r="AI29" s="383">
        <f t="shared" si="0"/>
        <v>0</v>
      </c>
      <c r="AJ29" s="383">
        <f t="shared" si="1"/>
        <v>0</v>
      </c>
      <c r="AK29" s="383">
        <f t="shared" si="8"/>
        <v>0</v>
      </c>
      <c r="AL29" s="384">
        <f t="shared" si="2"/>
        <v>0</v>
      </c>
      <c r="AN29" s="385">
        <f t="shared" si="3"/>
        <v>0</v>
      </c>
      <c r="AO29" s="386">
        <f t="shared" si="4"/>
        <v>0</v>
      </c>
    </row>
    <row r="30" spans="1:42" ht="15" customHeight="1" x14ac:dyDescent="0.3">
      <c r="B30" s="11">
        <v>22</v>
      </c>
      <c r="C30" s="106"/>
      <c r="D30" s="120"/>
      <c r="E30" s="120"/>
      <c r="F30" s="36"/>
      <c r="G30" s="13"/>
      <c r="H30" s="180"/>
      <c r="I30" s="13"/>
      <c r="J30" s="13"/>
      <c r="K30" s="46"/>
      <c r="L30" s="46"/>
      <c r="M30" s="46"/>
      <c r="N30" s="46"/>
      <c r="O30" s="46"/>
      <c r="P30" s="46"/>
      <c r="Q30" s="46"/>
      <c r="R30" s="46"/>
      <c r="S30" s="46">
        <f t="shared" si="5"/>
        <v>0</v>
      </c>
      <c r="T30" s="54">
        <f t="shared" si="6"/>
        <v>0</v>
      </c>
      <c r="U30" s="46">
        <f t="shared" si="7"/>
        <v>0</v>
      </c>
      <c r="V30" s="29"/>
      <c r="W30" s="13"/>
      <c r="X30" s="180"/>
      <c r="Y30" s="29"/>
      <c r="Z30" s="13"/>
      <c r="AA30" s="62"/>
      <c r="AB30" s="16"/>
      <c r="AC30" s="43"/>
      <c r="AD30" s="43"/>
      <c r="AE30" s="43"/>
      <c r="AF30" s="43"/>
      <c r="AG30" s="36"/>
      <c r="AI30" s="383">
        <f t="shared" si="0"/>
        <v>0</v>
      </c>
      <c r="AJ30" s="383">
        <f t="shared" si="1"/>
        <v>0</v>
      </c>
      <c r="AK30" s="383">
        <f t="shared" si="8"/>
        <v>0</v>
      </c>
      <c r="AL30" s="384">
        <f t="shared" si="2"/>
        <v>0</v>
      </c>
      <c r="AN30" s="385">
        <f t="shared" si="3"/>
        <v>0</v>
      </c>
      <c r="AO30" s="386">
        <f t="shared" si="4"/>
        <v>0</v>
      </c>
    </row>
    <row r="31" spans="1:42" ht="15" customHeight="1" x14ac:dyDescent="0.3">
      <c r="B31" s="11">
        <v>23</v>
      </c>
      <c r="C31" s="188"/>
      <c r="D31" s="120"/>
      <c r="E31" s="120"/>
      <c r="F31" s="36"/>
      <c r="G31" s="13"/>
      <c r="H31" s="180"/>
      <c r="I31" s="13"/>
      <c r="J31" s="13"/>
      <c r="K31" s="46"/>
      <c r="L31" s="46"/>
      <c r="M31" s="46"/>
      <c r="N31" s="46"/>
      <c r="O31" s="46"/>
      <c r="P31" s="46"/>
      <c r="Q31" s="46"/>
      <c r="R31" s="46"/>
      <c r="S31" s="46">
        <f t="shared" si="5"/>
        <v>0</v>
      </c>
      <c r="T31" s="54">
        <f t="shared" si="6"/>
        <v>0</v>
      </c>
      <c r="U31" s="46">
        <f t="shared" si="7"/>
        <v>0</v>
      </c>
      <c r="V31" s="29"/>
      <c r="W31" s="13"/>
      <c r="X31" s="180"/>
      <c r="Y31" s="29"/>
      <c r="Z31" s="13"/>
      <c r="AA31" s="62"/>
      <c r="AB31" s="16"/>
      <c r="AC31" s="43"/>
      <c r="AD31" s="43"/>
      <c r="AE31" s="43"/>
      <c r="AF31" s="43"/>
      <c r="AG31" s="187"/>
      <c r="AI31" s="383">
        <f t="shared" si="0"/>
        <v>0</v>
      </c>
      <c r="AJ31" s="383">
        <f t="shared" si="1"/>
        <v>0</v>
      </c>
      <c r="AK31" s="383">
        <f t="shared" si="8"/>
        <v>0</v>
      </c>
      <c r="AL31" s="384">
        <f t="shared" si="2"/>
        <v>0</v>
      </c>
      <c r="AN31" s="385">
        <f t="shared" si="3"/>
        <v>0</v>
      </c>
      <c r="AO31" s="386">
        <f t="shared" si="4"/>
        <v>0</v>
      </c>
    </row>
    <row r="32" spans="1:42" ht="15" customHeight="1" x14ac:dyDescent="0.3">
      <c r="B32" s="11">
        <v>24</v>
      </c>
      <c r="C32" s="188"/>
      <c r="D32" s="120"/>
      <c r="E32" s="120"/>
      <c r="F32" s="36"/>
      <c r="G32" s="13"/>
      <c r="H32" s="180"/>
      <c r="I32" s="13"/>
      <c r="J32" s="13"/>
      <c r="K32" s="46"/>
      <c r="L32" s="46"/>
      <c r="M32" s="46"/>
      <c r="N32" s="46"/>
      <c r="O32" s="46"/>
      <c r="P32" s="46"/>
      <c r="Q32" s="46"/>
      <c r="R32" s="46"/>
      <c r="S32" s="46">
        <f t="shared" si="5"/>
        <v>0</v>
      </c>
      <c r="T32" s="54">
        <f t="shared" si="6"/>
        <v>0</v>
      </c>
      <c r="U32" s="46">
        <f t="shared" si="7"/>
        <v>0</v>
      </c>
      <c r="V32" s="29"/>
      <c r="W32" s="13"/>
      <c r="X32" s="180"/>
      <c r="Y32" s="29"/>
      <c r="Z32" s="13"/>
      <c r="AA32" s="62"/>
      <c r="AB32" s="16"/>
      <c r="AC32" s="43"/>
      <c r="AD32" s="43"/>
      <c r="AE32" s="43"/>
      <c r="AF32" s="43"/>
      <c r="AG32" s="187"/>
      <c r="AI32" s="383">
        <f t="shared" si="0"/>
        <v>0</v>
      </c>
      <c r="AJ32" s="383">
        <f t="shared" si="1"/>
        <v>0</v>
      </c>
      <c r="AK32" s="383">
        <f t="shared" si="8"/>
        <v>0</v>
      </c>
      <c r="AL32" s="384">
        <f t="shared" si="2"/>
        <v>0</v>
      </c>
      <c r="AN32" s="385">
        <f t="shared" si="3"/>
        <v>0</v>
      </c>
      <c r="AO32" s="386">
        <f t="shared" si="4"/>
        <v>0</v>
      </c>
    </row>
    <row r="33" spans="1:41" ht="15" customHeight="1" x14ac:dyDescent="0.3">
      <c r="B33" s="11">
        <v>25</v>
      </c>
      <c r="C33" s="188"/>
      <c r="D33" s="120"/>
      <c r="E33" s="120"/>
      <c r="F33" s="36"/>
      <c r="G33" s="13"/>
      <c r="H33" s="180"/>
      <c r="I33" s="13"/>
      <c r="J33" s="13"/>
      <c r="K33" s="46"/>
      <c r="L33" s="46"/>
      <c r="M33" s="46"/>
      <c r="N33" s="46"/>
      <c r="O33" s="46"/>
      <c r="P33" s="46"/>
      <c r="Q33" s="46"/>
      <c r="R33" s="46"/>
      <c r="S33" s="46">
        <f t="shared" si="5"/>
        <v>0</v>
      </c>
      <c r="T33" s="54">
        <f t="shared" si="6"/>
        <v>0</v>
      </c>
      <c r="U33" s="46">
        <f t="shared" si="7"/>
        <v>0</v>
      </c>
      <c r="V33" s="29"/>
      <c r="W33" s="13"/>
      <c r="X33" s="180"/>
      <c r="Y33" s="29"/>
      <c r="Z33" s="13"/>
      <c r="AA33" s="62"/>
      <c r="AB33" s="16"/>
      <c r="AC33" s="43"/>
      <c r="AD33" s="43"/>
      <c r="AE33" s="43"/>
      <c r="AF33" s="43"/>
      <c r="AG33" s="187"/>
      <c r="AI33" s="383">
        <f t="shared" si="0"/>
        <v>0</v>
      </c>
      <c r="AJ33" s="383">
        <f t="shared" si="1"/>
        <v>0</v>
      </c>
      <c r="AK33" s="383">
        <f t="shared" si="8"/>
        <v>0</v>
      </c>
      <c r="AL33" s="384">
        <f t="shared" si="2"/>
        <v>0</v>
      </c>
      <c r="AN33" s="385">
        <f t="shared" si="3"/>
        <v>0</v>
      </c>
      <c r="AO33" s="386">
        <f t="shared" si="4"/>
        <v>0</v>
      </c>
    </row>
    <row r="34" spans="1:41" ht="15" customHeight="1" x14ac:dyDescent="0.3">
      <c r="B34" s="11">
        <v>26</v>
      </c>
      <c r="C34" s="188"/>
      <c r="D34" s="120"/>
      <c r="E34" s="120"/>
      <c r="F34" s="36"/>
      <c r="G34" s="13"/>
      <c r="H34" s="180"/>
      <c r="I34" s="13"/>
      <c r="J34" s="13"/>
      <c r="K34" s="46"/>
      <c r="L34" s="46"/>
      <c r="M34" s="46"/>
      <c r="N34" s="46"/>
      <c r="O34" s="46"/>
      <c r="P34" s="46"/>
      <c r="Q34" s="46"/>
      <c r="R34" s="46"/>
      <c r="S34" s="46">
        <f t="shared" si="5"/>
        <v>0</v>
      </c>
      <c r="T34" s="54">
        <f t="shared" si="6"/>
        <v>0</v>
      </c>
      <c r="U34" s="46">
        <f t="shared" si="7"/>
        <v>0</v>
      </c>
      <c r="V34" s="29"/>
      <c r="W34" s="13"/>
      <c r="X34" s="180"/>
      <c r="Y34" s="29"/>
      <c r="Z34" s="13"/>
      <c r="AA34" s="62"/>
      <c r="AB34" s="16"/>
      <c r="AC34" s="43"/>
      <c r="AD34" s="43"/>
      <c r="AE34" s="43"/>
      <c r="AF34" s="43"/>
      <c r="AG34" s="36"/>
      <c r="AI34" s="383">
        <f t="shared" si="0"/>
        <v>0</v>
      </c>
      <c r="AJ34" s="383">
        <f t="shared" si="1"/>
        <v>0</v>
      </c>
      <c r="AK34" s="383">
        <f t="shared" si="8"/>
        <v>0</v>
      </c>
      <c r="AL34" s="384">
        <f t="shared" si="2"/>
        <v>0</v>
      </c>
      <c r="AN34" s="385">
        <f t="shared" si="3"/>
        <v>0</v>
      </c>
      <c r="AO34" s="386">
        <f t="shared" si="4"/>
        <v>0</v>
      </c>
    </row>
    <row r="35" spans="1:41" ht="15" customHeight="1" x14ac:dyDescent="0.3">
      <c r="A35" s="42"/>
      <c r="B35" s="11">
        <v>27</v>
      </c>
      <c r="C35" s="188"/>
      <c r="D35" s="120"/>
      <c r="E35" s="120"/>
      <c r="F35" s="36"/>
      <c r="G35" s="13"/>
      <c r="H35" s="180"/>
      <c r="I35" s="13"/>
      <c r="J35" s="13"/>
      <c r="K35" s="46"/>
      <c r="L35" s="46"/>
      <c r="M35" s="46"/>
      <c r="N35" s="46"/>
      <c r="O35" s="46"/>
      <c r="P35" s="46"/>
      <c r="Q35" s="46"/>
      <c r="R35" s="46"/>
      <c r="S35" s="46">
        <f t="shared" si="5"/>
        <v>0</v>
      </c>
      <c r="T35" s="54">
        <f t="shared" si="6"/>
        <v>0</v>
      </c>
      <c r="U35" s="46">
        <f t="shared" si="7"/>
        <v>0</v>
      </c>
      <c r="V35" s="29"/>
      <c r="W35" s="13"/>
      <c r="X35" s="180"/>
      <c r="Y35" s="29"/>
      <c r="Z35" s="13"/>
      <c r="AA35" s="62"/>
      <c r="AB35" s="16"/>
      <c r="AC35" s="43"/>
      <c r="AD35" s="43"/>
      <c r="AE35" s="43"/>
      <c r="AF35" s="43"/>
      <c r="AG35" s="187"/>
      <c r="AI35" s="383">
        <f t="shared" si="0"/>
        <v>0</v>
      </c>
      <c r="AJ35" s="383">
        <f t="shared" si="1"/>
        <v>0</v>
      </c>
      <c r="AK35" s="383">
        <f t="shared" si="8"/>
        <v>0</v>
      </c>
      <c r="AL35" s="384">
        <f t="shared" si="2"/>
        <v>0</v>
      </c>
      <c r="AN35" s="385">
        <f t="shared" si="3"/>
        <v>0</v>
      </c>
      <c r="AO35" s="386">
        <f t="shared" si="4"/>
        <v>0</v>
      </c>
    </row>
    <row r="36" spans="1:41" ht="15" customHeight="1" x14ac:dyDescent="0.3">
      <c r="B36" s="11">
        <v>28</v>
      </c>
      <c r="C36" s="188"/>
      <c r="D36" s="120"/>
      <c r="E36" s="120"/>
      <c r="F36" s="36"/>
      <c r="G36" s="13"/>
      <c r="H36" s="62"/>
      <c r="I36" s="13"/>
      <c r="J36" s="13"/>
      <c r="K36" s="46"/>
      <c r="L36" s="46"/>
      <c r="M36" s="46"/>
      <c r="N36" s="46"/>
      <c r="O36" s="46"/>
      <c r="P36" s="46"/>
      <c r="Q36" s="46"/>
      <c r="R36" s="46"/>
      <c r="S36" s="46">
        <f t="shared" si="5"/>
        <v>0</v>
      </c>
      <c r="T36" s="54">
        <f t="shared" si="6"/>
        <v>0</v>
      </c>
      <c r="U36" s="46">
        <f t="shared" si="7"/>
        <v>0</v>
      </c>
      <c r="V36" s="29"/>
      <c r="W36" s="13"/>
      <c r="X36" s="180"/>
      <c r="Y36" s="29"/>
      <c r="Z36" s="13"/>
      <c r="AA36" s="62"/>
      <c r="AB36" s="16"/>
      <c r="AC36" s="43"/>
      <c r="AD36" s="43"/>
      <c r="AE36" s="43"/>
      <c r="AF36" s="43"/>
      <c r="AG36" s="36"/>
      <c r="AI36" s="383">
        <f t="shared" si="0"/>
        <v>0</v>
      </c>
      <c r="AJ36" s="383">
        <f t="shared" si="1"/>
        <v>0</v>
      </c>
      <c r="AK36" s="383">
        <f t="shared" si="8"/>
        <v>0</v>
      </c>
      <c r="AL36" s="384">
        <f t="shared" si="2"/>
        <v>0</v>
      </c>
      <c r="AN36" s="385">
        <f t="shared" si="3"/>
        <v>0</v>
      </c>
      <c r="AO36" s="386">
        <f t="shared" si="4"/>
        <v>0</v>
      </c>
    </row>
    <row r="37" spans="1:41" ht="15" customHeight="1" x14ac:dyDescent="0.3">
      <c r="B37" s="11">
        <v>29</v>
      </c>
      <c r="C37" s="188"/>
      <c r="D37" s="120"/>
      <c r="E37" s="120"/>
      <c r="F37" s="36"/>
      <c r="G37" s="13"/>
      <c r="H37" s="62"/>
      <c r="I37" s="13"/>
      <c r="J37" s="13"/>
      <c r="K37" s="46"/>
      <c r="L37" s="46"/>
      <c r="M37" s="46"/>
      <c r="N37" s="46"/>
      <c r="O37" s="46"/>
      <c r="P37" s="46"/>
      <c r="Q37" s="46"/>
      <c r="R37" s="46"/>
      <c r="S37" s="46">
        <f t="shared" si="5"/>
        <v>0</v>
      </c>
      <c r="T37" s="54">
        <f t="shared" si="6"/>
        <v>0</v>
      </c>
      <c r="U37" s="46">
        <f t="shared" si="7"/>
        <v>0</v>
      </c>
      <c r="V37" s="29"/>
      <c r="W37" s="13"/>
      <c r="X37" s="180"/>
      <c r="Y37" s="29"/>
      <c r="Z37" s="13"/>
      <c r="AA37" s="62"/>
      <c r="AB37" s="16"/>
      <c r="AC37" s="43"/>
      <c r="AD37" s="43"/>
      <c r="AE37" s="43"/>
      <c r="AF37" s="43"/>
      <c r="AG37" s="36"/>
      <c r="AI37" s="383">
        <f t="shared" si="0"/>
        <v>0</v>
      </c>
      <c r="AJ37" s="383">
        <f t="shared" si="1"/>
        <v>0</v>
      </c>
      <c r="AK37" s="383">
        <f>SUM(AI37:AJ37)</f>
        <v>0</v>
      </c>
      <c r="AL37" s="384">
        <f t="shared" si="2"/>
        <v>0</v>
      </c>
      <c r="AN37" s="385">
        <f t="shared" si="3"/>
        <v>0</v>
      </c>
      <c r="AO37" s="386">
        <f t="shared" si="4"/>
        <v>0</v>
      </c>
    </row>
    <row r="38" spans="1:41" ht="15" customHeight="1" x14ac:dyDescent="0.3">
      <c r="B38" s="11">
        <v>30</v>
      </c>
      <c r="C38" s="106"/>
      <c r="D38" s="120"/>
      <c r="E38" s="120"/>
      <c r="F38" s="36"/>
      <c r="G38" s="13"/>
      <c r="H38" s="180"/>
      <c r="I38" s="13"/>
      <c r="J38" s="13"/>
      <c r="K38" s="46"/>
      <c r="L38" s="46"/>
      <c r="M38" s="46"/>
      <c r="N38" s="46"/>
      <c r="O38" s="46"/>
      <c r="P38" s="46"/>
      <c r="Q38" s="46"/>
      <c r="R38" s="46"/>
      <c r="S38" s="46">
        <f t="shared" si="5"/>
        <v>0</v>
      </c>
      <c r="T38" s="54">
        <f t="shared" si="6"/>
        <v>0</v>
      </c>
      <c r="U38" s="46">
        <f t="shared" si="7"/>
        <v>0</v>
      </c>
      <c r="V38" s="13"/>
      <c r="W38" s="13"/>
      <c r="X38" s="180"/>
      <c r="Y38" s="13"/>
      <c r="Z38" s="13"/>
      <c r="AA38" s="180"/>
      <c r="AB38" s="186"/>
      <c r="AC38" s="43"/>
      <c r="AD38" s="43"/>
      <c r="AE38" s="43"/>
      <c r="AF38" s="43"/>
      <c r="AG38" s="36"/>
      <c r="AI38" s="383">
        <f t="shared" si="0"/>
        <v>0</v>
      </c>
      <c r="AJ38" s="383">
        <f t="shared" si="1"/>
        <v>0</v>
      </c>
      <c r="AK38" s="383">
        <f t="shared" si="8"/>
        <v>0</v>
      </c>
      <c r="AL38" s="384">
        <f t="shared" si="2"/>
        <v>0</v>
      </c>
      <c r="AN38" s="385">
        <f t="shared" si="3"/>
        <v>0</v>
      </c>
      <c r="AO38" s="386">
        <f t="shared" si="4"/>
        <v>0</v>
      </c>
    </row>
    <row r="39" spans="1:41" x14ac:dyDescent="0.3">
      <c r="B39" s="11"/>
      <c r="C39" s="64"/>
      <c r="D39" s="120"/>
      <c r="E39" s="120"/>
      <c r="F39" s="120"/>
      <c r="G39" s="13"/>
      <c r="H39" s="62"/>
      <c r="I39" s="13"/>
      <c r="J39" s="13"/>
      <c r="K39" s="46"/>
      <c r="L39" s="46"/>
      <c r="M39" s="46"/>
      <c r="N39" s="46"/>
      <c r="O39" s="46"/>
      <c r="P39" s="46"/>
      <c r="Q39" s="46"/>
      <c r="R39" s="46"/>
      <c r="S39" s="46">
        <f t="shared" si="5"/>
        <v>0</v>
      </c>
      <c r="T39" s="54">
        <f t="shared" si="6"/>
        <v>0</v>
      </c>
      <c r="U39" s="46">
        <f t="shared" si="7"/>
        <v>0</v>
      </c>
      <c r="V39" s="13"/>
      <c r="W39" s="13"/>
      <c r="X39" s="13"/>
      <c r="Y39" s="13"/>
      <c r="Z39" s="13"/>
      <c r="AA39" s="180"/>
      <c r="AB39" s="43"/>
      <c r="AC39" s="43"/>
      <c r="AD39" s="43"/>
      <c r="AE39" s="43"/>
      <c r="AF39" s="43"/>
      <c r="AG39" s="187"/>
      <c r="AI39" s="383"/>
      <c r="AJ39" s="383"/>
      <c r="AK39" s="383"/>
      <c r="AL39" s="384"/>
      <c r="AN39" s="385"/>
      <c r="AO39" s="386"/>
    </row>
    <row r="40" spans="1:41" x14ac:dyDescent="0.3">
      <c r="B40" s="60"/>
      <c r="C40" s="104"/>
      <c r="D40" s="192"/>
      <c r="E40" s="192"/>
      <c r="F40" s="22"/>
      <c r="G40" s="19"/>
      <c r="H40" s="82"/>
      <c r="I40" s="19"/>
      <c r="J40" s="19"/>
      <c r="K40" s="2">
        <f>SUBTOTAL(9,K9:K39)</f>
        <v>0</v>
      </c>
      <c r="L40" s="2"/>
      <c r="M40" s="2">
        <f>SUBTOTAL(9,M9:M39)</f>
        <v>0</v>
      </c>
      <c r="N40" s="2"/>
      <c r="O40" s="2">
        <f t="shared" ref="O40:U40" si="9">SUBTOTAL(9,O9:O39)</f>
        <v>0</v>
      </c>
      <c r="P40" s="2">
        <f t="shared" si="9"/>
        <v>0</v>
      </c>
      <c r="Q40" s="2">
        <f t="shared" si="9"/>
        <v>0</v>
      </c>
      <c r="R40" s="2">
        <f t="shared" si="9"/>
        <v>0</v>
      </c>
      <c r="S40" s="2">
        <f t="shared" si="9"/>
        <v>0</v>
      </c>
      <c r="T40" s="140">
        <f t="shared" si="9"/>
        <v>0</v>
      </c>
      <c r="U40" s="2">
        <f t="shared" si="9"/>
        <v>0</v>
      </c>
      <c r="V40" s="19"/>
      <c r="W40" s="19"/>
      <c r="X40" s="19"/>
      <c r="Y40" s="19"/>
      <c r="Z40" s="19"/>
      <c r="AA40" s="82"/>
      <c r="AB40" s="58"/>
      <c r="AC40" s="58"/>
      <c r="AD40" s="58"/>
      <c r="AE40" s="58"/>
      <c r="AF40" s="58"/>
      <c r="AG40" s="59"/>
      <c r="AI40" s="395"/>
      <c r="AJ40" s="395"/>
      <c r="AK40" s="395"/>
      <c r="AL40" s="384"/>
      <c r="AN40" s="385"/>
    </row>
    <row r="41" spans="1:41" x14ac:dyDescent="0.3">
      <c r="A41" s="52"/>
      <c r="D41" s="28"/>
      <c r="E41" s="28"/>
      <c r="F41" s="103"/>
      <c r="G41" s="103"/>
      <c r="I41" s="103"/>
      <c r="J41" s="103"/>
      <c r="K41" s="57"/>
      <c r="R41" s="47"/>
      <c r="S41" s="47"/>
      <c r="T41" s="47"/>
      <c r="U41" s="47"/>
      <c r="AA41" s="193"/>
      <c r="AB41" s="38"/>
      <c r="AC41" s="38"/>
      <c r="AD41" s="162"/>
      <c r="AE41" s="162"/>
      <c r="AF41" s="162"/>
    </row>
    <row r="43" spans="1:41" ht="15" thickBot="1" x14ac:dyDescent="0.35">
      <c r="C43" s="105"/>
      <c r="F43" s="42"/>
      <c r="G43" s="14"/>
      <c r="I43" s="14"/>
      <c r="J43" s="14"/>
      <c r="K43" s="24">
        <f>SUM(K9:K39)</f>
        <v>0</v>
      </c>
      <c r="L43" s="24">
        <f>SUM(L9:L39)</f>
        <v>0</v>
      </c>
      <c r="M43" s="24">
        <f>SUM(M9:M39)</f>
        <v>0</v>
      </c>
      <c r="N43" s="24"/>
      <c r="O43" s="24">
        <f t="shared" ref="O43:U43" si="10">SUM(O9:O39)</f>
        <v>0</v>
      </c>
      <c r="P43" s="24">
        <f t="shared" si="10"/>
        <v>0</v>
      </c>
      <c r="Q43" s="24">
        <f t="shared" si="10"/>
        <v>0</v>
      </c>
      <c r="R43" s="24">
        <f t="shared" si="10"/>
        <v>0</v>
      </c>
      <c r="S43" s="24">
        <f t="shared" si="10"/>
        <v>0</v>
      </c>
      <c r="T43" s="24">
        <f t="shared" si="10"/>
        <v>0</v>
      </c>
      <c r="U43" s="24">
        <f t="shared" si="10"/>
        <v>0</v>
      </c>
      <c r="V43" s="14"/>
      <c r="W43" s="14"/>
      <c r="X43" s="14"/>
      <c r="Y43" s="14"/>
      <c r="Z43" s="14"/>
      <c r="AI43" s="388">
        <f>SUM(AI9:AI39)</f>
        <v>0</v>
      </c>
      <c r="AJ43" s="388">
        <f>SUM(AJ9:AJ39)</f>
        <v>0</v>
      </c>
      <c r="AK43" s="388">
        <f>SUM(AK9:AK39)</f>
        <v>0</v>
      </c>
      <c r="AN43" s="396">
        <f>SUM(AN9:AN39)</f>
        <v>0</v>
      </c>
    </row>
    <row r="44" spans="1:41" ht="15" thickTop="1" x14ac:dyDescent="0.3">
      <c r="D44" s="28"/>
      <c r="E44" s="28"/>
      <c r="AA44" s="194"/>
      <c r="AB44" s="3"/>
      <c r="AC44" s="3"/>
      <c r="AD44" s="14"/>
      <c r="AE44" s="14"/>
      <c r="AF44" s="14"/>
    </row>
    <row r="45" spans="1:41" x14ac:dyDescent="0.3">
      <c r="C45" s="174" t="s">
        <v>124</v>
      </c>
      <c r="D45" s="174" t="s">
        <v>200</v>
      </c>
      <c r="E45" s="174"/>
      <c r="F45" s="174" t="s">
        <v>201</v>
      </c>
      <c r="G45" s="174" t="s">
        <v>202</v>
      </c>
      <c r="H45" s="174" t="s">
        <v>194</v>
      </c>
      <c r="I45" s="174" t="s">
        <v>13</v>
      </c>
    </row>
    <row r="46" spans="1:41" x14ac:dyDescent="0.3">
      <c r="D46" s="195">
        <f t="shared" ref="D46:D67" si="11">SUMIF($C$10:$C$39,C46,$K$9:$K$39)+SUMIF($C$10:$C$39,C46,$M$9:$M$39)</f>
        <v>0</v>
      </c>
      <c r="E46" s="195"/>
      <c r="F46" s="195">
        <f t="shared" ref="F46:F67" si="12">SUMIF($C$10:$C$39,C46,$O$9:$O$39)+SUMIF($C$10:$C$39,C46,$P$9:$P$39)</f>
        <v>0</v>
      </c>
      <c r="G46" s="195">
        <f t="shared" ref="G46:G67" si="13">SUMIF($C$10:$C$39,C46,$R$9:$R$39)</f>
        <v>0</v>
      </c>
      <c r="H46" s="195">
        <f t="shared" ref="H46:H67" si="14">SUMIF($C$10:$C$39,C46,$Q$9:$Q$39)</f>
        <v>0</v>
      </c>
      <c r="I46" s="196">
        <f>SUM(D46:H46)</f>
        <v>0</v>
      </c>
      <c r="K46" s="91"/>
      <c r="L46" s="91"/>
    </row>
    <row r="47" spans="1:41" x14ac:dyDescent="0.3">
      <c r="D47" s="195">
        <f t="shared" si="11"/>
        <v>0</v>
      </c>
      <c r="E47" s="195"/>
      <c r="F47" s="195">
        <f t="shared" si="12"/>
        <v>0</v>
      </c>
      <c r="G47" s="195">
        <f t="shared" si="13"/>
        <v>0</v>
      </c>
      <c r="H47" s="195">
        <f t="shared" si="14"/>
        <v>0</v>
      </c>
      <c r="I47" s="196">
        <f t="shared" ref="I47:I67" si="15">SUM(D47:H47)</f>
        <v>0</v>
      </c>
      <c r="K47" s="8"/>
      <c r="L47" s="8"/>
      <c r="M47" s="425" t="s">
        <v>127</v>
      </c>
      <c r="N47" s="426"/>
      <c r="O47" s="426"/>
      <c r="P47" s="427"/>
      <c r="Q47" s="8"/>
      <c r="R47" s="47"/>
      <c r="S47" s="430" t="s">
        <v>128</v>
      </c>
      <c r="T47" s="431"/>
      <c r="U47" s="432"/>
      <c r="V47" s="197"/>
      <c r="W47" s="198"/>
      <c r="X47" s="198"/>
      <c r="AA47" s="8"/>
      <c r="AB47" s="63"/>
      <c r="AD47"/>
    </row>
    <row r="48" spans="1:41" x14ac:dyDescent="0.3">
      <c r="D48" s="195">
        <f t="shared" si="11"/>
        <v>0</v>
      </c>
      <c r="E48" s="195"/>
      <c r="F48" s="195">
        <f t="shared" si="12"/>
        <v>0</v>
      </c>
      <c r="G48" s="195">
        <f t="shared" si="13"/>
        <v>0</v>
      </c>
      <c r="H48" s="195">
        <f t="shared" si="14"/>
        <v>0</v>
      </c>
      <c r="I48" s="199">
        <f t="shared" si="15"/>
        <v>0</v>
      </c>
      <c r="K48" s="8"/>
      <c r="L48" s="8"/>
      <c r="M48" s="16" t="s">
        <v>129</v>
      </c>
      <c r="N48" s="92" t="s">
        <v>130</v>
      </c>
      <c r="O48" s="100" t="s">
        <v>131</v>
      </c>
      <c r="P48" s="200" t="s">
        <v>203</v>
      </c>
      <c r="Q48" s="47"/>
      <c r="R48" s="91"/>
      <c r="S48" s="16" t="s">
        <v>129</v>
      </c>
      <c r="T48" s="92" t="s">
        <v>130</v>
      </c>
      <c r="U48" s="201" t="s">
        <v>131</v>
      </c>
      <c r="V48" s="202"/>
      <c r="AA48" s="8"/>
      <c r="AB48" s="63"/>
      <c r="AD48"/>
    </row>
    <row r="49" spans="4:33" x14ac:dyDescent="0.3">
      <c r="D49" s="195">
        <f t="shared" si="11"/>
        <v>0</v>
      </c>
      <c r="E49" s="195"/>
      <c r="F49" s="195">
        <f t="shared" si="12"/>
        <v>0</v>
      </c>
      <c r="G49" s="195">
        <f t="shared" si="13"/>
        <v>0</v>
      </c>
      <c r="H49" s="195">
        <f t="shared" si="14"/>
        <v>0</v>
      </c>
      <c r="I49" s="196">
        <f t="shared" si="15"/>
        <v>0</v>
      </c>
      <c r="K49" s="8"/>
      <c r="L49" s="8"/>
      <c r="M49" s="203">
        <f>SUMIF($AB$9:$AB$38,M48,$AK$9:$AK$38)</f>
        <v>0</v>
      </c>
      <c r="N49" s="203">
        <f>SUMIF($AB$9:$AB$38,N48,$AK$9:$AK$38)</f>
        <v>0</v>
      </c>
      <c r="O49" s="203">
        <f>SUMIF($AB$9:$AB$38,O48,$AK$9:$AK$38)</f>
        <v>0</v>
      </c>
      <c r="P49" s="203">
        <f>SUMIF($AB$9:$AB$38,P48,$AK$9:$AK$38)</f>
        <v>0</v>
      </c>
      <c r="Q49" s="95">
        <f>SUM(M49:P49)</f>
        <v>0</v>
      </c>
      <c r="S49" s="203">
        <f>SUMIF($AB$9:$AB$38,S48,$AN$9:$AN$38)</f>
        <v>0</v>
      </c>
      <c r="T49" s="203">
        <f>SUMIF($AB$9:$AB$38,T48,$AN$9:$AN$38)</f>
        <v>0</v>
      </c>
      <c r="U49" s="203">
        <f>SUMIF($AB$9:$AB$38,U48,$AN$9:$AN$38)</f>
        <v>0</v>
      </c>
      <c r="V49" s="118">
        <f>SUM(S49:U49)</f>
        <v>0</v>
      </c>
      <c r="W49" s="118"/>
      <c r="X49" s="118"/>
      <c r="AA49" s="8"/>
      <c r="AB49" s="63"/>
      <c r="AD49"/>
    </row>
    <row r="50" spans="4:33" x14ac:dyDescent="0.3">
      <c r="D50" s="195">
        <f t="shared" si="11"/>
        <v>0</v>
      </c>
      <c r="E50" s="195"/>
      <c r="F50" s="195">
        <f t="shared" si="12"/>
        <v>0</v>
      </c>
      <c r="G50" s="195">
        <f t="shared" si="13"/>
        <v>0</v>
      </c>
      <c r="H50" s="195">
        <f t="shared" si="14"/>
        <v>0</v>
      </c>
      <c r="I50" s="196">
        <f t="shared" si="15"/>
        <v>0</v>
      </c>
      <c r="K50" s="8"/>
      <c r="L50" s="8"/>
      <c r="M50" s="8"/>
      <c r="N50"/>
      <c r="O50"/>
      <c r="Q50" s="97">
        <f>Q49-AK43</f>
        <v>0</v>
      </c>
      <c r="S50" s="32"/>
      <c r="T50" s="32"/>
      <c r="U50" s="98"/>
      <c r="V50" s="97">
        <f>V49-AN43</f>
        <v>0</v>
      </c>
      <c r="W50" s="97"/>
      <c r="X50" s="97"/>
      <c r="AA50" s="8"/>
      <c r="AB50" s="63"/>
      <c r="AD50"/>
    </row>
    <row r="51" spans="4:33" x14ac:dyDescent="0.3">
      <c r="D51" s="195">
        <f t="shared" si="11"/>
        <v>0</v>
      </c>
      <c r="E51" s="195"/>
      <c r="F51" s="195">
        <f t="shared" si="12"/>
        <v>0</v>
      </c>
      <c r="G51" s="195">
        <f t="shared" si="13"/>
        <v>0</v>
      </c>
      <c r="H51" s="195">
        <f t="shared" si="14"/>
        <v>0</v>
      </c>
      <c r="I51" s="196">
        <f t="shared" si="15"/>
        <v>0</v>
      </c>
      <c r="K51" s="47"/>
      <c r="L51" s="47"/>
      <c r="M51" s="47"/>
      <c r="N51" s="47"/>
      <c r="O51" s="47"/>
      <c r="P51" s="47"/>
      <c r="Q51" s="47"/>
      <c r="R51" s="68"/>
      <c r="T51"/>
      <c r="U51"/>
      <c r="V51"/>
      <c r="W51"/>
      <c r="X51"/>
      <c r="Y51"/>
      <c r="AA51" s="8"/>
      <c r="AB51" s="63"/>
      <c r="AD51"/>
    </row>
    <row r="52" spans="4:33" x14ac:dyDescent="0.3">
      <c r="D52" s="195">
        <f t="shared" si="11"/>
        <v>0</v>
      </c>
      <c r="E52" s="195"/>
      <c r="F52" s="195">
        <f t="shared" si="12"/>
        <v>0</v>
      </c>
      <c r="G52" s="195">
        <f t="shared" si="13"/>
        <v>0</v>
      </c>
      <c r="H52" s="195">
        <f t="shared" si="14"/>
        <v>0</v>
      </c>
      <c r="I52" s="199">
        <f t="shared" si="15"/>
        <v>0</v>
      </c>
      <c r="J52" s="123"/>
      <c r="K52" s="8"/>
      <c r="L52" s="8"/>
      <c r="M52" s="27"/>
      <c r="N52" s="27"/>
      <c r="O52" s="47"/>
      <c r="P52" s="47" t="s">
        <v>132</v>
      </c>
      <c r="Q52" s="47">
        <f>O49</f>
        <v>0</v>
      </c>
      <c r="T52" s="47"/>
      <c r="U52" s="47"/>
      <c r="V52" s="47"/>
      <c r="W52" s="47"/>
      <c r="X52" s="47"/>
      <c r="Y52" s="68"/>
      <c r="AA52" s="8"/>
      <c r="AB52" s="63"/>
      <c r="AD52"/>
    </row>
    <row r="53" spans="4:33" ht="15" thickBot="1" x14ac:dyDescent="0.35">
      <c r="D53" s="195">
        <f t="shared" si="11"/>
        <v>0</v>
      </c>
      <c r="E53" s="195"/>
      <c r="F53" s="195">
        <f t="shared" si="12"/>
        <v>0</v>
      </c>
      <c r="G53" s="195">
        <f t="shared" si="13"/>
        <v>0</v>
      </c>
      <c r="H53" s="195">
        <f t="shared" si="14"/>
        <v>0</v>
      </c>
      <c r="I53" s="199">
        <f t="shared" si="15"/>
        <v>0</v>
      </c>
      <c r="J53" s="123"/>
      <c r="K53" s="8"/>
      <c r="L53" s="8"/>
      <c r="M53" s="27"/>
      <c r="N53" s="27"/>
      <c r="O53" s="47"/>
      <c r="P53" s="99" t="s">
        <v>133</v>
      </c>
      <c r="Q53" s="99">
        <f>M49+N49+S49+T49+U49</f>
        <v>0</v>
      </c>
      <c r="T53" s="47"/>
      <c r="U53" s="47"/>
      <c r="V53" s="47"/>
      <c r="W53" s="47"/>
      <c r="X53" s="47"/>
      <c r="Y53" s="68"/>
      <c r="AA53" s="8"/>
      <c r="AB53" s="63"/>
      <c r="AD53"/>
    </row>
    <row r="54" spans="4:33" ht="15" thickTop="1" x14ac:dyDescent="0.3">
      <c r="D54" s="195">
        <f t="shared" si="11"/>
        <v>0</v>
      </c>
      <c r="E54" s="195"/>
      <c r="F54" s="195">
        <f t="shared" si="12"/>
        <v>0</v>
      </c>
      <c r="G54" s="195">
        <f t="shared" si="13"/>
        <v>0</v>
      </c>
      <c r="H54" s="195">
        <f t="shared" si="14"/>
        <v>0</v>
      </c>
      <c r="I54" s="199">
        <f t="shared" si="15"/>
        <v>0</v>
      </c>
      <c r="J54" s="123"/>
      <c r="K54" s="8"/>
      <c r="L54" s="8"/>
      <c r="M54" s="27"/>
      <c r="N54" s="27"/>
      <c r="O54" s="47"/>
      <c r="P54" s="47" t="s">
        <v>134</v>
      </c>
      <c r="Q54" s="47">
        <f>SUM(Q52:Q53)</f>
        <v>0</v>
      </c>
      <c r="T54" s="47"/>
      <c r="U54" s="47"/>
      <c r="V54" s="47"/>
      <c r="W54" s="47"/>
      <c r="X54" s="47"/>
      <c r="Y54" s="68"/>
      <c r="AA54" s="8"/>
      <c r="AB54" s="63"/>
      <c r="AD54"/>
    </row>
    <row r="55" spans="4:33" x14ac:dyDescent="0.3">
      <c r="D55" s="195">
        <f t="shared" si="11"/>
        <v>0</v>
      </c>
      <c r="E55" s="195"/>
      <c r="F55" s="195">
        <f t="shared" si="12"/>
        <v>0</v>
      </c>
      <c r="G55" s="195">
        <f t="shared" si="13"/>
        <v>0</v>
      </c>
      <c r="H55" s="195">
        <f t="shared" si="14"/>
        <v>0</v>
      </c>
      <c r="I55" s="199">
        <f t="shared" si="15"/>
        <v>0</v>
      </c>
      <c r="V55" s="42"/>
      <c r="W55" s="42"/>
      <c r="X55" s="42"/>
      <c r="AA55" s="8"/>
      <c r="AB55" s="63"/>
      <c r="AD55"/>
    </row>
    <row r="56" spans="4:33" x14ac:dyDescent="0.3">
      <c r="D56" s="195">
        <f t="shared" si="11"/>
        <v>0</v>
      </c>
      <c r="E56" s="195"/>
      <c r="F56" s="195">
        <f t="shared" si="12"/>
        <v>0</v>
      </c>
      <c r="G56" s="195">
        <f t="shared" si="13"/>
        <v>0</v>
      </c>
      <c r="H56" s="195">
        <f t="shared" si="14"/>
        <v>0</v>
      </c>
      <c r="I56" s="199">
        <f t="shared" si="15"/>
        <v>0</v>
      </c>
      <c r="J56" s="146"/>
      <c r="V56" s="42"/>
      <c r="W56" s="42"/>
      <c r="X56" s="42"/>
      <c r="Y56" s="146"/>
      <c r="Z56" s="146"/>
      <c r="AA56" s="146"/>
      <c r="AB56" s="63"/>
      <c r="AD56"/>
      <c r="AG56" s="204"/>
    </row>
    <row r="57" spans="4:33" x14ac:dyDescent="0.3">
      <c r="D57" s="195">
        <f t="shared" si="11"/>
        <v>0</v>
      </c>
      <c r="E57" s="195"/>
      <c r="F57" s="195">
        <f t="shared" si="12"/>
        <v>0</v>
      </c>
      <c r="G57" s="195">
        <f t="shared" si="13"/>
        <v>0</v>
      </c>
      <c r="H57" s="195">
        <f t="shared" si="14"/>
        <v>0</v>
      </c>
      <c r="I57" s="199">
        <f t="shared" si="15"/>
        <v>0</v>
      </c>
      <c r="J57" s="205"/>
      <c r="V57" s="42"/>
      <c r="W57" s="42"/>
      <c r="X57" s="42"/>
      <c r="Y57" s="146"/>
      <c r="Z57" s="146"/>
      <c r="AA57" s="146"/>
      <c r="AB57" s="63"/>
      <c r="AD57"/>
      <c r="AG57" s="32"/>
    </row>
    <row r="58" spans="4:33" x14ac:dyDescent="0.3">
      <c r="D58" s="195">
        <f t="shared" si="11"/>
        <v>0</v>
      </c>
      <c r="E58" s="195"/>
      <c r="F58" s="195">
        <f t="shared" si="12"/>
        <v>0</v>
      </c>
      <c r="G58" s="195">
        <f t="shared" si="13"/>
        <v>0</v>
      </c>
      <c r="H58" s="195">
        <f t="shared" si="14"/>
        <v>0</v>
      </c>
      <c r="I58" s="199">
        <f t="shared" si="15"/>
        <v>0</v>
      </c>
      <c r="J58" s="146"/>
      <c r="V58" s="42"/>
      <c r="W58" s="42"/>
      <c r="X58" s="42"/>
      <c r="Y58" s="146"/>
      <c r="Z58" s="146"/>
      <c r="AA58" s="146"/>
      <c r="AB58" s="63"/>
      <c r="AD58"/>
      <c r="AG58" s="204"/>
    </row>
    <row r="59" spans="4:33" x14ac:dyDescent="0.3">
      <c r="D59" s="195">
        <f t="shared" si="11"/>
        <v>0</v>
      </c>
      <c r="E59" s="195"/>
      <c r="F59" s="195">
        <f t="shared" si="12"/>
        <v>0</v>
      </c>
      <c r="G59" s="195">
        <f t="shared" si="13"/>
        <v>0</v>
      </c>
      <c r="H59" s="195">
        <f t="shared" si="14"/>
        <v>0</v>
      </c>
      <c r="I59" s="196">
        <f t="shared" si="15"/>
        <v>0</v>
      </c>
      <c r="J59" s="146"/>
      <c r="V59" s="146"/>
      <c r="W59" s="146"/>
      <c r="X59" s="146"/>
      <c r="Y59" s="146"/>
      <c r="Z59" s="146"/>
    </row>
    <row r="60" spans="4:33" x14ac:dyDescent="0.3">
      <c r="D60" s="195">
        <f t="shared" si="11"/>
        <v>0</v>
      </c>
      <c r="E60" s="195"/>
      <c r="F60" s="195">
        <f t="shared" si="12"/>
        <v>0</v>
      </c>
      <c r="G60" s="195">
        <f t="shared" si="13"/>
        <v>0</v>
      </c>
      <c r="H60" s="195">
        <f t="shared" si="14"/>
        <v>0</v>
      </c>
      <c r="I60" s="196">
        <f t="shared" si="15"/>
        <v>0</v>
      </c>
      <c r="J60" s="146"/>
      <c r="V60" s="146"/>
      <c r="W60" s="146"/>
      <c r="X60" s="146"/>
      <c r="Y60" s="146"/>
      <c r="Z60" s="146"/>
      <c r="AA60" s="206"/>
      <c r="AB60" s="207"/>
      <c r="AC60" s="207"/>
      <c r="AD60" s="207"/>
      <c r="AE60" s="207"/>
      <c r="AF60" s="207"/>
      <c r="AG60" s="32"/>
    </row>
    <row r="61" spans="4:33" x14ac:dyDescent="0.3">
      <c r="D61" s="195">
        <f t="shared" si="11"/>
        <v>0</v>
      </c>
      <c r="E61" s="195"/>
      <c r="F61" s="195">
        <f t="shared" si="12"/>
        <v>0</v>
      </c>
      <c r="G61" s="195">
        <f t="shared" si="13"/>
        <v>0</v>
      </c>
      <c r="H61" s="195">
        <f t="shared" si="14"/>
        <v>0</v>
      </c>
      <c r="I61" s="196">
        <f t="shared" si="15"/>
        <v>0</v>
      </c>
      <c r="J61" s="146"/>
      <c r="V61" s="146"/>
      <c r="W61" s="146"/>
      <c r="X61" s="146"/>
      <c r="Y61" s="146"/>
      <c r="Z61" s="146"/>
      <c r="AG61" s="32"/>
    </row>
    <row r="62" spans="4:33" x14ac:dyDescent="0.3">
      <c r="D62" s="195">
        <f t="shared" si="11"/>
        <v>0</v>
      </c>
      <c r="E62" s="195"/>
      <c r="F62" s="195">
        <f t="shared" si="12"/>
        <v>0</v>
      </c>
      <c r="G62" s="195">
        <f t="shared" si="13"/>
        <v>0</v>
      </c>
      <c r="H62" s="195">
        <f t="shared" si="14"/>
        <v>0</v>
      </c>
      <c r="I62" s="196">
        <f t="shared" si="15"/>
        <v>0</v>
      </c>
      <c r="J62" s="146"/>
      <c r="V62" s="146"/>
      <c r="W62" s="146"/>
      <c r="X62" s="146"/>
      <c r="Y62" s="146"/>
      <c r="Z62" s="146"/>
      <c r="AG62" s="204"/>
    </row>
    <row r="63" spans="4:33" x14ac:dyDescent="0.3">
      <c r="D63" s="195">
        <f t="shared" si="11"/>
        <v>0</v>
      </c>
      <c r="E63" s="195"/>
      <c r="F63" s="195">
        <f t="shared" si="12"/>
        <v>0</v>
      </c>
      <c r="G63" s="195">
        <f t="shared" si="13"/>
        <v>0</v>
      </c>
      <c r="H63" s="195">
        <f t="shared" si="14"/>
        <v>0</v>
      </c>
      <c r="I63" s="196">
        <f t="shared" si="15"/>
        <v>0</v>
      </c>
      <c r="J63" s="205"/>
      <c r="V63" s="146"/>
      <c r="W63" s="146"/>
      <c r="X63" s="146"/>
      <c r="Y63" s="146"/>
      <c r="Z63" s="146"/>
      <c r="AG63" s="32"/>
    </row>
    <row r="64" spans="4:33" x14ac:dyDescent="0.3">
      <c r="D64" s="195">
        <f t="shared" si="11"/>
        <v>0</v>
      </c>
      <c r="E64" s="195"/>
      <c r="F64" s="195">
        <f t="shared" si="12"/>
        <v>0</v>
      </c>
      <c r="G64" s="195">
        <f t="shared" si="13"/>
        <v>0</v>
      </c>
      <c r="H64" s="195">
        <f t="shared" si="14"/>
        <v>0</v>
      </c>
      <c r="I64" s="196">
        <f t="shared" si="15"/>
        <v>0</v>
      </c>
    </row>
    <row r="65" spans="3:9" x14ac:dyDescent="0.3">
      <c r="D65" s="195">
        <f t="shared" si="11"/>
        <v>0</v>
      </c>
      <c r="E65" s="195"/>
      <c r="F65" s="195">
        <f t="shared" si="12"/>
        <v>0</v>
      </c>
      <c r="G65" s="195">
        <f t="shared" si="13"/>
        <v>0</v>
      </c>
      <c r="H65" s="195">
        <f t="shared" si="14"/>
        <v>0</v>
      </c>
      <c r="I65" s="196">
        <f t="shared" si="15"/>
        <v>0</v>
      </c>
    </row>
    <row r="66" spans="3:9" x14ac:dyDescent="0.3">
      <c r="D66" s="195">
        <f t="shared" si="11"/>
        <v>0</v>
      </c>
      <c r="E66" s="195"/>
      <c r="F66" s="195">
        <f t="shared" si="12"/>
        <v>0</v>
      </c>
      <c r="G66" s="195">
        <f t="shared" si="13"/>
        <v>0</v>
      </c>
      <c r="H66" s="195">
        <f t="shared" si="14"/>
        <v>0</v>
      </c>
      <c r="I66" s="196">
        <f t="shared" si="15"/>
        <v>0</v>
      </c>
    </row>
    <row r="67" spans="3:9" ht="15" thickBot="1" x14ac:dyDescent="0.35">
      <c r="C67" s="208"/>
      <c r="D67" s="209">
        <f t="shared" si="11"/>
        <v>0</v>
      </c>
      <c r="E67" s="209"/>
      <c r="F67" s="209">
        <f t="shared" si="12"/>
        <v>0</v>
      </c>
      <c r="G67" s="209">
        <f t="shared" si="13"/>
        <v>0</v>
      </c>
      <c r="H67" s="209">
        <f t="shared" si="14"/>
        <v>0</v>
      </c>
      <c r="I67" s="210">
        <f t="shared" si="15"/>
        <v>0</v>
      </c>
    </row>
    <row r="68" spans="3:9" ht="15" thickTop="1" x14ac:dyDescent="0.3">
      <c r="C68" s="8" t="s">
        <v>13</v>
      </c>
      <c r="D68" s="211">
        <f>SUBTOTAL(9,D46:D67)</f>
        <v>0</v>
      </c>
      <c r="E68" s="211"/>
      <c r="F68" s="211">
        <f>SUBTOTAL(9,F46:F67)</f>
        <v>0</v>
      </c>
      <c r="G68" s="211">
        <f t="shared" ref="G68:I68" si="16">SUBTOTAL(9,G46:G67)</f>
        <v>0</v>
      </c>
      <c r="H68" s="211">
        <f t="shared" si="16"/>
        <v>0</v>
      </c>
      <c r="I68" s="212">
        <f t="shared" si="16"/>
        <v>0</v>
      </c>
    </row>
    <row r="69" spans="3:9" x14ac:dyDescent="0.3">
      <c r="C69"/>
    </row>
    <row r="70" spans="3:9" x14ac:dyDescent="0.3">
      <c r="C70"/>
      <c r="I70" s="146">
        <f>I68-I52-I54-I55-I56-I58</f>
        <v>0</v>
      </c>
    </row>
    <row r="71" spans="3:9" x14ac:dyDescent="0.3">
      <c r="C71"/>
    </row>
    <row r="72" spans="3:9" x14ac:dyDescent="0.3">
      <c r="C72"/>
    </row>
    <row r="73" spans="3:9" x14ac:dyDescent="0.3">
      <c r="C73"/>
    </row>
    <row r="74" spans="3:9" x14ac:dyDescent="0.3">
      <c r="C74"/>
    </row>
    <row r="75" spans="3:9" x14ac:dyDescent="0.3">
      <c r="C75"/>
    </row>
    <row r="76" spans="3:9" x14ac:dyDescent="0.3">
      <c r="C76"/>
    </row>
    <row r="77" spans="3:9" x14ac:dyDescent="0.3">
      <c r="C77"/>
    </row>
    <row r="78" spans="3:9" x14ac:dyDescent="0.3">
      <c r="C78"/>
    </row>
    <row r="79" spans="3:9" x14ac:dyDescent="0.3">
      <c r="C79"/>
    </row>
    <row r="80" spans="3:9" x14ac:dyDescent="0.3">
      <c r="C80"/>
    </row>
    <row r="81" spans="3:3" x14ac:dyDescent="0.3">
      <c r="C81"/>
    </row>
    <row r="82" spans="3:3" x14ac:dyDescent="0.3">
      <c r="C82"/>
    </row>
    <row r="83" spans="3:3" x14ac:dyDescent="0.3">
      <c r="C83"/>
    </row>
    <row r="84" spans="3:3" x14ac:dyDescent="0.3">
      <c r="C84"/>
    </row>
    <row r="85" spans="3:3" x14ac:dyDescent="0.3">
      <c r="C85"/>
    </row>
    <row r="86" spans="3:3" x14ac:dyDescent="0.3">
      <c r="C86"/>
    </row>
    <row r="87" spans="3:3" x14ac:dyDescent="0.3">
      <c r="C87"/>
    </row>
    <row r="88" spans="3:3" x14ac:dyDescent="0.3">
      <c r="C88"/>
    </row>
    <row r="89" spans="3:3" x14ac:dyDescent="0.3">
      <c r="C89"/>
    </row>
    <row r="90" spans="3:3" x14ac:dyDescent="0.3">
      <c r="C90"/>
    </row>
    <row r="91" spans="3:3" x14ac:dyDescent="0.3">
      <c r="C91"/>
    </row>
    <row r="92" spans="3:3" x14ac:dyDescent="0.3">
      <c r="C92"/>
    </row>
    <row r="93" spans="3:3" x14ac:dyDescent="0.3">
      <c r="C93"/>
    </row>
    <row r="94" spans="3:3" x14ac:dyDescent="0.3">
      <c r="C94"/>
    </row>
    <row r="95" spans="3:3" x14ac:dyDescent="0.3">
      <c r="C95"/>
    </row>
    <row r="96" spans="3:3" x14ac:dyDescent="0.3">
      <c r="C96"/>
    </row>
    <row r="97" spans="3:3" x14ac:dyDescent="0.3">
      <c r="C97"/>
    </row>
    <row r="98" spans="3:3" x14ac:dyDescent="0.3">
      <c r="C98"/>
    </row>
    <row r="99" spans="3:3" x14ac:dyDescent="0.3">
      <c r="C99"/>
    </row>
    <row r="100" spans="3:3" x14ac:dyDescent="0.3">
      <c r="C100"/>
    </row>
    <row r="101" spans="3:3" x14ac:dyDescent="0.3">
      <c r="C101"/>
    </row>
    <row r="102" spans="3:3" x14ac:dyDescent="0.3">
      <c r="C102"/>
    </row>
    <row r="103" spans="3:3" x14ac:dyDescent="0.3">
      <c r="C103"/>
    </row>
    <row r="104" spans="3:3" x14ac:dyDescent="0.3">
      <c r="C104"/>
    </row>
    <row r="105" spans="3:3" x14ac:dyDescent="0.3">
      <c r="C105"/>
    </row>
    <row r="106" spans="3:3" x14ac:dyDescent="0.3">
      <c r="C106"/>
    </row>
    <row r="107" spans="3:3" x14ac:dyDescent="0.3">
      <c r="C107"/>
    </row>
    <row r="108" spans="3:3" x14ac:dyDescent="0.3">
      <c r="C108"/>
    </row>
    <row r="109" spans="3:3" x14ac:dyDescent="0.3">
      <c r="C109"/>
    </row>
    <row r="110" spans="3:3" x14ac:dyDescent="0.3">
      <c r="C110"/>
    </row>
    <row r="111" spans="3:3" x14ac:dyDescent="0.3">
      <c r="C111"/>
    </row>
    <row r="112" spans="3:3" x14ac:dyDescent="0.3">
      <c r="C112"/>
    </row>
    <row r="113" spans="3:3" x14ac:dyDescent="0.3">
      <c r="C113"/>
    </row>
    <row r="114" spans="3:3" x14ac:dyDescent="0.3">
      <c r="C114"/>
    </row>
    <row r="115" spans="3:3" x14ac:dyDescent="0.3">
      <c r="C115"/>
    </row>
    <row r="116" spans="3:3" x14ac:dyDescent="0.3">
      <c r="C116"/>
    </row>
    <row r="117" spans="3:3" x14ac:dyDescent="0.3">
      <c r="C117"/>
    </row>
    <row r="118" spans="3:3" x14ac:dyDescent="0.3">
      <c r="C118"/>
    </row>
    <row r="119" spans="3:3" x14ac:dyDescent="0.3">
      <c r="C119"/>
    </row>
    <row r="120" spans="3:3" x14ac:dyDescent="0.3">
      <c r="C120"/>
    </row>
    <row r="121" spans="3:3" x14ac:dyDescent="0.3">
      <c r="C121"/>
    </row>
    <row r="122" spans="3:3" x14ac:dyDescent="0.3">
      <c r="C122"/>
    </row>
    <row r="123" spans="3:3" x14ac:dyDescent="0.3">
      <c r="C123"/>
    </row>
    <row r="124" spans="3:3" x14ac:dyDescent="0.3">
      <c r="C124"/>
    </row>
    <row r="125" spans="3:3" x14ac:dyDescent="0.3">
      <c r="C125"/>
    </row>
    <row r="126" spans="3:3" x14ac:dyDescent="0.3">
      <c r="C126"/>
    </row>
    <row r="127" spans="3:3" x14ac:dyDescent="0.3">
      <c r="C127"/>
    </row>
    <row r="128" spans="3:3" x14ac:dyDescent="0.3">
      <c r="C128"/>
    </row>
    <row r="129" spans="3:3" x14ac:dyDescent="0.3">
      <c r="C129"/>
    </row>
    <row r="130" spans="3:3" x14ac:dyDescent="0.3">
      <c r="C130"/>
    </row>
    <row r="131" spans="3:3" x14ac:dyDescent="0.3">
      <c r="C131"/>
    </row>
    <row r="132" spans="3:3" x14ac:dyDescent="0.3">
      <c r="C132"/>
    </row>
    <row r="133" spans="3:3" x14ac:dyDescent="0.3">
      <c r="C133"/>
    </row>
    <row r="134" spans="3:3" x14ac:dyDescent="0.3">
      <c r="C134"/>
    </row>
    <row r="135" spans="3:3" x14ac:dyDescent="0.3">
      <c r="C135"/>
    </row>
    <row r="136" spans="3:3" x14ac:dyDescent="0.3">
      <c r="C136"/>
    </row>
    <row r="137" spans="3:3" x14ac:dyDescent="0.3">
      <c r="C137"/>
    </row>
    <row r="138" spans="3:3" x14ac:dyDescent="0.3">
      <c r="C138"/>
    </row>
    <row r="139" spans="3:3" x14ac:dyDescent="0.3">
      <c r="C139"/>
    </row>
    <row r="140" spans="3:3" x14ac:dyDescent="0.3">
      <c r="C140"/>
    </row>
    <row r="141" spans="3:3" x14ac:dyDescent="0.3">
      <c r="C141"/>
    </row>
    <row r="142" spans="3:3" x14ac:dyDescent="0.3">
      <c r="C142"/>
    </row>
    <row r="143" spans="3:3" x14ac:dyDescent="0.3">
      <c r="C143"/>
    </row>
    <row r="144" spans="3:3" x14ac:dyDescent="0.3">
      <c r="C144"/>
    </row>
    <row r="145" spans="3:3" x14ac:dyDescent="0.3">
      <c r="C145"/>
    </row>
    <row r="146" spans="3:3" x14ac:dyDescent="0.3">
      <c r="C146"/>
    </row>
    <row r="147" spans="3:3" x14ac:dyDescent="0.3">
      <c r="C147"/>
    </row>
    <row r="148" spans="3:3" x14ac:dyDescent="0.3">
      <c r="C148"/>
    </row>
    <row r="149" spans="3:3" x14ac:dyDescent="0.3">
      <c r="C149"/>
    </row>
    <row r="150" spans="3:3" x14ac:dyDescent="0.3">
      <c r="C150"/>
    </row>
    <row r="151" spans="3:3" x14ac:dyDescent="0.3">
      <c r="C151"/>
    </row>
    <row r="152" spans="3:3" x14ac:dyDescent="0.3">
      <c r="C152"/>
    </row>
    <row r="153" spans="3:3" x14ac:dyDescent="0.3">
      <c r="C153"/>
    </row>
    <row r="154" spans="3:3" x14ac:dyDescent="0.3">
      <c r="C154"/>
    </row>
    <row r="155" spans="3:3" x14ac:dyDescent="0.3">
      <c r="C155"/>
    </row>
    <row r="156" spans="3:3" x14ac:dyDescent="0.3">
      <c r="C156"/>
    </row>
    <row r="157" spans="3:3" x14ac:dyDescent="0.3">
      <c r="C157"/>
    </row>
    <row r="158" spans="3:3" x14ac:dyDescent="0.3">
      <c r="C158"/>
    </row>
    <row r="159" spans="3:3" x14ac:dyDescent="0.3">
      <c r="C159"/>
    </row>
    <row r="160" spans="3:3" x14ac:dyDescent="0.3">
      <c r="C160"/>
    </row>
    <row r="161" spans="3:3" x14ac:dyDescent="0.3">
      <c r="C161"/>
    </row>
    <row r="162" spans="3:3" x14ac:dyDescent="0.3">
      <c r="C162"/>
    </row>
    <row r="163" spans="3:3" x14ac:dyDescent="0.3">
      <c r="C163"/>
    </row>
    <row r="164" spans="3:3" x14ac:dyDescent="0.3">
      <c r="C164"/>
    </row>
    <row r="165" spans="3:3" x14ac:dyDescent="0.3">
      <c r="C165"/>
    </row>
    <row r="166" spans="3:3" x14ac:dyDescent="0.3">
      <c r="C166"/>
    </row>
    <row r="167" spans="3:3" x14ac:dyDescent="0.3">
      <c r="C167"/>
    </row>
    <row r="168" spans="3:3" x14ac:dyDescent="0.3">
      <c r="C168"/>
    </row>
    <row r="169" spans="3:3" x14ac:dyDescent="0.3">
      <c r="C169"/>
    </row>
    <row r="170" spans="3:3" x14ac:dyDescent="0.3">
      <c r="C170"/>
    </row>
    <row r="171" spans="3:3" x14ac:dyDescent="0.3">
      <c r="C171"/>
    </row>
    <row r="172" spans="3:3" x14ac:dyDescent="0.3">
      <c r="C172"/>
    </row>
    <row r="173" spans="3:3" x14ac:dyDescent="0.3">
      <c r="C173"/>
    </row>
    <row r="174" spans="3:3" x14ac:dyDescent="0.3">
      <c r="C174"/>
    </row>
    <row r="175" spans="3:3" x14ac:dyDescent="0.3">
      <c r="C175"/>
    </row>
    <row r="176" spans="3:3" x14ac:dyDescent="0.3">
      <c r="C176"/>
    </row>
    <row r="177" spans="3:3" x14ac:dyDescent="0.3">
      <c r="C177"/>
    </row>
    <row r="178" spans="3:3" x14ac:dyDescent="0.3">
      <c r="C178"/>
    </row>
    <row r="179" spans="3:3" x14ac:dyDescent="0.3">
      <c r="C179"/>
    </row>
    <row r="180" spans="3:3" x14ac:dyDescent="0.3">
      <c r="C180"/>
    </row>
    <row r="181" spans="3:3" x14ac:dyDescent="0.3">
      <c r="C181"/>
    </row>
    <row r="182" spans="3:3" x14ac:dyDescent="0.3">
      <c r="C182"/>
    </row>
    <row r="183" spans="3:3" x14ac:dyDescent="0.3">
      <c r="C183"/>
    </row>
    <row r="184" spans="3:3" x14ac:dyDescent="0.3">
      <c r="C184"/>
    </row>
    <row r="185" spans="3:3" x14ac:dyDescent="0.3">
      <c r="C185"/>
    </row>
    <row r="186" spans="3:3" x14ac:dyDescent="0.3">
      <c r="C186"/>
    </row>
    <row r="187" spans="3:3" x14ac:dyDescent="0.3">
      <c r="C187"/>
    </row>
    <row r="188" spans="3:3" x14ac:dyDescent="0.3">
      <c r="C188"/>
    </row>
    <row r="189" spans="3:3" x14ac:dyDescent="0.3">
      <c r="C189"/>
    </row>
    <row r="190" spans="3:3" x14ac:dyDescent="0.3">
      <c r="C190"/>
    </row>
    <row r="191" spans="3:3" x14ac:dyDescent="0.3">
      <c r="C191"/>
    </row>
    <row r="192" spans="3:3" x14ac:dyDescent="0.3">
      <c r="C192"/>
    </row>
    <row r="193" spans="3:3" x14ac:dyDescent="0.3">
      <c r="C193"/>
    </row>
    <row r="194" spans="3:3" x14ac:dyDescent="0.3">
      <c r="C194"/>
    </row>
    <row r="195" spans="3:3" x14ac:dyDescent="0.3">
      <c r="C195"/>
    </row>
    <row r="196" spans="3:3" x14ac:dyDescent="0.3">
      <c r="C196"/>
    </row>
    <row r="197" spans="3:3" x14ac:dyDescent="0.3">
      <c r="C197"/>
    </row>
    <row r="198" spans="3:3" x14ac:dyDescent="0.3">
      <c r="C198"/>
    </row>
    <row r="199" spans="3:3" x14ac:dyDescent="0.3">
      <c r="C199"/>
    </row>
    <row r="200" spans="3:3" x14ac:dyDescent="0.3">
      <c r="C200"/>
    </row>
    <row r="201" spans="3:3" x14ac:dyDescent="0.3">
      <c r="C201"/>
    </row>
    <row r="202" spans="3:3" x14ac:dyDescent="0.3">
      <c r="C202"/>
    </row>
    <row r="203" spans="3:3" x14ac:dyDescent="0.3">
      <c r="C203"/>
    </row>
    <row r="204" spans="3:3" x14ac:dyDescent="0.3">
      <c r="C204"/>
    </row>
    <row r="205" spans="3:3" x14ac:dyDescent="0.3">
      <c r="C205"/>
    </row>
    <row r="206" spans="3:3" x14ac:dyDescent="0.3">
      <c r="C206"/>
    </row>
    <row r="207" spans="3:3" x14ac:dyDescent="0.3">
      <c r="C207"/>
    </row>
    <row r="208" spans="3:3" x14ac:dyDescent="0.3">
      <c r="C208"/>
    </row>
    <row r="209" spans="3:3" x14ac:dyDescent="0.3">
      <c r="C209"/>
    </row>
    <row r="210" spans="3:3" x14ac:dyDescent="0.3">
      <c r="C210"/>
    </row>
    <row r="211" spans="3:3" x14ac:dyDescent="0.3">
      <c r="C211"/>
    </row>
    <row r="212" spans="3:3" x14ac:dyDescent="0.3">
      <c r="C212"/>
    </row>
    <row r="213" spans="3:3" x14ac:dyDescent="0.3">
      <c r="C213"/>
    </row>
    <row r="214" spans="3:3" x14ac:dyDescent="0.3">
      <c r="C214"/>
    </row>
    <row r="215" spans="3:3" x14ac:dyDescent="0.3">
      <c r="C215"/>
    </row>
    <row r="216" spans="3:3" x14ac:dyDescent="0.3">
      <c r="C216"/>
    </row>
    <row r="217" spans="3:3" x14ac:dyDescent="0.3">
      <c r="C217"/>
    </row>
    <row r="218" spans="3:3" x14ac:dyDescent="0.3">
      <c r="C218"/>
    </row>
    <row r="219" spans="3:3" x14ac:dyDescent="0.3">
      <c r="C219"/>
    </row>
    <row r="220" spans="3:3" x14ac:dyDescent="0.3">
      <c r="C220"/>
    </row>
    <row r="221" spans="3:3" x14ac:dyDescent="0.3">
      <c r="C221"/>
    </row>
    <row r="222" spans="3:3" x14ac:dyDescent="0.3">
      <c r="C222"/>
    </row>
    <row r="223" spans="3:3" x14ac:dyDescent="0.3">
      <c r="C223"/>
    </row>
    <row r="224" spans="3:3" x14ac:dyDescent="0.3">
      <c r="C224"/>
    </row>
    <row r="225" spans="3:3" x14ac:dyDescent="0.3">
      <c r="C225"/>
    </row>
    <row r="226" spans="3:3" x14ac:dyDescent="0.3">
      <c r="C226"/>
    </row>
    <row r="227" spans="3:3" x14ac:dyDescent="0.3">
      <c r="C227"/>
    </row>
    <row r="228" spans="3:3" x14ac:dyDescent="0.3">
      <c r="C228"/>
    </row>
    <row r="229" spans="3:3" x14ac:dyDescent="0.3">
      <c r="C229"/>
    </row>
    <row r="230" spans="3:3" x14ac:dyDescent="0.3">
      <c r="C230"/>
    </row>
    <row r="231" spans="3:3" x14ac:dyDescent="0.3">
      <c r="C231"/>
    </row>
    <row r="232" spans="3:3" x14ac:dyDescent="0.3">
      <c r="C232"/>
    </row>
    <row r="233" spans="3:3" x14ac:dyDescent="0.3">
      <c r="C233"/>
    </row>
    <row r="234" spans="3:3" x14ac:dyDescent="0.3">
      <c r="C234"/>
    </row>
    <row r="235" spans="3:3" x14ac:dyDescent="0.3">
      <c r="C235"/>
    </row>
    <row r="236" spans="3:3" x14ac:dyDescent="0.3">
      <c r="C236"/>
    </row>
    <row r="237" spans="3:3" x14ac:dyDescent="0.3">
      <c r="C237"/>
    </row>
    <row r="238" spans="3:3" x14ac:dyDescent="0.3">
      <c r="C238"/>
    </row>
    <row r="239" spans="3:3" x14ac:dyDescent="0.3">
      <c r="C239"/>
    </row>
    <row r="240" spans="3:3" x14ac:dyDescent="0.3">
      <c r="C240"/>
    </row>
    <row r="241" spans="3:3" x14ac:dyDescent="0.3">
      <c r="C241"/>
    </row>
    <row r="242" spans="3:3" x14ac:dyDescent="0.3">
      <c r="C242"/>
    </row>
    <row r="243" spans="3:3" x14ac:dyDescent="0.3">
      <c r="C243"/>
    </row>
    <row r="244" spans="3:3" x14ac:dyDescent="0.3">
      <c r="C244"/>
    </row>
    <row r="245" spans="3:3" x14ac:dyDescent="0.3">
      <c r="C245"/>
    </row>
    <row r="246" spans="3:3" x14ac:dyDescent="0.3">
      <c r="C246"/>
    </row>
    <row r="247" spans="3:3" x14ac:dyDescent="0.3">
      <c r="C247"/>
    </row>
    <row r="248" spans="3:3" x14ac:dyDescent="0.3">
      <c r="C248"/>
    </row>
    <row r="249" spans="3:3" x14ac:dyDescent="0.3">
      <c r="C249"/>
    </row>
    <row r="250" spans="3:3" x14ac:dyDescent="0.3">
      <c r="C250"/>
    </row>
    <row r="251" spans="3:3" x14ac:dyDescent="0.3">
      <c r="C251"/>
    </row>
    <row r="252" spans="3:3" x14ac:dyDescent="0.3">
      <c r="C252"/>
    </row>
    <row r="253" spans="3:3" x14ac:dyDescent="0.3">
      <c r="C253"/>
    </row>
    <row r="254" spans="3:3" x14ac:dyDescent="0.3">
      <c r="C254"/>
    </row>
    <row r="255" spans="3:3" x14ac:dyDescent="0.3">
      <c r="C255"/>
    </row>
    <row r="256" spans="3:3" x14ac:dyDescent="0.3">
      <c r="C256"/>
    </row>
    <row r="257" spans="3:3" x14ac:dyDescent="0.3">
      <c r="C257"/>
    </row>
    <row r="258" spans="3:3" x14ac:dyDescent="0.3">
      <c r="C258"/>
    </row>
    <row r="259" spans="3:3" x14ac:dyDescent="0.3">
      <c r="C259"/>
    </row>
    <row r="260" spans="3:3" x14ac:dyDescent="0.3">
      <c r="C260"/>
    </row>
    <row r="261" spans="3:3" x14ac:dyDescent="0.3">
      <c r="C261"/>
    </row>
    <row r="262" spans="3:3" x14ac:dyDescent="0.3">
      <c r="C262"/>
    </row>
    <row r="263" spans="3:3" x14ac:dyDescent="0.3">
      <c r="C263"/>
    </row>
    <row r="264" spans="3:3" x14ac:dyDescent="0.3">
      <c r="C264"/>
    </row>
  </sheetData>
  <autoFilter ref="B8:AG41" xr:uid="{00000000-0009-0000-0000-000008000000}"/>
  <dataConsolidate/>
  <mergeCells count="6">
    <mergeCell ref="A1:S1"/>
    <mergeCell ref="AI7:AK7"/>
    <mergeCell ref="M47:P47"/>
    <mergeCell ref="S47:U47"/>
    <mergeCell ref="T3:W3"/>
    <mergeCell ref="T4:W4"/>
  </mergeCells>
  <conditionalFormatting sqref="H9:H39">
    <cfRule type="cellIs" dxfId="126" priority="8" operator="equal">
      <formula>"YES"</formula>
    </cfRule>
    <cfRule type="cellIs" dxfId="125" priority="9" operator="equal">
      <formula>"NO"</formula>
    </cfRule>
    <cfRule type="cellIs" dxfId="124" priority="32" operator="equal">
      <formula>"N/A"</formula>
    </cfRule>
  </conditionalFormatting>
  <conditionalFormatting sqref="H40:J40">
    <cfRule type="cellIs" dxfId="123" priority="474" operator="equal">
      <formula>"NO"</formula>
    </cfRule>
    <cfRule type="cellIs" dxfId="122" priority="475" operator="equal">
      <formula>"YES"</formula>
    </cfRule>
  </conditionalFormatting>
  <conditionalFormatting sqref="J9:J39">
    <cfRule type="cellIs" dxfId="121" priority="137" operator="equal">
      <formula>"YES"</formula>
    </cfRule>
    <cfRule type="cellIs" dxfId="120" priority="138" operator="equal">
      <formula>"NO"</formula>
    </cfRule>
  </conditionalFormatting>
  <conditionalFormatting sqref="M48">
    <cfRule type="cellIs" dxfId="119" priority="486" operator="equal">
      <formula>"NO-OOS"</formula>
    </cfRule>
    <cfRule type="cellIs" dxfId="118" priority="487" operator="equal">
      <formula>"NO-CO"</formula>
    </cfRule>
    <cfRule type="cellIs" dxfId="117" priority="488" operator="equal">
      <formula>"YES"</formula>
    </cfRule>
    <cfRule type="cellIs" dxfId="116" priority="489" operator="equal">
      <formula>"NO"</formula>
    </cfRule>
  </conditionalFormatting>
  <conditionalFormatting sqref="S48">
    <cfRule type="cellIs" dxfId="115" priority="481" operator="equal">
      <formula>"NO-OOS"</formula>
    </cfRule>
    <cfRule type="cellIs" dxfId="114" priority="482" operator="equal">
      <formula>"NO-CO"</formula>
    </cfRule>
    <cfRule type="cellIs" dxfId="113" priority="483" operator="equal">
      <formula>"YES"</formula>
    </cfRule>
    <cfRule type="cellIs" dxfId="112" priority="484" operator="equal">
      <formula>"NO"</formula>
    </cfRule>
  </conditionalFormatting>
  <conditionalFormatting sqref="X9:X39">
    <cfRule type="cellIs" dxfId="111" priority="294" operator="equal">
      <formula>"N/A"</formula>
    </cfRule>
    <cfRule type="cellIs" dxfId="110" priority="295" operator="equal">
      <formula>"YES"</formula>
    </cfRule>
    <cfRule type="cellIs" dxfId="109" priority="296" operator="equal">
      <formula>"NO"</formula>
    </cfRule>
  </conditionalFormatting>
  <conditionalFormatting sqref="AA9:AA39">
    <cfRule type="cellIs" dxfId="108" priority="115" operator="equal">
      <formula>"N/A"</formula>
    </cfRule>
  </conditionalFormatting>
  <conditionalFormatting sqref="AA9:AA40">
    <cfRule type="cellIs" dxfId="107" priority="116" operator="equal">
      <formula>"YES"</formula>
    </cfRule>
    <cfRule type="cellIs" dxfId="106" priority="117" operator="equal">
      <formula>"NO"</formula>
    </cfRule>
  </conditionalFormatting>
  <conditionalFormatting sqref="AA60">
    <cfRule type="cellIs" dxfId="105" priority="456" operator="equal">
      <formula>"N/A"</formula>
    </cfRule>
    <cfRule type="cellIs" dxfId="104" priority="458" operator="equal">
      <formula>"NO"</formula>
    </cfRule>
  </conditionalFormatting>
  <conditionalFormatting sqref="AA60:AF60">
    <cfRule type="cellIs" dxfId="103" priority="457" operator="equal">
      <formula>"YES"</formula>
    </cfRule>
  </conditionalFormatting>
  <conditionalFormatting sqref="AB7:AB8 AB40:AB46 AC47:AC55 AB60 AB72:AB1048576">
    <cfRule type="cellIs" dxfId="102" priority="492" operator="equal">
      <formula>"NO-IL"</formula>
    </cfRule>
  </conditionalFormatting>
  <conditionalFormatting sqref="AB7:AB46">
    <cfRule type="cellIs" dxfId="101" priority="10" operator="equal">
      <formula>"NO-OOS"</formula>
    </cfRule>
    <cfRule type="cellIs" dxfId="100" priority="11" operator="equal">
      <formula>"YES"</formula>
    </cfRule>
  </conditionalFormatting>
  <conditionalFormatting sqref="AB9:AB39">
    <cfRule type="cellIs" dxfId="99" priority="12" operator="equal">
      <formula>"NO-TX"</formula>
    </cfRule>
  </conditionalFormatting>
  <conditionalFormatting sqref="AB60">
    <cfRule type="cellIs" dxfId="98" priority="459" operator="equal">
      <formula>"NO-OOS"</formula>
    </cfRule>
    <cfRule type="cellIs" dxfId="97" priority="461" operator="equal">
      <formula>"NO-TX"</formula>
    </cfRule>
  </conditionalFormatting>
  <conditionalFormatting sqref="AC16:AC25">
    <cfRule type="cellIs" dxfId="96" priority="111" operator="equal">
      <formula>"NO"</formula>
    </cfRule>
    <cfRule type="cellIs" dxfId="95" priority="112" operator="equal">
      <formula>"YES"</formula>
    </cfRule>
  </conditionalFormatting>
  <conditionalFormatting sqref="AC47:AC55 AB72:AB1048576">
    <cfRule type="cellIs" dxfId="94" priority="491" operator="equal">
      <formula>"NO-OOS"</formula>
    </cfRule>
    <cfRule type="cellIs" dxfId="93" priority="493" operator="equal">
      <formula>"YES"</formula>
    </cfRule>
  </conditionalFormatting>
  <conditionalFormatting sqref="AC10:AE10">
    <cfRule type="cellIs" dxfId="92" priority="268" operator="equal">
      <formula>"NO"</formula>
    </cfRule>
    <cfRule type="cellIs" dxfId="91" priority="269" operator="equal">
      <formula>"YES"</formula>
    </cfRule>
  </conditionalFormatting>
  <conditionalFormatting sqref="AC14:AE14">
    <cfRule type="cellIs" dxfId="90" priority="272" operator="equal">
      <formula>"NO"</formula>
    </cfRule>
    <cfRule type="cellIs" dxfId="89" priority="273" operator="equal">
      <formula>"YES"</formula>
    </cfRule>
  </conditionalFormatting>
  <conditionalFormatting sqref="AC26:AE38">
    <cfRule type="cellIs" dxfId="88" priority="18" operator="equal">
      <formula>"NO"</formula>
    </cfRule>
    <cfRule type="cellIs" dxfId="87" priority="19" operator="equal">
      <formula>"YES"</formula>
    </cfRule>
  </conditionalFormatting>
  <conditionalFormatting sqref="AC9:AF9">
    <cfRule type="cellIs" dxfId="86" priority="286" operator="equal">
      <formula>"NO"</formula>
    </cfRule>
    <cfRule type="cellIs" dxfId="85" priority="287" operator="equal">
      <formula>"YES"</formula>
    </cfRule>
  </conditionalFormatting>
  <conditionalFormatting sqref="AC11:AF11 AC12:AE12 AC13:AF13">
    <cfRule type="cellIs" dxfId="84" priority="284" operator="equal">
      <formula>"NO"</formula>
    </cfRule>
    <cfRule type="cellIs" dxfId="83" priority="285" operator="equal">
      <formula>"YES"</formula>
    </cfRule>
  </conditionalFormatting>
  <conditionalFormatting sqref="AC15:AF15">
    <cfRule type="cellIs" dxfId="82" priority="280" operator="equal">
      <formula>"NO"</formula>
    </cfRule>
    <cfRule type="cellIs" dxfId="81" priority="281" operator="equal">
      <formula>"YES"</formula>
    </cfRule>
  </conditionalFormatting>
  <conditionalFormatting sqref="AC38:AF40">
    <cfRule type="cellIs" dxfId="80" priority="16" operator="equal">
      <formula>"NO"</formula>
    </cfRule>
    <cfRule type="cellIs" dxfId="79" priority="17" operator="equal">
      <formula>"YES"</formula>
    </cfRule>
  </conditionalFormatting>
  <conditionalFormatting sqref="AC60:AF60">
    <cfRule type="cellIs" dxfId="78" priority="462" operator="equal">
      <formula>"NO"</formula>
    </cfRule>
  </conditionalFormatting>
  <conditionalFormatting sqref="AD16:AE16">
    <cfRule type="cellIs" dxfId="77" priority="270" operator="equal">
      <formula>"NO"</formula>
    </cfRule>
    <cfRule type="cellIs" dxfId="76" priority="271" operator="equal">
      <formula>"YES"</formula>
    </cfRule>
  </conditionalFormatting>
  <conditionalFormatting sqref="AD23:AE25">
    <cfRule type="cellIs" dxfId="75" priority="65" operator="equal">
      <formula>"NO"</formula>
    </cfRule>
    <cfRule type="cellIs" dxfId="74" priority="66" operator="equal">
      <formula>"YES"</formula>
    </cfRule>
  </conditionalFormatting>
  <conditionalFormatting sqref="AD17:AF22">
    <cfRule type="cellIs" dxfId="73" priority="278" operator="equal">
      <formula>"NO"</formula>
    </cfRule>
    <cfRule type="cellIs" dxfId="72" priority="279" operator="equal">
      <formula>"YES"</formula>
    </cfRule>
  </conditionalFormatting>
  <conditionalFormatting sqref="AF9:AF38">
    <cfRule type="cellIs" dxfId="71" priority="20" operator="equal">
      <formula>"NO"</formula>
    </cfRule>
    <cfRule type="cellIs" dxfId="70" priority="21" operator="equal">
      <formula>"YES"</formula>
    </cfRule>
  </conditionalFormatting>
  <dataValidations count="1">
    <dataValidation type="list" allowBlank="1" showInputMessage="1" showErrorMessage="1" sqref="U50 J51:J63 J42:J45 G72:J1048576 I42:I44 Y47 G40:J40 G42:G44 U48" xr:uid="{7D1997A9-CA98-4EA4-B0EF-049EA386DD3A}">
      <formula1>$S$2:$S$3</formula1>
    </dataValidation>
  </dataValidations>
  <hyperlinks>
    <hyperlink ref="K43" location="'Comm Summary'!A1" display="'Comm Summary'!A1" xr:uid="{366F9FB7-DD0E-4D5E-8CF1-1AC58159A280}"/>
    <hyperlink ref="O43:S43" location="'Comm Summary'!A1" display="'Comm Summary'!A1" xr:uid="{503FBC1B-BE8E-4D7B-8C38-40F3D951440B}"/>
    <hyperlink ref="M43" location="'Comm Summary'!A1" display="'Comm Summary'!A1" xr:uid="{02ED7657-AA41-4CD0-A50E-2A9CC5B1CFA6}"/>
    <hyperlink ref="T43" location="'Comm Summary'!A1" display="'Comm Summary'!A1" xr:uid="{21A3D9E4-32AB-41A7-932F-CA511A506C67}"/>
    <hyperlink ref="U43" location="'Comm Summary'!A1" display="'Comm Summary'!A1" xr:uid="{9B991755-CE2D-4FAF-9F1D-7E8605173D04}"/>
    <hyperlink ref="P43" location="'Comm Summary'!A1" display="'Comm Summary'!A1" xr:uid="{1CEAA27E-EEB4-4AB4-833C-2BD053E0B9E9}"/>
    <hyperlink ref="L43" location="'Comm Summary'!A1" display="'Comm Summary'!A1" xr:uid="{2C702BD9-258D-4D9A-9259-E4633040B0F0}"/>
  </hyperlinks>
  <pageMargins left="0.7" right="0.7" top="0.75" bottom="0.75" header="0.3" footer="0.3"/>
  <pageSetup scale="57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403CBFD6-9A51-43C4-A326-073C6B12CBD1}">
          <x14:formula1>
            <xm:f>Legend!$G$2:$G$5</xm:f>
          </x14:formula1>
          <xm:sqref>Z9:Z38</xm:sqref>
        </x14:dataValidation>
        <x14:dataValidation type="list" allowBlank="1" showInputMessage="1" showErrorMessage="1" xr:uid="{27CE5F3D-64F8-4A5F-A36D-105F91FF8E55}">
          <x14:formula1>
            <xm:f>Legend!$C$2:$C$4</xm:f>
          </x14:formula1>
          <xm:sqref>H9:H39 AA9:AA39</xm:sqref>
        </x14:dataValidation>
        <x14:dataValidation type="list" allowBlank="1" showInputMessage="1" showErrorMessage="1" xr:uid="{B45AC506-8F61-4B26-8DC4-9F4E351D05A4}">
          <x14:formula1>
            <xm:f>Legend!$A$2:$A$10</xm:f>
          </x14:formula1>
          <xm:sqref>V9:V38</xm:sqref>
        </x14:dataValidation>
        <x14:dataValidation type="list" allowBlank="1" showInputMessage="1" showErrorMessage="1" xr:uid="{0805AEE5-0ABA-48A8-ABD4-E1969AC4F59C}">
          <x14:formula1>
            <xm:f>Legend!$H$2:$H$11</xm:f>
          </x14:formula1>
          <xm:sqref>Y9:Y38</xm:sqref>
        </x14:dataValidation>
        <x14:dataValidation type="list" allowBlank="1" showInputMessage="1" showErrorMessage="1" xr:uid="{58E2D807-445C-41B3-ADBF-44BA5BB566DA}">
          <x14:formula1>
            <xm:f>Legend!$D$2:$D$5</xm:f>
          </x14:formula1>
          <xm:sqref>X9:X38</xm:sqref>
        </x14:dataValidation>
        <x14:dataValidation type="list" allowBlank="1" showInputMessage="1" showErrorMessage="1" xr:uid="{C807E4ED-DFA5-4075-A4F3-9024DF908912}">
          <x14:formula1>
            <xm:f>Legend!$C$2:$C$3</xm:f>
          </x14:formula1>
          <xm:sqref>J9:J39</xm:sqref>
        </x14:dataValidation>
        <x14:dataValidation type="list" allowBlank="1" showInputMessage="1" showErrorMessage="1" xr:uid="{EF66C42E-1037-4742-8F4F-0DA887495777}">
          <x14:formula1>
            <xm:f>Legend!$E$2:$E$4</xm:f>
          </x14:formula1>
          <xm:sqref>AB9:AB39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CE84-4D96-487A-ACE8-A041933F3639}">
  <sheetPr>
    <tabColor rgb="FFFFCCFF"/>
    <pageSetUpPr fitToPage="1"/>
  </sheetPr>
  <dimension ref="B1:AE56"/>
  <sheetViews>
    <sheetView zoomScale="90" zoomScaleNormal="90" workbookViewId="0">
      <pane xSplit="2" ySplit="7" topLeftCell="Z8" activePane="bottomRight" state="frozen"/>
      <selection activeCell="T4" sqref="T4"/>
      <selection pane="topRight" activeCell="T4" sqref="T4"/>
      <selection pane="bottomLeft" activeCell="T4" sqref="T4"/>
      <selection pane="bottomRight" activeCell="AD13" sqref="AD13"/>
    </sheetView>
  </sheetViews>
  <sheetFormatPr defaultColWidth="9.109375" defaultRowHeight="14.4" x14ac:dyDescent="0.3"/>
  <cols>
    <col min="1" max="1" width="2.5546875" customWidth="1"/>
    <col min="2" max="2" width="9.109375" style="9"/>
    <col min="3" max="3" width="16.5546875" style="109" customWidth="1"/>
    <col min="4" max="4" width="22" style="8" bestFit="1" customWidth="1"/>
    <col min="5" max="6" width="16.44140625" style="27" customWidth="1"/>
    <col min="7" max="10" width="20.109375" style="47" customWidth="1"/>
    <col min="11" max="11" width="18.109375" style="47" customWidth="1"/>
    <col min="12" max="12" width="18.5546875" style="47" customWidth="1"/>
    <col min="13" max="13" width="28.44140625" style="68" customWidth="1"/>
    <col min="14" max="14" width="18.33203125" style="119" bestFit="1" customWidth="1"/>
    <col min="15" max="15" width="13.5546875" style="119" customWidth="1"/>
    <col min="16" max="16" width="17.33203125" style="8" customWidth="1"/>
    <col min="17" max="17" width="12.6640625" style="8" customWidth="1"/>
    <col min="18" max="18" width="22" style="8" customWidth="1"/>
    <col min="19" max="19" width="19.109375" style="8" customWidth="1"/>
    <col min="20" max="20" width="13.88671875" style="8" customWidth="1"/>
    <col min="21" max="21" width="51" style="8" customWidth="1"/>
    <col min="22" max="22" width="28.33203125" style="8" customWidth="1"/>
    <col min="23" max="23" width="18.109375" style="8" customWidth="1"/>
    <col min="24" max="24" width="9.33203125" style="8" customWidth="1"/>
    <col min="25" max="25" width="8.33203125" style="8" customWidth="1"/>
    <col min="26" max="26" width="19.33203125" style="32" customWidth="1"/>
    <col min="27" max="27" width="15.5546875" customWidth="1"/>
    <col min="28" max="28" width="55" style="32" customWidth="1"/>
  </cols>
  <sheetData>
    <row r="1" spans="2:31" ht="15.6" x14ac:dyDescent="0.3">
      <c r="B1" s="116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116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116"/>
      <c r="AD1" s="116"/>
    </row>
    <row r="2" spans="2:31" ht="15.6" x14ac:dyDescent="0.3">
      <c r="B2" s="116"/>
      <c r="C2" s="116"/>
      <c r="D2" s="116"/>
      <c r="E2" s="25"/>
      <c r="F2" s="25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215"/>
      <c r="U2" s="116"/>
      <c r="V2" s="31"/>
      <c r="W2" s="31"/>
      <c r="X2" s="31"/>
      <c r="Y2" s="116"/>
      <c r="Z2" s="116"/>
      <c r="AA2" s="31"/>
      <c r="AB2" s="31"/>
      <c r="AC2" s="116"/>
      <c r="AD2" s="31"/>
    </row>
    <row r="3" spans="2:31" x14ac:dyDescent="0.3">
      <c r="C3" s="9"/>
      <c r="D3" s="15"/>
      <c r="E3"/>
      <c r="F3" s="23"/>
      <c r="G3"/>
      <c r="H3"/>
      <c r="I3"/>
      <c r="J3"/>
      <c r="K3"/>
      <c r="L3"/>
      <c r="M3"/>
      <c r="N3" s="8"/>
      <c r="O3" s="8"/>
      <c r="P3"/>
      <c r="Q3"/>
      <c r="V3" s="32"/>
      <c r="W3" s="32"/>
      <c r="X3" s="32"/>
      <c r="Z3" s="8"/>
      <c r="AA3" s="32"/>
      <c r="AD3" s="32"/>
    </row>
    <row r="4" spans="2:31" ht="18" x14ac:dyDescent="0.35">
      <c r="C4" s="9"/>
      <c r="D4" s="15"/>
      <c r="E4" s="4"/>
      <c r="F4" s="4"/>
      <c r="G4"/>
      <c r="H4"/>
      <c r="I4"/>
      <c r="J4"/>
      <c r="K4"/>
      <c r="L4"/>
      <c r="M4"/>
      <c r="N4" s="8"/>
      <c r="O4" s="8"/>
      <c r="P4"/>
      <c r="Q4"/>
      <c r="R4" s="181"/>
      <c r="S4" s="181"/>
      <c r="U4" s="115"/>
      <c r="V4" s="4"/>
      <c r="W4" s="4"/>
      <c r="X4" s="4"/>
      <c r="Y4" s="115"/>
      <c r="Z4" s="115"/>
      <c r="AA4" s="4"/>
      <c r="AB4" s="4"/>
      <c r="AC4" s="4"/>
      <c r="AD4" s="4"/>
      <c r="AE4" s="4"/>
    </row>
    <row r="5" spans="2:31" ht="18" x14ac:dyDescent="0.35">
      <c r="C5" s="9"/>
      <c r="D5" s="15"/>
      <c r="E5" s="4"/>
      <c r="F5" s="4"/>
      <c r="G5"/>
      <c r="H5"/>
      <c r="I5"/>
      <c r="J5"/>
      <c r="K5"/>
      <c r="L5"/>
      <c r="M5"/>
      <c r="N5" s="8"/>
      <c r="O5" s="8"/>
      <c r="P5"/>
      <c r="Q5"/>
      <c r="R5" s="181"/>
      <c r="S5" s="181"/>
      <c r="U5" s="115"/>
      <c r="V5" s="4"/>
      <c r="W5" s="4"/>
      <c r="X5" s="4"/>
      <c r="Y5" s="115"/>
      <c r="Z5" s="115"/>
      <c r="AA5" s="4"/>
      <c r="AB5" s="4"/>
      <c r="AC5" s="4"/>
      <c r="AD5" s="4"/>
      <c r="AE5" s="4"/>
    </row>
    <row r="7" spans="2:31" s="7" customFormat="1" ht="18.75" customHeight="1" x14ac:dyDescent="0.3">
      <c r="B7" s="10" t="s">
        <v>85</v>
      </c>
      <c r="C7" s="81" t="s">
        <v>137</v>
      </c>
      <c r="D7" s="12" t="s">
        <v>124</v>
      </c>
      <c r="E7" s="26" t="s">
        <v>86</v>
      </c>
      <c r="F7" s="26" t="s">
        <v>87</v>
      </c>
      <c r="G7" s="50" t="s">
        <v>140</v>
      </c>
      <c r="H7" s="50" t="s">
        <v>141</v>
      </c>
      <c r="I7" s="50" t="s">
        <v>142</v>
      </c>
      <c r="J7" s="50" t="s">
        <v>45</v>
      </c>
      <c r="K7" s="53" t="s">
        <v>133</v>
      </c>
      <c r="L7" s="50" t="s">
        <v>143</v>
      </c>
      <c r="M7" s="69" t="s">
        <v>179</v>
      </c>
      <c r="N7" s="216" t="s">
        <v>90</v>
      </c>
      <c r="O7" s="12" t="s">
        <v>91</v>
      </c>
      <c r="P7" s="12" t="s">
        <v>144</v>
      </c>
      <c r="Q7" s="12" t="s">
        <v>145</v>
      </c>
      <c r="R7" s="12" t="s">
        <v>146</v>
      </c>
      <c r="S7" s="12" t="s">
        <v>111</v>
      </c>
      <c r="T7" s="12" t="s">
        <v>147</v>
      </c>
      <c r="U7" s="12" t="s">
        <v>148</v>
      </c>
      <c r="V7" s="12" t="s">
        <v>149</v>
      </c>
      <c r="W7" s="12" t="s">
        <v>150</v>
      </c>
      <c r="X7" s="12" t="s">
        <v>116</v>
      </c>
      <c r="Y7" s="12" t="s">
        <v>117</v>
      </c>
      <c r="Z7" s="12" t="s">
        <v>151</v>
      </c>
      <c r="AA7" s="12" t="s">
        <v>113</v>
      </c>
      <c r="AB7" s="33" t="s">
        <v>118</v>
      </c>
    </row>
    <row r="8" spans="2:31" x14ac:dyDescent="0.3">
      <c r="B8" s="11">
        <v>1</v>
      </c>
      <c r="C8" s="106"/>
      <c r="D8" s="185"/>
      <c r="E8" s="120"/>
      <c r="F8" s="217"/>
      <c r="G8" s="46">
        <v>0</v>
      </c>
      <c r="H8" s="46">
        <v>0</v>
      </c>
      <c r="I8" s="46">
        <v>0</v>
      </c>
      <c r="J8" s="46">
        <v>0</v>
      </c>
      <c r="K8" s="54">
        <v>0</v>
      </c>
      <c r="L8" s="46">
        <f>SUM(G8:J8)-K8</f>
        <v>0</v>
      </c>
      <c r="M8" s="36"/>
      <c r="N8" s="29"/>
      <c r="O8" s="29"/>
      <c r="P8" s="29"/>
      <c r="Q8" s="29"/>
      <c r="R8" s="153"/>
      <c r="S8" s="29"/>
      <c r="T8" s="29"/>
      <c r="U8" s="29"/>
      <c r="V8" s="36"/>
      <c r="W8" s="29"/>
      <c r="X8" s="29"/>
      <c r="Y8" s="73"/>
      <c r="Z8" s="40"/>
      <c r="AA8" s="16"/>
      <c r="AB8" s="36"/>
    </row>
    <row r="9" spans="2:31" ht="15" customHeight="1" x14ac:dyDescent="0.3">
      <c r="B9" s="11">
        <v>2</v>
      </c>
      <c r="C9" s="106"/>
      <c r="D9" s="190"/>
      <c r="E9" s="120"/>
      <c r="F9" s="120"/>
      <c r="G9" s="46">
        <v>0</v>
      </c>
      <c r="H9" s="46">
        <v>0</v>
      </c>
      <c r="I9" s="46">
        <v>0</v>
      </c>
      <c r="J9" s="46">
        <v>0</v>
      </c>
      <c r="K9" s="54">
        <v>0</v>
      </c>
      <c r="L9" s="46">
        <f t="shared" ref="L9:L38" si="0">SUM(G9:J9)-K9</f>
        <v>0</v>
      </c>
      <c r="M9" s="36"/>
      <c r="N9" s="29"/>
      <c r="O9" s="29"/>
      <c r="P9" s="29"/>
      <c r="Q9" s="29"/>
      <c r="R9" s="153"/>
      <c r="S9" s="29"/>
      <c r="T9" s="29"/>
      <c r="U9" s="29"/>
      <c r="V9" s="36"/>
      <c r="W9" s="29"/>
      <c r="X9" s="29"/>
      <c r="Y9" s="29"/>
      <c r="Z9" s="40"/>
      <c r="AA9" s="16"/>
      <c r="AB9" s="36"/>
    </row>
    <row r="10" spans="2:31" ht="15" customHeight="1" x14ac:dyDescent="0.3">
      <c r="B10" s="11">
        <f>B9+1</f>
        <v>3</v>
      </c>
      <c r="C10" s="106"/>
      <c r="D10" s="189"/>
      <c r="E10" s="120"/>
      <c r="F10" s="120"/>
      <c r="G10" s="46">
        <v>0</v>
      </c>
      <c r="H10" s="46">
        <v>0</v>
      </c>
      <c r="I10" s="46">
        <v>0</v>
      </c>
      <c r="J10" s="46">
        <v>0</v>
      </c>
      <c r="K10" s="54">
        <v>0</v>
      </c>
      <c r="L10" s="46">
        <f t="shared" si="0"/>
        <v>0</v>
      </c>
      <c r="M10" s="36"/>
      <c r="N10" s="29"/>
      <c r="O10" s="29"/>
      <c r="P10" s="29"/>
      <c r="Q10" s="29"/>
      <c r="R10" s="153"/>
      <c r="S10" s="29"/>
      <c r="T10" s="29"/>
      <c r="U10" s="29"/>
      <c r="V10" s="36"/>
      <c r="W10" s="29"/>
      <c r="X10" s="29"/>
      <c r="Y10" s="29"/>
      <c r="Z10" s="40"/>
      <c r="AA10" s="16"/>
      <c r="AB10" s="36"/>
    </row>
    <row r="11" spans="2:31" x14ac:dyDescent="0.3">
      <c r="B11" s="11">
        <f t="shared" ref="B11:B37" si="1">B10+1</f>
        <v>4</v>
      </c>
      <c r="C11" s="106"/>
      <c r="D11" s="218"/>
      <c r="E11" s="120"/>
      <c r="F11" s="120"/>
      <c r="G11" s="46">
        <v>0</v>
      </c>
      <c r="H11" s="46">
        <v>0</v>
      </c>
      <c r="I11" s="46">
        <v>0</v>
      </c>
      <c r="J11" s="46">
        <v>0</v>
      </c>
      <c r="K11" s="54">
        <v>0</v>
      </c>
      <c r="L11" s="46">
        <f t="shared" si="0"/>
        <v>0</v>
      </c>
      <c r="M11" s="36"/>
      <c r="N11" s="29"/>
      <c r="O11" s="29"/>
      <c r="P11" s="29"/>
      <c r="Q11" s="29"/>
      <c r="R11" s="153"/>
      <c r="S11" s="29"/>
      <c r="T11" s="29"/>
      <c r="U11" s="29"/>
      <c r="V11" s="36"/>
      <c r="W11" s="29"/>
      <c r="X11" s="29"/>
      <c r="Y11" s="29"/>
      <c r="Z11" s="40"/>
      <c r="AA11" s="16"/>
      <c r="AB11" s="36"/>
    </row>
    <row r="12" spans="2:31" ht="15" customHeight="1" x14ac:dyDescent="0.3">
      <c r="B12" s="11">
        <f t="shared" si="1"/>
        <v>5</v>
      </c>
      <c r="C12" s="106"/>
      <c r="D12" s="218"/>
      <c r="E12" s="120"/>
      <c r="F12" s="120"/>
      <c r="G12" s="46">
        <v>0</v>
      </c>
      <c r="H12" s="46">
        <v>0</v>
      </c>
      <c r="I12" s="46">
        <v>0</v>
      </c>
      <c r="J12" s="46">
        <v>0</v>
      </c>
      <c r="K12" s="54">
        <v>0</v>
      </c>
      <c r="L12" s="46">
        <f t="shared" si="0"/>
        <v>0</v>
      </c>
      <c r="M12" s="36"/>
      <c r="N12" s="29"/>
      <c r="O12" s="110"/>
      <c r="P12" s="29"/>
      <c r="Q12" s="29"/>
      <c r="R12" s="153"/>
      <c r="S12" s="29"/>
      <c r="T12" s="29"/>
      <c r="U12" s="29"/>
      <c r="V12" s="36"/>
      <c r="W12" s="29"/>
      <c r="X12" s="29"/>
      <c r="Y12" s="29"/>
      <c r="Z12" s="40"/>
      <c r="AA12" s="16"/>
      <c r="AB12" s="36"/>
    </row>
    <row r="13" spans="2:31" x14ac:dyDescent="0.3">
      <c r="B13" s="11">
        <f t="shared" si="1"/>
        <v>6</v>
      </c>
      <c r="C13" s="106"/>
      <c r="D13" s="190"/>
      <c r="E13" s="120"/>
      <c r="F13" s="120"/>
      <c r="G13" s="46">
        <v>0</v>
      </c>
      <c r="H13" s="46">
        <v>0</v>
      </c>
      <c r="I13" s="46">
        <v>0</v>
      </c>
      <c r="J13" s="46">
        <v>0</v>
      </c>
      <c r="K13" s="54">
        <v>0</v>
      </c>
      <c r="L13" s="46">
        <f t="shared" si="0"/>
        <v>0</v>
      </c>
      <c r="M13" s="36"/>
      <c r="N13" s="29"/>
      <c r="O13" s="29"/>
      <c r="P13" s="29"/>
      <c r="Q13" s="29"/>
      <c r="R13" s="153"/>
      <c r="S13" s="29"/>
      <c r="T13" s="29"/>
      <c r="V13" s="36"/>
      <c r="W13" s="29"/>
      <c r="X13" s="29"/>
      <c r="Y13" s="29"/>
      <c r="Z13" s="40"/>
      <c r="AA13" s="16"/>
      <c r="AB13" s="36"/>
    </row>
    <row r="14" spans="2:31" x14ac:dyDescent="0.3">
      <c r="B14" s="11">
        <f t="shared" si="1"/>
        <v>7</v>
      </c>
      <c r="C14" s="106"/>
      <c r="D14" s="190"/>
      <c r="E14" s="120"/>
      <c r="F14" s="120"/>
      <c r="G14" s="46">
        <v>0</v>
      </c>
      <c r="H14" s="46">
        <v>0</v>
      </c>
      <c r="I14" s="46">
        <v>0</v>
      </c>
      <c r="J14" s="46">
        <v>0</v>
      </c>
      <c r="K14" s="54">
        <v>0</v>
      </c>
      <c r="L14" s="46">
        <f t="shared" si="0"/>
        <v>0</v>
      </c>
      <c r="M14" s="36"/>
      <c r="N14" s="29"/>
      <c r="O14" s="29"/>
      <c r="P14" s="29"/>
      <c r="Q14" s="29"/>
      <c r="R14" s="153"/>
      <c r="S14" s="29"/>
      <c r="T14" s="29"/>
      <c r="U14" s="29"/>
      <c r="V14" s="36"/>
      <c r="W14" s="29"/>
      <c r="X14" s="29"/>
      <c r="Y14" s="29"/>
      <c r="Z14" s="40"/>
      <c r="AA14" s="16"/>
      <c r="AB14" s="36"/>
    </row>
    <row r="15" spans="2:31" ht="15" customHeight="1" x14ac:dyDescent="0.3">
      <c r="B15" s="11">
        <f t="shared" si="1"/>
        <v>8</v>
      </c>
      <c r="C15" s="106"/>
      <c r="D15" s="189"/>
      <c r="E15" s="120"/>
      <c r="F15" s="120"/>
      <c r="G15" s="46">
        <v>0</v>
      </c>
      <c r="H15" s="46">
        <v>0</v>
      </c>
      <c r="I15" s="46">
        <v>0</v>
      </c>
      <c r="J15" s="46">
        <v>0</v>
      </c>
      <c r="K15" s="54">
        <v>0</v>
      </c>
      <c r="L15" s="46">
        <f t="shared" si="0"/>
        <v>0</v>
      </c>
      <c r="M15" s="36"/>
      <c r="N15" s="29"/>
      <c r="O15" s="29"/>
      <c r="P15" s="29"/>
      <c r="Q15" s="29"/>
      <c r="R15" s="153"/>
      <c r="S15" s="29"/>
      <c r="T15" s="29"/>
      <c r="U15" s="29"/>
      <c r="V15" s="36"/>
      <c r="W15" s="29"/>
      <c r="X15" s="29"/>
      <c r="Y15" s="29"/>
      <c r="Z15" s="40"/>
      <c r="AA15" s="16"/>
      <c r="AB15" s="36"/>
    </row>
    <row r="16" spans="2:31" x14ac:dyDescent="0.3">
      <c r="B16" s="11">
        <f t="shared" si="1"/>
        <v>9</v>
      </c>
      <c r="C16" s="106"/>
      <c r="D16" s="189"/>
      <c r="E16" s="120"/>
      <c r="F16" s="120"/>
      <c r="G16" s="46">
        <v>0</v>
      </c>
      <c r="H16" s="46">
        <v>0</v>
      </c>
      <c r="I16" s="46">
        <v>0</v>
      </c>
      <c r="J16" s="46">
        <v>0</v>
      </c>
      <c r="K16" s="54">
        <v>0</v>
      </c>
      <c r="L16" s="46">
        <f t="shared" si="0"/>
        <v>0</v>
      </c>
      <c r="M16" s="36"/>
      <c r="N16" s="29"/>
      <c r="O16" s="29"/>
      <c r="P16" s="29"/>
      <c r="Q16" s="29"/>
      <c r="R16" s="153"/>
      <c r="S16" s="29"/>
      <c r="T16" s="29"/>
      <c r="U16" s="29"/>
      <c r="V16" s="36"/>
      <c r="W16" s="29"/>
      <c r="X16" s="29"/>
      <c r="Y16" s="29"/>
      <c r="Z16" s="40"/>
      <c r="AA16" s="16"/>
      <c r="AB16" s="36"/>
    </row>
    <row r="17" spans="2:28" x14ac:dyDescent="0.3">
      <c r="B17" s="11">
        <f t="shared" si="1"/>
        <v>10</v>
      </c>
      <c r="C17" s="106"/>
      <c r="D17" s="189"/>
      <c r="E17" s="120"/>
      <c r="F17" s="120"/>
      <c r="G17" s="46">
        <v>0</v>
      </c>
      <c r="H17" s="46">
        <v>0</v>
      </c>
      <c r="I17" s="46">
        <v>0</v>
      </c>
      <c r="J17" s="46">
        <v>0</v>
      </c>
      <c r="K17" s="54">
        <v>0</v>
      </c>
      <c r="L17" s="46">
        <f t="shared" si="0"/>
        <v>0</v>
      </c>
      <c r="M17" s="36"/>
      <c r="N17" s="29"/>
      <c r="O17" s="29"/>
      <c r="P17" s="29"/>
      <c r="Q17" s="29"/>
      <c r="R17" s="153"/>
      <c r="S17" s="29"/>
      <c r="T17" s="29"/>
      <c r="U17" s="29"/>
      <c r="V17" s="36"/>
      <c r="W17" s="29"/>
      <c r="X17" s="29"/>
      <c r="Y17" s="73"/>
      <c r="Z17" s="40"/>
      <c r="AA17" s="16"/>
      <c r="AB17" s="36"/>
    </row>
    <row r="18" spans="2:28" ht="15" customHeight="1" x14ac:dyDescent="0.3">
      <c r="B18" s="11">
        <f t="shared" si="1"/>
        <v>11</v>
      </c>
      <c r="C18" s="106"/>
      <c r="D18" s="189"/>
      <c r="E18" s="120"/>
      <c r="F18" s="120"/>
      <c r="G18" s="46">
        <v>0</v>
      </c>
      <c r="H18" s="46">
        <v>0</v>
      </c>
      <c r="I18" s="46">
        <v>0</v>
      </c>
      <c r="J18" s="46">
        <v>0</v>
      </c>
      <c r="K18" s="54">
        <v>0</v>
      </c>
      <c r="L18" s="46">
        <f t="shared" si="0"/>
        <v>0</v>
      </c>
      <c r="M18" s="36"/>
      <c r="N18" s="29"/>
      <c r="O18" s="29"/>
      <c r="P18" s="29"/>
      <c r="Q18" s="29"/>
      <c r="R18" s="153"/>
      <c r="S18" s="29"/>
      <c r="T18" s="29"/>
      <c r="U18" s="29"/>
      <c r="V18" s="36"/>
      <c r="W18" s="29"/>
      <c r="X18" s="29"/>
      <c r="Y18" s="29"/>
      <c r="Z18" s="40"/>
      <c r="AA18" s="16"/>
      <c r="AB18" s="36"/>
    </row>
    <row r="19" spans="2:28" ht="15" customHeight="1" x14ac:dyDescent="0.3">
      <c r="B19" s="11">
        <f t="shared" si="1"/>
        <v>12</v>
      </c>
      <c r="C19" s="106"/>
      <c r="D19" s="219"/>
      <c r="E19" s="120"/>
      <c r="F19" s="120"/>
      <c r="G19" s="46">
        <v>0</v>
      </c>
      <c r="H19" s="46">
        <v>0</v>
      </c>
      <c r="I19" s="46">
        <v>0</v>
      </c>
      <c r="J19" s="46">
        <v>0</v>
      </c>
      <c r="K19" s="54">
        <v>0</v>
      </c>
      <c r="L19" s="46">
        <f t="shared" si="0"/>
        <v>0</v>
      </c>
      <c r="M19" s="36"/>
      <c r="N19" s="29"/>
      <c r="O19" s="29"/>
      <c r="P19" s="29"/>
      <c r="Q19" s="29"/>
      <c r="R19" s="153"/>
      <c r="S19" s="29"/>
      <c r="T19" s="29"/>
      <c r="U19" s="29"/>
      <c r="V19" s="36"/>
      <c r="W19" s="29"/>
      <c r="X19" s="29"/>
      <c r="Y19" s="73"/>
      <c r="Z19" s="40"/>
      <c r="AA19" s="16"/>
      <c r="AB19" s="36"/>
    </row>
    <row r="20" spans="2:28" ht="15" customHeight="1" x14ac:dyDescent="0.3">
      <c r="B20" s="11">
        <f t="shared" si="1"/>
        <v>13</v>
      </c>
      <c r="C20" s="106"/>
      <c r="D20" s="189"/>
      <c r="E20" s="120"/>
      <c r="F20" s="120"/>
      <c r="G20" s="46">
        <v>0</v>
      </c>
      <c r="H20" s="46">
        <v>0</v>
      </c>
      <c r="I20" s="46">
        <v>0</v>
      </c>
      <c r="J20" s="46">
        <v>0</v>
      </c>
      <c r="K20" s="54">
        <v>0</v>
      </c>
      <c r="L20" s="46">
        <f t="shared" si="0"/>
        <v>0</v>
      </c>
      <c r="M20" s="36"/>
      <c r="N20" s="29"/>
      <c r="O20" s="29"/>
      <c r="P20" s="29"/>
      <c r="Q20" s="29"/>
      <c r="R20" s="153"/>
      <c r="S20" s="29"/>
      <c r="T20" s="29"/>
      <c r="U20" s="29"/>
      <c r="V20" s="36"/>
      <c r="W20" s="29"/>
      <c r="X20" s="29"/>
      <c r="Y20" s="73"/>
      <c r="Z20" s="40"/>
      <c r="AA20" s="16"/>
      <c r="AB20" s="36"/>
    </row>
    <row r="21" spans="2:28" ht="15" customHeight="1" x14ac:dyDescent="0.3">
      <c r="B21" s="11">
        <f t="shared" si="1"/>
        <v>14</v>
      </c>
      <c r="C21" s="106"/>
      <c r="D21" s="189"/>
      <c r="E21" s="120"/>
      <c r="F21" s="120"/>
      <c r="G21" s="46">
        <v>0</v>
      </c>
      <c r="H21" s="46">
        <v>0</v>
      </c>
      <c r="I21" s="46">
        <v>0</v>
      </c>
      <c r="J21" s="46">
        <v>0</v>
      </c>
      <c r="K21" s="54">
        <v>0</v>
      </c>
      <c r="L21" s="46">
        <f t="shared" si="0"/>
        <v>0</v>
      </c>
      <c r="M21" s="36"/>
      <c r="N21" s="29"/>
      <c r="O21" s="29"/>
      <c r="P21" s="29"/>
      <c r="Q21" s="29"/>
      <c r="R21" s="153"/>
      <c r="S21" s="29"/>
      <c r="T21" s="29"/>
      <c r="U21" s="29"/>
      <c r="V21" s="36"/>
      <c r="W21" s="29"/>
      <c r="X21" s="29"/>
      <c r="Y21" s="73"/>
      <c r="Z21" s="40"/>
      <c r="AA21" s="16"/>
      <c r="AB21" s="36"/>
    </row>
    <row r="22" spans="2:28" ht="15" customHeight="1" x14ac:dyDescent="0.3">
      <c r="B22" s="11">
        <f t="shared" si="1"/>
        <v>15</v>
      </c>
      <c r="C22" s="106"/>
      <c r="D22" s="189"/>
      <c r="E22" s="120"/>
      <c r="F22" s="120"/>
      <c r="G22" s="46">
        <v>0</v>
      </c>
      <c r="H22" s="46">
        <v>0</v>
      </c>
      <c r="I22" s="46">
        <v>0</v>
      </c>
      <c r="J22" s="46">
        <v>0</v>
      </c>
      <c r="K22" s="54">
        <v>0</v>
      </c>
      <c r="L22" s="46">
        <f t="shared" si="0"/>
        <v>0</v>
      </c>
      <c r="M22" s="36"/>
      <c r="N22" s="29"/>
      <c r="O22" s="29"/>
      <c r="P22" s="29"/>
      <c r="Q22" s="29"/>
      <c r="R22" s="153"/>
      <c r="S22" s="29"/>
      <c r="T22" s="29"/>
      <c r="U22" s="29"/>
      <c r="V22" s="36"/>
      <c r="W22" s="29"/>
      <c r="X22" s="29"/>
      <c r="Y22" s="73"/>
      <c r="Z22" s="40"/>
      <c r="AA22" s="16"/>
      <c r="AB22" s="36"/>
    </row>
    <row r="23" spans="2:28" ht="15" customHeight="1" x14ac:dyDescent="0.3">
      <c r="B23" s="11">
        <f t="shared" si="1"/>
        <v>16</v>
      </c>
      <c r="C23" s="106"/>
      <c r="D23" s="189"/>
      <c r="E23" s="120"/>
      <c r="F23" s="120"/>
      <c r="G23" s="46">
        <v>0</v>
      </c>
      <c r="H23" s="46">
        <v>0</v>
      </c>
      <c r="I23" s="46">
        <v>0</v>
      </c>
      <c r="J23" s="46">
        <v>0</v>
      </c>
      <c r="K23" s="54">
        <v>0</v>
      </c>
      <c r="L23" s="46">
        <f t="shared" si="0"/>
        <v>0</v>
      </c>
      <c r="M23" s="36"/>
      <c r="N23" s="29"/>
      <c r="O23" s="29"/>
      <c r="P23" s="29"/>
      <c r="Q23" s="29"/>
      <c r="R23" s="153"/>
      <c r="S23" s="29"/>
      <c r="T23" s="29"/>
      <c r="U23" s="29"/>
      <c r="V23" s="36"/>
      <c r="W23" s="29"/>
      <c r="X23" s="29"/>
      <c r="Y23" s="73"/>
      <c r="Z23" s="40"/>
      <c r="AA23" s="16"/>
      <c r="AB23" s="36"/>
    </row>
    <row r="24" spans="2:28" ht="15" customHeight="1" x14ac:dyDescent="0.3">
      <c r="B24" s="11">
        <f t="shared" si="1"/>
        <v>17</v>
      </c>
      <c r="C24" s="106"/>
      <c r="D24" s="189"/>
      <c r="E24" s="120"/>
      <c r="F24" s="120"/>
      <c r="G24" s="46">
        <v>0</v>
      </c>
      <c r="H24" s="46">
        <v>0</v>
      </c>
      <c r="I24" s="46">
        <v>0</v>
      </c>
      <c r="J24" s="46">
        <v>0</v>
      </c>
      <c r="K24" s="54">
        <v>0</v>
      </c>
      <c r="L24" s="46">
        <f t="shared" si="0"/>
        <v>0</v>
      </c>
      <c r="M24" s="36"/>
      <c r="N24" s="29"/>
      <c r="O24" s="29"/>
      <c r="P24" s="29"/>
      <c r="Q24" s="29"/>
      <c r="R24" s="153"/>
      <c r="S24" s="29"/>
      <c r="T24" s="29"/>
      <c r="U24" s="29"/>
      <c r="V24" s="36"/>
      <c r="W24" s="29"/>
      <c r="X24" s="29"/>
      <c r="Y24" s="73"/>
      <c r="Z24" s="40"/>
      <c r="AA24" s="16"/>
      <c r="AB24" s="36"/>
    </row>
    <row r="25" spans="2:28" ht="15" customHeight="1" x14ac:dyDescent="0.3">
      <c r="B25" s="11">
        <f t="shared" si="1"/>
        <v>18</v>
      </c>
      <c r="C25" s="106"/>
      <c r="D25" s="189"/>
      <c r="E25" s="120"/>
      <c r="F25" s="120"/>
      <c r="G25" s="46">
        <v>0</v>
      </c>
      <c r="H25" s="46">
        <v>0</v>
      </c>
      <c r="I25" s="46">
        <v>0</v>
      </c>
      <c r="J25" s="46">
        <v>0</v>
      </c>
      <c r="K25" s="54">
        <v>0</v>
      </c>
      <c r="L25" s="46">
        <f t="shared" si="0"/>
        <v>0</v>
      </c>
      <c r="M25" s="36"/>
      <c r="N25" s="29"/>
      <c r="O25" s="29"/>
      <c r="P25" s="29"/>
      <c r="Q25" s="29"/>
      <c r="R25" s="153"/>
      <c r="S25" s="29"/>
      <c r="T25" s="29"/>
      <c r="U25" s="29"/>
      <c r="V25" s="36"/>
      <c r="W25" s="29"/>
      <c r="X25" s="29"/>
      <c r="Y25" s="73"/>
      <c r="Z25" s="40"/>
      <c r="AA25" s="16"/>
      <c r="AB25" s="36"/>
    </row>
    <row r="26" spans="2:28" ht="15" customHeight="1" x14ac:dyDescent="0.3">
      <c r="B26" s="11">
        <f t="shared" si="1"/>
        <v>19</v>
      </c>
      <c r="C26" s="106"/>
      <c r="D26" s="189"/>
      <c r="E26" s="120"/>
      <c r="F26" s="120"/>
      <c r="G26" s="46">
        <v>0</v>
      </c>
      <c r="H26" s="46">
        <v>0</v>
      </c>
      <c r="I26" s="46">
        <v>0</v>
      </c>
      <c r="J26" s="46">
        <v>0</v>
      </c>
      <c r="K26" s="54">
        <v>0</v>
      </c>
      <c r="L26" s="46">
        <f t="shared" si="0"/>
        <v>0</v>
      </c>
      <c r="M26" s="36"/>
      <c r="N26" s="29"/>
      <c r="O26" s="29"/>
      <c r="P26" s="29"/>
      <c r="Q26" s="29"/>
      <c r="R26" s="153"/>
      <c r="S26" s="29"/>
      <c r="T26" s="29"/>
      <c r="U26" s="29"/>
      <c r="V26" s="36"/>
      <c r="W26" s="29"/>
      <c r="X26" s="29"/>
      <c r="Y26" s="73"/>
      <c r="Z26" s="40"/>
      <c r="AA26" s="16"/>
      <c r="AB26" s="36"/>
    </row>
    <row r="27" spans="2:28" ht="15" customHeight="1" x14ac:dyDescent="0.3">
      <c r="B27" s="11">
        <f t="shared" si="1"/>
        <v>20</v>
      </c>
      <c r="C27" s="106"/>
      <c r="D27" s="189"/>
      <c r="E27" s="120"/>
      <c r="F27" s="120"/>
      <c r="G27" s="46">
        <v>0</v>
      </c>
      <c r="H27" s="46">
        <v>0</v>
      </c>
      <c r="I27" s="46">
        <v>0</v>
      </c>
      <c r="J27" s="46">
        <v>0</v>
      </c>
      <c r="K27" s="54">
        <v>0</v>
      </c>
      <c r="L27" s="46">
        <f t="shared" si="0"/>
        <v>0</v>
      </c>
      <c r="M27" s="36"/>
      <c r="N27" s="29"/>
      <c r="O27" s="29"/>
      <c r="P27" s="29"/>
      <c r="Q27" s="29"/>
      <c r="R27" s="153"/>
      <c r="S27" s="29"/>
      <c r="T27" s="29"/>
      <c r="U27" s="29"/>
      <c r="V27" s="36"/>
      <c r="W27" s="29"/>
      <c r="X27" s="29"/>
      <c r="Y27" s="73"/>
      <c r="Z27" s="40"/>
      <c r="AA27" s="16"/>
      <c r="AB27" s="36"/>
    </row>
    <row r="28" spans="2:28" ht="15" customHeight="1" x14ac:dyDescent="0.3">
      <c r="B28" s="11">
        <f t="shared" si="1"/>
        <v>21</v>
      </c>
      <c r="C28" s="106"/>
      <c r="D28" s="189"/>
      <c r="E28" s="120"/>
      <c r="F28" s="120"/>
      <c r="G28" s="46">
        <v>0</v>
      </c>
      <c r="H28" s="46">
        <v>0</v>
      </c>
      <c r="I28" s="46">
        <v>0</v>
      </c>
      <c r="J28" s="46">
        <v>0</v>
      </c>
      <c r="K28" s="54">
        <v>0</v>
      </c>
      <c r="L28" s="46">
        <f t="shared" si="0"/>
        <v>0</v>
      </c>
      <c r="M28" s="36"/>
      <c r="N28" s="29"/>
      <c r="O28" s="29"/>
      <c r="P28" s="29"/>
      <c r="Q28" s="29"/>
      <c r="R28" s="153"/>
      <c r="S28" s="29"/>
      <c r="T28" s="29"/>
      <c r="U28" s="29"/>
      <c r="V28" s="36"/>
      <c r="W28" s="29"/>
      <c r="X28" s="29"/>
      <c r="Y28" s="73"/>
      <c r="Z28" s="40"/>
      <c r="AA28" s="16"/>
      <c r="AB28" s="36"/>
    </row>
    <row r="29" spans="2:28" ht="15" customHeight="1" x14ac:dyDescent="0.3">
      <c r="B29" s="11">
        <f t="shared" si="1"/>
        <v>22</v>
      </c>
      <c r="C29" s="106"/>
      <c r="D29" s="189"/>
      <c r="E29" s="120"/>
      <c r="F29" s="120"/>
      <c r="G29" s="46">
        <v>0</v>
      </c>
      <c r="H29" s="46">
        <v>0</v>
      </c>
      <c r="I29" s="46">
        <v>0</v>
      </c>
      <c r="J29" s="46">
        <v>0</v>
      </c>
      <c r="K29" s="54">
        <v>0</v>
      </c>
      <c r="L29" s="46">
        <f t="shared" si="0"/>
        <v>0</v>
      </c>
      <c r="M29" s="36"/>
      <c r="N29" s="29"/>
      <c r="O29" s="29"/>
      <c r="P29" s="29"/>
      <c r="Q29" s="29"/>
      <c r="R29" s="153"/>
      <c r="S29" s="29"/>
      <c r="T29" s="29"/>
      <c r="U29" s="29"/>
      <c r="V29" s="36"/>
      <c r="W29" s="29"/>
      <c r="X29" s="29"/>
      <c r="Y29" s="73"/>
      <c r="Z29" s="40"/>
      <c r="AA29" s="16"/>
      <c r="AB29" s="36"/>
    </row>
    <row r="30" spans="2:28" ht="15" customHeight="1" x14ac:dyDescent="0.3">
      <c r="B30" s="11">
        <f t="shared" si="1"/>
        <v>23</v>
      </c>
      <c r="C30" s="106"/>
      <c r="D30" s="189"/>
      <c r="E30" s="120"/>
      <c r="F30" s="120"/>
      <c r="G30" s="46">
        <v>0</v>
      </c>
      <c r="H30" s="46">
        <v>0</v>
      </c>
      <c r="I30" s="46">
        <v>0</v>
      </c>
      <c r="J30" s="46">
        <v>0</v>
      </c>
      <c r="K30" s="54">
        <v>0</v>
      </c>
      <c r="L30" s="46">
        <f t="shared" si="0"/>
        <v>0</v>
      </c>
      <c r="M30" s="36"/>
      <c r="N30" s="29"/>
      <c r="O30" s="29"/>
      <c r="P30" s="29"/>
      <c r="Q30" s="29"/>
      <c r="R30" s="153"/>
      <c r="S30" s="29"/>
      <c r="T30" s="29"/>
      <c r="U30" s="29"/>
      <c r="V30" s="36"/>
      <c r="W30" s="29"/>
      <c r="X30" s="29"/>
      <c r="Y30" s="73"/>
      <c r="Z30" s="40"/>
      <c r="AA30" s="16"/>
      <c r="AB30" s="36"/>
    </row>
    <row r="31" spans="2:28" ht="15" customHeight="1" x14ac:dyDescent="0.3">
      <c r="B31" s="11">
        <f t="shared" si="1"/>
        <v>24</v>
      </c>
      <c r="C31" s="106"/>
      <c r="D31" s="189"/>
      <c r="E31" s="120"/>
      <c r="F31" s="120"/>
      <c r="G31" s="46">
        <v>0</v>
      </c>
      <c r="H31" s="46">
        <v>0</v>
      </c>
      <c r="I31" s="46">
        <v>0</v>
      </c>
      <c r="J31" s="46">
        <v>0</v>
      </c>
      <c r="K31" s="54">
        <v>0</v>
      </c>
      <c r="L31" s="46">
        <f t="shared" si="0"/>
        <v>0</v>
      </c>
      <c r="M31" s="36"/>
      <c r="N31" s="29"/>
      <c r="O31" s="29"/>
      <c r="P31" s="29"/>
      <c r="Q31" s="29"/>
      <c r="R31" s="153"/>
      <c r="S31" s="29"/>
      <c r="T31" s="29"/>
      <c r="U31" s="29"/>
      <c r="V31" s="36"/>
      <c r="W31" s="29"/>
      <c r="X31" s="29"/>
      <c r="Y31" s="73"/>
      <c r="Z31" s="40"/>
      <c r="AA31" s="16"/>
      <c r="AB31" s="36"/>
    </row>
    <row r="32" spans="2:28" ht="15" customHeight="1" x14ac:dyDescent="0.3">
      <c r="B32" s="11">
        <f t="shared" si="1"/>
        <v>25</v>
      </c>
      <c r="C32" s="106"/>
      <c r="D32" s="189"/>
      <c r="E32" s="120"/>
      <c r="F32" s="120"/>
      <c r="G32" s="46">
        <v>0</v>
      </c>
      <c r="H32" s="46">
        <v>0</v>
      </c>
      <c r="I32" s="46">
        <v>0</v>
      </c>
      <c r="J32" s="46">
        <v>0</v>
      </c>
      <c r="K32" s="54">
        <v>0</v>
      </c>
      <c r="L32" s="46">
        <f t="shared" si="0"/>
        <v>0</v>
      </c>
      <c r="M32" s="36"/>
      <c r="N32" s="29"/>
      <c r="O32" s="29"/>
      <c r="P32" s="29"/>
      <c r="Q32" s="29"/>
      <c r="R32" s="153"/>
      <c r="S32" s="29"/>
      <c r="T32" s="29"/>
      <c r="U32" s="29"/>
      <c r="V32" s="36"/>
      <c r="W32" s="29"/>
      <c r="X32" s="29"/>
      <c r="Y32" s="73"/>
      <c r="Z32" s="40"/>
      <c r="AA32" s="16"/>
      <c r="AB32" s="36"/>
    </row>
    <row r="33" spans="2:28" ht="15" customHeight="1" x14ac:dyDescent="0.3">
      <c r="B33" s="11">
        <f t="shared" si="1"/>
        <v>26</v>
      </c>
      <c r="C33" s="106"/>
      <c r="D33" s="189"/>
      <c r="E33" s="120"/>
      <c r="F33" s="120"/>
      <c r="G33" s="46">
        <v>0</v>
      </c>
      <c r="H33" s="46">
        <v>0</v>
      </c>
      <c r="I33" s="46">
        <v>0</v>
      </c>
      <c r="J33" s="46">
        <v>0</v>
      </c>
      <c r="K33" s="54">
        <v>0</v>
      </c>
      <c r="L33" s="46">
        <f t="shared" si="0"/>
        <v>0</v>
      </c>
      <c r="M33" s="36"/>
      <c r="N33" s="29"/>
      <c r="O33" s="29"/>
      <c r="P33" s="29"/>
      <c r="Q33" s="29"/>
      <c r="R33" s="153"/>
      <c r="S33" s="29"/>
      <c r="T33" s="29"/>
      <c r="U33" s="29"/>
      <c r="V33" s="36"/>
      <c r="W33" s="29"/>
      <c r="X33" s="29"/>
      <c r="Y33" s="73"/>
      <c r="Z33" s="40"/>
      <c r="AA33" s="16"/>
      <c r="AB33" s="36"/>
    </row>
    <row r="34" spans="2:28" ht="15" customHeight="1" x14ac:dyDescent="0.3">
      <c r="B34" s="11">
        <f t="shared" si="1"/>
        <v>27</v>
      </c>
      <c r="C34" s="106"/>
      <c r="D34" s="213"/>
      <c r="E34" s="120"/>
      <c r="F34" s="120"/>
      <c r="G34" s="46">
        <v>0</v>
      </c>
      <c r="H34" s="46">
        <v>0</v>
      </c>
      <c r="I34" s="46">
        <v>0</v>
      </c>
      <c r="J34" s="46">
        <v>0</v>
      </c>
      <c r="K34" s="54">
        <v>0</v>
      </c>
      <c r="L34" s="46">
        <f t="shared" ref="L34:L37" si="2">SUM(G34:J34)-K34</f>
        <v>0</v>
      </c>
      <c r="M34" s="36"/>
      <c r="N34" s="29"/>
      <c r="O34" s="29"/>
      <c r="P34" s="29"/>
      <c r="Q34" s="29"/>
      <c r="R34" s="153"/>
      <c r="S34" s="29"/>
      <c r="T34" s="29"/>
      <c r="U34" s="29"/>
      <c r="V34" s="36"/>
      <c r="W34" s="29"/>
      <c r="X34" s="29"/>
      <c r="Y34" s="29"/>
      <c r="Z34" s="40"/>
      <c r="AA34" s="16"/>
      <c r="AB34" s="36"/>
    </row>
    <row r="35" spans="2:28" ht="15" customHeight="1" x14ac:dyDescent="0.3">
      <c r="B35" s="11">
        <f t="shared" si="1"/>
        <v>28</v>
      </c>
      <c r="C35" s="106"/>
      <c r="D35" s="189"/>
      <c r="E35" s="120"/>
      <c r="F35" s="120"/>
      <c r="G35" s="46">
        <v>0</v>
      </c>
      <c r="H35" s="46">
        <v>0</v>
      </c>
      <c r="I35" s="46">
        <v>0</v>
      </c>
      <c r="J35" s="46">
        <v>0</v>
      </c>
      <c r="K35" s="54">
        <v>0</v>
      </c>
      <c r="L35" s="46">
        <f t="shared" si="2"/>
        <v>0</v>
      </c>
      <c r="M35" s="36"/>
      <c r="N35" s="29"/>
      <c r="O35" s="29"/>
      <c r="P35" s="29"/>
      <c r="Q35" s="29"/>
      <c r="R35" s="153"/>
      <c r="S35" s="29"/>
      <c r="T35" s="29"/>
      <c r="U35" s="29"/>
      <c r="V35" s="36"/>
      <c r="W35" s="29"/>
      <c r="X35" s="29"/>
      <c r="Y35" s="73"/>
      <c r="Z35" s="40"/>
      <c r="AA35" s="16"/>
      <c r="AB35" s="36"/>
    </row>
    <row r="36" spans="2:28" ht="15" customHeight="1" x14ac:dyDescent="0.3">
      <c r="B36" s="11">
        <f t="shared" si="1"/>
        <v>29</v>
      </c>
      <c r="C36" s="106"/>
      <c r="D36" s="213"/>
      <c r="E36" s="120"/>
      <c r="F36" s="120"/>
      <c r="G36" s="46">
        <v>0</v>
      </c>
      <c r="H36" s="46">
        <v>0</v>
      </c>
      <c r="I36" s="46">
        <v>0</v>
      </c>
      <c r="J36" s="46">
        <v>0</v>
      </c>
      <c r="K36" s="54">
        <v>0</v>
      </c>
      <c r="L36" s="46">
        <f t="shared" si="2"/>
        <v>0</v>
      </c>
      <c r="M36" s="36"/>
      <c r="N36" s="29"/>
      <c r="O36" s="29"/>
      <c r="P36" s="29"/>
      <c r="Q36" s="29"/>
      <c r="R36" s="153"/>
      <c r="S36" s="29"/>
      <c r="T36" s="29"/>
      <c r="U36" s="29"/>
      <c r="V36" s="36"/>
      <c r="W36" s="29"/>
      <c r="X36" s="29"/>
      <c r="Y36" s="29"/>
      <c r="Z36" s="40"/>
      <c r="AA36" s="16"/>
      <c r="AB36" s="36"/>
    </row>
    <row r="37" spans="2:28" ht="15" customHeight="1" x14ac:dyDescent="0.3">
      <c r="B37" s="11">
        <f t="shared" si="1"/>
        <v>30</v>
      </c>
      <c r="C37" s="106"/>
      <c r="D37" s="213"/>
      <c r="E37" s="120"/>
      <c r="F37" s="120"/>
      <c r="G37" s="46">
        <v>0</v>
      </c>
      <c r="H37" s="46">
        <v>0</v>
      </c>
      <c r="I37" s="46">
        <v>0</v>
      </c>
      <c r="J37" s="46">
        <v>0</v>
      </c>
      <c r="K37" s="54">
        <v>0</v>
      </c>
      <c r="L37" s="46">
        <f t="shared" si="2"/>
        <v>0</v>
      </c>
      <c r="M37" s="36"/>
      <c r="N37" s="29"/>
      <c r="O37" s="29"/>
      <c r="P37" s="29"/>
      <c r="Q37" s="29"/>
      <c r="R37" s="153"/>
      <c r="S37" s="29"/>
      <c r="T37" s="29"/>
      <c r="U37" s="29"/>
      <c r="V37" s="36"/>
      <c r="W37" s="29"/>
      <c r="X37" s="29"/>
      <c r="Y37" s="29"/>
      <c r="Z37" s="40"/>
      <c r="AA37" s="16"/>
      <c r="AB37" s="36"/>
    </row>
    <row r="38" spans="2:28" x14ac:dyDescent="0.3">
      <c r="B38" s="11"/>
      <c r="C38" s="108"/>
      <c r="D38" s="16"/>
      <c r="E38" s="121"/>
      <c r="F38" s="121"/>
      <c r="G38" s="46">
        <v>0</v>
      </c>
      <c r="H38" s="46">
        <v>0</v>
      </c>
      <c r="I38" s="46">
        <v>0</v>
      </c>
      <c r="J38" s="46">
        <v>0</v>
      </c>
      <c r="K38" s="54">
        <v>0</v>
      </c>
      <c r="L38" s="46">
        <f t="shared" si="0"/>
        <v>0</v>
      </c>
      <c r="M38" s="36"/>
      <c r="N38" s="29"/>
      <c r="O38" s="29"/>
      <c r="P38" s="1"/>
      <c r="Q38" s="1"/>
      <c r="R38" s="153"/>
      <c r="S38" s="29"/>
      <c r="T38" s="29"/>
      <c r="U38" s="29"/>
      <c r="V38" s="36"/>
      <c r="W38" s="29"/>
      <c r="X38" s="29"/>
      <c r="Y38" s="29"/>
      <c r="Z38" s="40"/>
      <c r="AA38" s="16"/>
      <c r="AB38" s="36"/>
    </row>
    <row r="39" spans="2:28" x14ac:dyDescent="0.3">
      <c r="C39" s="104"/>
      <c r="D39" s="61"/>
      <c r="E39" s="80"/>
      <c r="F39" s="80"/>
      <c r="G39" s="79">
        <f t="shared" ref="G39:L39" si="3">SUBTOTAL(9,G8:G38)</f>
        <v>0</v>
      </c>
      <c r="H39" s="79">
        <f t="shared" si="3"/>
        <v>0</v>
      </c>
      <c r="I39" s="79">
        <f t="shared" si="3"/>
        <v>0</v>
      </c>
      <c r="J39" s="79">
        <f t="shared" si="3"/>
        <v>0</v>
      </c>
      <c r="K39" s="79">
        <f t="shared" si="3"/>
        <v>0</v>
      </c>
      <c r="L39" s="79">
        <f t="shared" si="3"/>
        <v>0</v>
      </c>
      <c r="M39" s="70"/>
      <c r="N39" s="147"/>
      <c r="O39" s="147"/>
      <c r="P39" s="17"/>
      <c r="Q39" s="30">
        <f>SUBTOTAL(2,Q8:Q38)</f>
        <v>0</v>
      </c>
      <c r="R39" s="18"/>
      <c r="S39" s="19"/>
      <c r="T39" s="19"/>
      <c r="U39" s="19"/>
      <c r="V39" s="19"/>
      <c r="W39" s="19"/>
      <c r="X39" s="19"/>
      <c r="Y39" s="19"/>
      <c r="Z39" s="34"/>
      <c r="AA39" s="22"/>
      <c r="AB39" s="37"/>
    </row>
    <row r="40" spans="2:28" x14ac:dyDescent="0.3">
      <c r="G40" s="52"/>
      <c r="H40" s="52"/>
      <c r="I40" s="52"/>
      <c r="J40" s="52"/>
      <c r="K40" s="52"/>
      <c r="L40" s="52"/>
    </row>
    <row r="41" spans="2:28" x14ac:dyDescent="0.3">
      <c r="G41" s="52"/>
      <c r="H41" s="52"/>
      <c r="I41" s="52"/>
      <c r="J41" s="52"/>
      <c r="K41" s="52"/>
      <c r="L41" s="52"/>
    </row>
    <row r="42" spans="2:28" ht="15" thickBot="1" x14ac:dyDescent="0.35">
      <c r="C42" s="105"/>
      <c r="D42" s="20"/>
      <c r="E42" s="28"/>
      <c r="F42" s="28"/>
      <c r="G42" s="74">
        <f t="shared" ref="G42:L42" si="4">SUM(G8:G38)</f>
        <v>0</v>
      </c>
      <c r="H42" s="74">
        <f t="shared" si="4"/>
        <v>0</v>
      </c>
      <c r="I42" s="74">
        <f t="shared" si="4"/>
        <v>0</v>
      </c>
      <c r="J42" s="74">
        <f t="shared" si="4"/>
        <v>0</v>
      </c>
      <c r="K42" s="74">
        <f t="shared" si="4"/>
        <v>0</v>
      </c>
      <c r="L42" s="74">
        <f t="shared" si="4"/>
        <v>0</v>
      </c>
      <c r="M42" s="75"/>
      <c r="N42" s="148"/>
      <c r="O42" s="148"/>
      <c r="P42" s="14"/>
      <c r="R42" s="14"/>
      <c r="S42" s="14"/>
      <c r="T42" s="14"/>
      <c r="U42" s="14"/>
      <c r="V42" s="14"/>
      <c r="W42" s="14"/>
      <c r="X42" s="14"/>
      <c r="Y42" s="14"/>
      <c r="Z42" s="35"/>
      <c r="AA42" s="3"/>
    </row>
    <row r="43" spans="2:28" ht="15" thickTop="1" x14ac:dyDescent="0.3">
      <c r="R43" s="14"/>
    </row>
    <row r="45" spans="2:28" x14ac:dyDescent="0.3">
      <c r="F45" s="47"/>
      <c r="L45" s="68"/>
      <c r="O45" s="8"/>
      <c r="Y45" s="32"/>
      <c r="Z45"/>
      <c r="AA45" s="32"/>
    </row>
    <row r="46" spans="2:28" x14ac:dyDescent="0.3">
      <c r="D46" s="425" t="s">
        <v>127</v>
      </c>
      <c r="E46" s="426"/>
      <c r="F46" s="427"/>
      <c r="G46" s="8"/>
      <c r="I46" s="425" t="s">
        <v>128</v>
      </c>
      <c r="J46" s="426"/>
      <c r="K46" s="427"/>
      <c r="L46" s="8"/>
      <c r="M46" s="8"/>
      <c r="N46" s="8"/>
      <c r="O46" s="8"/>
      <c r="Y46" s="32"/>
      <c r="Z46"/>
      <c r="AA46" s="32"/>
    </row>
    <row r="47" spans="2:28" x14ac:dyDescent="0.3">
      <c r="D47" s="16" t="s">
        <v>129</v>
      </c>
      <c r="E47" s="92" t="s">
        <v>130</v>
      </c>
      <c r="F47" s="93" t="s">
        <v>131</v>
      </c>
      <c r="G47" s="91"/>
      <c r="I47" s="16" t="s">
        <v>129</v>
      </c>
      <c r="J47" s="92" t="s">
        <v>130</v>
      </c>
      <c r="K47" s="93" t="s">
        <v>131</v>
      </c>
      <c r="L47" s="8"/>
      <c r="M47" s="8"/>
      <c r="N47" s="8"/>
      <c r="O47" s="8"/>
      <c r="Y47" s="32"/>
      <c r="Z47"/>
      <c r="AA47" s="32"/>
    </row>
    <row r="48" spans="2:28" x14ac:dyDescent="0.3">
      <c r="D48" s="94">
        <f>SUMIF($AA$8:$AA$37,D47,$L$8:$L$38)</f>
        <v>0</v>
      </c>
      <c r="E48" s="94">
        <f>SUMIF($AA$8:$AA$37,E47,$L$8:$L$38)</f>
        <v>0</v>
      </c>
      <c r="F48" s="94">
        <f>SUMIF($AA$8:$AA$37,F47,$L$8:$L$37)</f>
        <v>0</v>
      </c>
      <c r="G48" s="95">
        <f>SUM(D48:F48)</f>
        <v>0</v>
      </c>
      <c r="I48" s="94">
        <f>SUMIF($AA$8:$AA$37,I47,$K$8:$K$37)</f>
        <v>0</v>
      </c>
      <c r="J48" s="94">
        <f>SUMIF($AA$8:$AA$37,J47,$K$8:$K$37)</f>
        <v>0</v>
      </c>
      <c r="K48" s="94">
        <f>SUMIF($AA$8:$AA$37,K47,$K$8:$K$37)</f>
        <v>0</v>
      </c>
      <c r="L48" s="95">
        <f>SUM(I48:K48)</f>
        <v>0</v>
      </c>
      <c r="M48" s="8"/>
      <c r="N48" s="8"/>
      <c r="O48" s="8"/>
      <c r="Y48" s="32"/>
      <c r="Z48"/>
      <c r="AA48" s="32"/>
    </row>
    <row r="49" spans="4:27" x14ac:dyDescent="0.3">
      <c r="E49"/>
      <c r="F49"/>
      <c r="G49" s="97">
        <f>L42-G48</f>
        <v>0</v>
      </c>
      <c r="I49" s="32"/>
      <c r="J49" s="32"/>
      <c r="K49" s="149"/>
      <c r="L49" s="97">
        <f>K42-L48</f>
        <v>0</v>
      </c>
      <c r="M49" s="8"/>
      <c r="N49" s="8"/>
      <c r="O49" s="8"/>
      <c r="Y49" s="32"/>
      <c r="Z49"/>
      <c r="AA49" s="32"/>
    </row>
    <row r="50" spans="4:27" x14ac:dyDescent="0.3">
      <c r="D50" s="47"/>
      <c r="E50" s="47"/>
      <c r="F50" s="47"/>
      <c r="H50" s="68"/>
      <c r="J50"/>
      <c r="K50"/>
      <c r="L50" s="8"/>
      <c r="M50" s="8"/>
      <c r="N50" s="8"/>
      <c r="O50" s="8"/>
    </row>
    <row r="51" spans="4:27" x14ac:dyDescent="0.3">
      <c r="H51" s="123" t="s">
        <v>132</v>
      </c>
      <c r="I51" s="47">
        <f>F48</f>
        <v>0</v>
      </c>
      <c r="L51" s="123"/>
      <c r="N51" s="8"/>
      <c r="O51" s="8"/>
    </row>
    <row r="52" spans="4:27" ht="15" thickBot="1" x14ac:dyDescent="0.35">
      <c r="H52" s="124" t="s">
        <v>133</v>
      </c>
      <c r="I52" s="99">
        <f>D48+E48+I48+J48+K48</f>
        <v>0</v>
      </c>
      <c r="L52" s="123"/>
      <c r="N52" s="8"/>
      <c r="O52" s="8"/>
    </row>
    <row r="53" spans="4:27" ht="15" thickTop="1" x14ac:dyDescent="0.3">
      <c r="H53" s="123" t="s">
        <v>134</v>
      </c>
      <c r="I53" s="47">
        <f>SUM(I51:I52)</f>
        <v>0</v>
      </c>
      <c r="L53" s="123"/>
      <c r="N53" s="8"/>
      <c r="O53" s="8"/>
    </row>
    <row r="54" spans="4:27" x14ac:dyDescent="0.3">
      <c r="I54" s="97">
        <f>G42-I53</f>
        <v>0</v>
      </c>
      <c r="L54" s="123"/>
      <c r="M54" s="8"/>
      <c r="N54" s="8"/>
      <c r="O54" s="8"/>
    </row>
    <row r="55" spans="4:27" x14ac:dyDescent="0.3">
      <c r="J55" s="68"/>
      <c r="K55" s="68"/>
      <c r="L55" s="119"/>
      <c r="M55" s="8"/>
      <c r="N55" s="8"/>
      <c r="O55" s="8"/>
    </row>
    <row r="56" spans="4:27" x14ac:dyDescent="0.3">
      <c r="J56" s="68"/>
      <c r="K56" s="68"/>
      <c r="L56" s="119"/>
      <c r="M56" s="8"/>
      <c r="N56" s="8"/>
      <c r="O56" s="8"/>
    </row>
  </sheetData>
  <autoFilter ref="B7:AB38" xr:uid="{00000000-0009-0000-0000-000009000000}"/>
  <dataConsolidate/>
  <mergeCells count="2">
    <mergeCell ref="D46:F46"/>
    <mergeCell ref="I46:K46"/>
  </mergeCells>
  <conditionalFormatting sqref="D47">
    <cfRule type="cellIs" dxfId="69" priority="50" operator="equal">
      <formula>"NO-OOS"</formula>
    </cfRule>
    <cfRule type="cellIs" dxfId="68" priority="51" operator="equal">
      <formula>"NO-CO"</formula>
    </cfRule>
    <cfRule type="cellIs" dxfId="67" priority="52" operator="equal">
      <formula>"YES"</formula>
    </cfRule>
  </conditionalFormatting>
  <conditionalFormatting sqref="I47">
    <cfRule type="cellIs" dxfId="66" priority="45" operator="equal">
      <formula>"NO-OOS"</formula>
    </cfRule>
    <cfRule type="cellIs" dxfId="65" priority="46" operator="equal">
      <formula>"NO-CO"</formula>
    </cfRule>
    <cfRule type="cellIs" dxfId="64" priority="47" operator="equal">
      <formula>"YES"</formula>
    </cfRule>
    <cfRule type="cellIs" dxfId="63" priority="48" operator="equal">
      <formula>"NO"</formula>
    </cfRule>
  </conditionalFormatting>
  <conditionalFormatting sqref="O8:O38">
    <cfRule type="cellIs" dxfId="62" priority="1" operator="equal">
      <formula>"N/A"</formula>
    </cfRule>
    <cfRule type="cellIs" dxfId="61" priority="40" operator="equal">
      <formula>"NO"</formula>
    </cfRule>
    <cfRule type="cellIs" dxfId="60" priority="41" operator="equal">
      <formula>"YES"</formula>
    </cfRule>
  </conditionalFormatting>
  <conditionalFormatting sqref="R8:R38">
    <cfRule type="cellIs" dxfId="59" priority="18" operator="equal">
      <formula>"NO"</formula>
    </cfRule>
    <cfRule type="cellIs" dxfId="58" priority="42" operator="equal">
      <formula>"N/A - (OOS)"</formula>
    </cfRule>
    <cfRule type="cellIs" dxfId="57" priority="43" operator="equal">
      <formula>"YES"</formula>
    </cfRule>
  </conditionalFormatting>
  <conditionalFormatting sqref="AA8:AA38">
    <cfRule type="cellIs" dxfId="56" priority="19" operator="equal">
      <formula>"NO-OOS"</formula>
    </cfRule>
    <cfRule type="cellIs" dxfId="55" priority="20" operator="equal">
      <formula>"NO-TX"</formula>
    </cfRule>
    <cfRule type="cellIs" dxfId="54" priority="21" operator="equal">
      <formula>"YES"</formula>
    </cfRule>
  </conditionalFormatting>
  <hyperlinks>
    <hyperlink ref="G42" location="'Comm Summary'!A1" display="'Comm Summary'!A1" xr:uid="{ACDF623C-107B-4616-8839-C071281A8CC9}"/>
    <hyperlink ref="H42:L42" location="'Comm Summary'!A1" display="'Comm Summary'!A1" xr:uid="{A996F155-0A59-4E42-88FC-C5AF7B43E957}"/>
  </hyperlinks>
  <pageMargins left="0.45" right="0.45" top="0.75" bottom="0.75" header="0.3" footer="0.3"/>
  <pageSetup scale="2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9091665-4475-4C79-B0D0-8EC40AF96469}">
          <x14:formula1>
            <xm:f>Legend!$C$2:$C$4</xm:f>
          </x14:formula1>
          <xm:sqref>O8:O38</xm:sqref>
        </x14:dataValidation>
        <x14:dataValidation type="list" allowBlank="1" showInputMessage="1" showErrorMessage="1" xr:uid="{B3016B21-4617-41A9-95BA-AEC2B1EA1621}">
          <x14:formula1>
            <xm:f>Legend!$D$2:$D$5</xm:f>
          </x14:formula1>
          <xm:sqref>R8:R38</xm:sqref>
        </x14:dataValidation>
        <x14:dataValidation type="list" allowBlank="1" showInputMessage="1" showErrorMessage="1" xr:uid="{7C7C2EC9-06A7-456F-94E2-833745D5C37E}">
          <x14:formula1>
            <xm:f>Legend!$E$2:$E$4</xm:f>
          </x14:formula1>
          <xm:sqref>AA8:AA38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7FFC4"/>
    <pageSetUpPr fitToPage="1"/>
  </sheetPr>
  <dimension ref="B1:X123"/>
  <sheetViews>
    <sheetView zoomScale="85" zoomScaleNormal="85" workbookViewId="0">
      <pane xSplit="2" ySplit="8" topLeftCell="Q9" activePane="bottomRight" state="frozen"/>
      <selection activeCell="H92" sqref="H92"/>
      <selection pane="topRight" activeCell="H92" sqref="H92"/>
      <selection pane="bottomLeft" activeCell="H92" sqref="H92"/>
      <selection pane="bottomRight" activeCell="W13" sqref="W13"/>
    </sheetView>
  </sheetViews>
  <sheetFormatPr defaultRowHeight="14.4" x14ac:dyDescent="0.3"/>
  <cols>
    <col min="1" max="1" width="2.5546875" customWidth="1"/>
    <col min="2" max="2" width="7.33203125" style="9" customWidth="1"/>
    <col min="3" max="3" width="12.5546875" style="109" customWidth="1"/>
    <col min="4" max="4" width="16.33203125" style="8" customWidth="1"/>
    <col min="5" max="5" width="13.6640625" style="27" customWidth="1"/>
    <col min="6" max="6" width="17.33203125" style="47" customWidth="1"/>
    <col min="7" max="7" width="18.109375" style="47" customWidth="1"/>
    <col min="8" max="8" width="20.6640625" style="47" bestFit="1" customWidth="1"/>
    <col min="9" max="9" width="28.5546875" style="68" customWidth="1"/>
    <col min="10" max="10" width="17.33203125" style="8" customWidth="1"/>
    <col min="11" max="11" width="12.6640625" style="8" customWidth="1"/>
    <col min="12" max="12" width="18.33203125" style="32" customWidth="1"/>
    <col min="13" max="13" width="19.5546875" style="8" customWidth="1"/>
    <col min="14" max="14" width="19.109375" style="8" customWidth="1"/>
    <col min="15" max="15" width="13.88671875" style="32" customWidth="1"/>
    <col min="16" max="16" width="42" style="32" customWidth="1"/>
    <col min="17" max="17" width="28.33203125" style="8" customWidth="1"/>
    <col min="18" max="18" width="18.109375" style="8" customWidth="1"/>
    <col min="19" max="19" width="9.33203125" style="8" customWidth="1"/>
    <col min="20" max="20" width="8.33203125" style="8" customWidth="1"/>
    <col min="21" max="21" width="19.33203125" style="32" customWidth="1"/>
    <col min="22" max="22" width="15.5546875" customWidth="1"/>
    <col min="23" max="23" width="125.33203125" style="32" bestFit="1" customWidth="1"/>
  </cols>
  <sheetData>
    <row r="1" spans="2:24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</row>
    <row r="2" spans="2:24" ht="15.6" x14ac:dyDescent="0.3">
      <c r="B2" s="116"/>
      <c r="C2" s="116"/>
      <c r="D2" s="116"/>
      <c r="E2" s="2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31"/>
      <c r="R2" s="31"/>
      <c r="S2" s="31"/>
      <c r="T2" s="116"/>
      <c r="U2" s="116"/>
      <c r="V2" s="31"/>
      <c r="W2" s="31"/>
      <c r="X2" s="116"/>
    </row>
    <row r="3" spans="2:24" x14ac:dyDescent="0.3">
      <c r="C3" s="9"/>
      <c r="D3" s="15"/>
      <c r="E3" s="23"/>
      <c r="F3"/>
      <c r="G3"/>
      <c r="H3"/>
      <c r="I3"/>
      <c r="J3"/>
      <c r="K3"/>
      <c r="L3"/>
      <c r="O3" s="8"/>
      <c r="Q3" s="32"/>
      <c r="R3" s="32"/>
      <c r="S3" s="32"/>
      <c r="U3" s="8"/>
      <c r="V3" s="32"/>
    </row>
    <row r="4" spans="2:24" ht="18" x14ac:dyDescent="0.35">
      <c r="C4" s="9"/>
      <c r="D4" s="15"/>
      <c r="E4" s="4"/>
      <c r="F4"/>
      <c r="G4"/>
      <c r="H4"/>
      <c r="I4"/>
      <c r="J4"/>
      <c r="K4"/>
      <c r="L4" s="4"/>
      <c r="M4" s="5"/>
      <c r="N4" s="5"/>
      <c r="O4" s="8"/>
      <c r="P4"/>
      <c r="Q4" s="4"/>
      <c r="R4" s="4"/>
      <c r="S4" s="4"/>
      <c r="T4" s="115"/>
      <c r="U4" s="115"/>
      <c r="V4" s="4"/>
      <c r="W4" s="4"/>
      <c r="X4" s="4"/>
    </row>
    <row r="5" spans="2:24" ht="18" x14ac:dyDescent="0.35">
      <c r="C5" s="9"/>
      <c r="D5" s="15"/>
      <c r="E5" s="4"/>
      <c r="F5"/>
      <c r="G5"/>
      <c r="H5"/>
      <c r="I5"/>
      <c r="J5"/>
      <c r="K5"/>
      <c r="L5" s="4"/>
      <c r="M5" s="5"/>
      <c r="N5" s="5"/>
      <c r="O5" s="8"/>
      <c r="P5" s="4"/>
      <c r="Q5" s="4"/>
      <c r="R5" s="4"/>
      <c r="S5" s="4"/>
      <c r="T5" s="115"/>
      <c r="U5" s="115"/>
      <c r="V5" s="4"/>
      <c r="W5" s="4"/>
      <c r="X5" s="4"/>
    </row>
    <row r="6" spans="2:24" ht="18" x14ac:dyDescent="0.35">
      <c r="C6" s="9"/>
      <c r="D6" s="15"/>
      <c r="E6" s="4"/>
      <c r="F6"/>
      <c r="G6"/>
      <c r="H6"/>
      <c r="I6"/>
      <c r="J6"/>
      <c r="K6"/>
      <c r="L6" s="4"/>
      <c r="M6" s="5"/>
      <c r="N6" s="5"/>
      <c r="O6" s="8"/>
      <c r="P6" s="4"/>
      <c r="Q6" s="4"/>
      <c r="R6" s="4"/>
      <c r="S6" s="4"/>
      <c r="T6" s="115"/>
      <c r="U6" s="115"/>
      <c r="V6" s="4"/>
      <c r="W6" s="4"/>
      <c r="X6" s="4"/>
    </row>
    <row r="7" spans="2:24" x14ac:dyDescent="0.3">
      <c r="C7" s="103"/>
      <c r="E7" s="103"/>
      <c r="F7" s="103"/>
      <c r="G7" s="103"/>
      <c r="J7" s="103"/>
      <c r="K7" s="103"/>
      <c r="M7" s="103"/>
      <c r="N7" s="103"/>
      <c r="O7" s="103"/>
      <c r="Q7" s="103"/>
      <c r="R7" s="103"/>
      <c r="S7" s="103"/>
      <c r="T7" s="103"/>
      <c r="U7" s="103"/>
      <c r="V7" s="103"/>
    </row>
    <row r="8" spans="2:24" s="7" customFormat="1" ht="18.75" customHeight="1" x14ac:dyDescent="0.3">
      <c r="B8" s="292" t="s">
        <v>85</v>
      </c>
      <c r="C8" s="293" t="s">
        <v>137</v>
      </c>
      <c r="D8" s="295" t="s">
        <v>124</v>
      </c>
      <c r="E8" s="293" t="s">
        <v>86</v>
      </c>
      <c r="F8" s="313" t="s">
        <v>154</v>
      </c>
      <c r="G8" s="397" t="s">
        <v>133</v>
      </c>
      <c r="H8" s="313" t="s">
        <v>155</v>
      </c>
      <c r="I8" s="314" t="s">
        <v>156</v>
      </c>
      <c r="J8" s="295" t="s">
        <v>144</v>
      </c>
      <c r="K8" s="295" t="s">
        <v>145</v>
      </c>
      <c r="L8" s="295" t="s">
        <v>157</v>
      </c>
      <c r="M8" s="295" t="s">
        <v>146</v>
      </c>
      <c r="N8" s="295" t="s">
        <v>111</v>
      </c>
      <c r="O8" s="295" t="s">
        <v>147</v>
      </c>
      <c r="P8" s="295" t="s">
        <v>148</v>
      </c>
      <c r="Q8" s="295" t="s">
        <v>149</v>
      </c>
      <c r="R8" s="295" t="s">
        <v>150</v>
      </c>
      <c r="S8" s="295" t="s">
        <v>116</v>
      </c>
      <c r="T8" s="295" t="s">
        <v>117</v>
      </c>
      <c r="U8" s="295" t="s">
        <v>151</v>
      </c>
      <c r="V8" s="295" t="s">
        <v>113</v>
      </c>
      <c r="W8" s="315" t="s">
        <v>118</v>
      </c>
      <c r="X8" s="398"/>
    </row>
    <row r="9" spans="2:24" x14ac:dyDescent="0.3">
      <c r="B9" s="11">
        <v>1</v>
      </c>
      <c r="C9" s="29"/>
      <c r="D9" s="84"/>
      <c r="E9" s="120"/>
      <c r="F9" s="46"/>
      <c r="G9" s="54"/>
      <c r="H9" s="46"/>
      <c r="I9" s="36"/>
      <c r="J9" s="29"/>
      <c r="K9" s="29"/>
      <c r="L9" s="152"/>
      <c r="M9" s="268"/>
      <c r="N9" s="1"/>
      <c r="O9" s="29"/>
      <c r="P9" s="36"/>
      <c r="Q9" s="36"/>
      <c r="R9" s="29"/>
      <c r="S9" s="29"/>
      <c r="T9" s="29"/>
      <c r="U9" s="154"/>
      <c r="V9" s="43"/>
      <c r="W9" s="36"/>
    </row>
    <row r="10" spans="2:24" x14ac:dyDescent="0.3">
      <c r="B10" s="11">
        <v>2</v>
      </c>
      <c r="C10" s="29"/>
      <c r="D10" s="84"/>
      <c r="E10" s="120"/>
      <c r="F10" s="46"/>
      <c r="G10" s="54"/>
      <c r="H10" s="46"/>
      <c r="I10" s="36"/>
      <c r="J10" s="29"/>
      <c r="K10" s="29"/>
      <c r="L10" s="152"/>
      <c r="M10" s="268"/>
      <c r="N10" s="1"/>
      <c r="O10" s="29"/>
      <c r="P10" s="36"/>
      <c r="Q10" s="36"/>
      <c r="R10" s="29"/>
      <c r="S10" s="29"/>
      <c r="T10" s="29"/>
      <c r="U10" s="154"/>
      <c r="V10" s="43"/>
      <c r="W10" s="36"/>
    </row>
    <row r="11" spans="2:24" x14ac:dyDescent="0.3">
      <c r="B11" s="11">
        <v>3</v>
      </c>
      <c r="C11" s="29"/>
      <c r="D11" s="84"/>
      <c r="E11" s="120"/>
      <c r="F11" s="46"/>
      <c r="G11" s="54"/>
      <c r="H11" s="46"/>
      <c r="I11" s="36"/>
      <c r="J11" s="29"/>
      <c r="K11" s="29"/>
      <c r="L11" s="152"/>
      <c r="M11" s="268"/>
      <c r="N11" s="1"/>
      <c r="O11" s="29"/>
      <c r="P11" s="36"/>
      <c r="Q11" s="36"/>
      <c r="R11" s="29"/>
      <c r="S11" s="29"/>
      <c r="T11" s="29"/>
      <c r="U11" s="154"/>
      <c r="V11" s="43"/>
      <c r="W11" s="36"/>
    </row>
    <row r="12" spans="2:24" x14ac:dyDescent="0.3">
      <c r="B12" s="11">
        <v>4</v>
      </c>
      <c r="C12" s="1"/>
      <c r="D12" s="84"/>
      <c r="E12" s="120"/>
      <c r="F12" s="46"/>
      <c r="G12" s="54"/>
      <c r="H12" s="46"/>
      <c r="I12" s="36"/>
      <c r="J12" s="29"/>
      <c r="K12" s="29"/>
      <c r="L12" s="152"/>
      <c r="M12" s="268"/>
      <c r="N12" s="1"/>
      <c r="O12" s="29"/>
      <c r="P12" s="36"/>
      <c r="Q12" s="36"/>
      <c r="R12" s="29"/>
      <c r="S12" s="29"/>
      <c r="T12" s="29"/>
      <c r="U12" s="154"/>
      <c r="V12" s="43"/>
      <c r="W12" s="36"/>
    </row>
    <row r="13" spans="2:24" ht="15" customHeight="1" x14ac:dyDescent="0.3">
      <c r="B13" s="11">
        <v>5</v>
      </c>
      <c r="C13" s="1"/>
      <c r="D13" s="84"/>
      <c r="E13" s="120"/>
      <c r="F13" s="46"/>
      <c r="G13" s="54"/>
      <c r="H13" s="46"/>
      <c r="I13" s="36"/>
      <c r="J13" s="29"/>
      <c r="K13" s="29"/>
      <c r="L13" s="152"/>
      <c r="M13" s="268"/>
      <c r="N13" s="1"/>
      <c r="O13" s="29"/>
      <c r="P13" s="36"/>
      <c r="Q13" s="36"/>
      <c r="R13" s="29"/>
      <c r="S13" s="29"/>
      <c r="T13" s="29"/>
      <c r="U13" s="154"/>
      <c r="V13" s="43"/>
      <c r="W13" s="36"/>
    </row>
    <row r="14" spans="2:24" ht="15" customHeight="1" x14ac:dyDescent="0.3">
      <c r="B14" s="11">
        <v>6</v>
      </c>
      <c r="C14" s="1"/>
      <c r="D14" s="85"/>
      <c r="E14" s="120"/>
      <c r="F14" s="46"/>
      <c r="G14" s="54"/>
      <c r="H14" s="46"/>
      <c r="I14" s="36"/>
      <c r="J14" s="29"/>
      <c r="K14" s="29"/>
      <c r="L14" s="152"/>
      <c r="M14" s="268"/>
      <c r="N14" s="1"/>
      <c r="O14" s="29"/>
      <c r="P14" s="36"/>
      <c r="Q14" s="36"/>
      <c r="R14" s="29"/>
      <c r="S14" s="29"/>
      <c r="T14" s="29"/>
      <c r="U14" s="154"/>
      <c r="V14" s="43"/>
      <c r="W14" s="36"/>
    </row>
    <row r="15" spans="2:24" x14ac:dyDescent="0.3">
      <c r="B15" s="11">
        <v>7</v>
      </c>
      <c r="C15" s="106"/>
      <c r="D15" s="86"/>
      <c r="E15" s="120"/>
      <c r="F15" s="46"/>
      <c r="G15" s="54"/>
      <c r="H15" s="46"/>
      <c r="I15" s="36"/>
      <c r="J15" s="29"/>
      <c r="K15" s="29"/>
      <c r="L15" s="152"/>
      <c r="M15" s="268"/>
      <c r="N15" s="1"/>
      <c r="O15" s="29"/>
      <c r="P15" s="36"/>
      <c r="Q15" s="36"/>
      <c r="R15" s="29"/>
      <c r="S15" s="29"/>
      <c r="T15" s="29"/>
      <c r="U15" s="154"/>
      <c r="V15" s="43"/>
      <c r="W15" s="36"/>
    </row>
    <row r="16" spans="2:24" x14ac:dyDescent="0.3">
      <c r="B16" s="11">
        <v>8</v>
      </c>
      <c r="C16" s="106"/>
      <c r="D16" s="86"/>
      <c r="E16" s="120"/>
      <c r="F16" s="46"/>
      <c r="G16" s="54"/>
      <c r="H16" s="46"/>
      <c r="I16" s="36"/>
      <c r="J16" s="29"/>
      <c r="K16" s="29"/>
      <c r="L16" s="152"/>
      <c r="M16" s="268"/>
      <c r="N16" s="1"/>
      <c r="O16" s="29"/>
      <c r="P16" s="36"/>
      <c r="Q16" s="36"/>
      <c r="R16" s="29"/>
      <c r="S16" s="29"/>
      <c r="T16" s="29"/>
      <c r="U16" s="154"/>
      <c r="V16" s="43"/>
      <c r="W16" s="36"/>
    </row>
    <row r="17" spans="2:23" x14ac:dyDescent="0.3">
      <c r="B17" s="11">
        <v>9</v>
      </c>
      <c r="C17" s="1"/>
      <c r="D17" s="86"/>
      <c r="E17" s="120"/>
      <c r="F17" s="46"/>
      <c r="G17" s="54"/>
      <c r="H17" s="46"/>
      <c r="I17" s="36"/>
      <c r="J17" s="29"/>
      <c r="K17" s="29"/>
      <c r="L17" s="156"/>
      <c r="M17" s="268"/>
      <c r="N17" s="1"/>
      <c r="O17" s="29"/>
      <c r="P17" s="36"/>
      <c r="Q17" s="36"/>
      <c r="R17" s="29"/>
      <c r="S17" s="29"/>
      <c r="T17" s="29"/>
      <c r="U17" s="154"/>
      <c r="V17" s="43"/>
      <c r="W17" s="36"/>
    </row>
    <row r="18" spans="2:23" x14ac:dyDescent="0.3">
      <c r="B18" s="11">
        <v>10</v>
      </c>
      <c r="C18" s="1"/>
      <c r="D18" s="86"/>
      <c r="E18" s="120"/>
      <c r="F18" s="46"/>
      <c r="G18" s="54"/>
      <c r="H18" s="46"/>
      <c r="I18" s="36"/>
      <c r="J18" s="29"/>
      <c r="K18" s="29"/>
      <c r="L18" s="152"/>
      <c r="M18" s="268"/>
      <c r="N18" s="1"/>
      <c r="O18" s="29"/>
      <c r="P18" s="36"/>
      <c r="Q18" s="36"/>
      <c r="R18" s="29"/>
      <c r="S18" s="29"/>
      <c r="T18" s="29"/>
      <c r="U18" s="154"/>
      <c r="V18" s="43"/>
      <c r="W18" s="36"/>
    </row>
    <row r="19" spans="2:23" ht="15" customHeight="1" x14ac:dyDescent="0.3">
      <c r="B19" s="11">
        <v>11</v>
      </c>
      <c r="C19" s="1"/>
      <c r="D19" s="86"/>
      <c r="E19" s="120"/>
      <c r="F19" s="46"/>
      <c r="G19" s="54"/>
      <c r="H19" s="46"/>
      <c r="I19" s="36"/>
      <c r="J19" s="29"/>
      <c r="K19" s="29"/>
      <c r="L19" s="152"/>
      <c r="M19" s="268"/>
      <c r="N19" s="1"/>
      <c r="O19" s="29"/>
      <c r="P19" s="36"/>
      <c r="Q19" s="36"/>
      <c r="R19" s="29"/>
      <c r="S19" s="29"/>
      <c r="T19" s="29"/>
      <c r="U19" s="154"/>
      <c r="V19" s="43"/>
      <c r="W19" s="36"/>
    </row>
    <row r="20" spans="2:23" x14ac:dyDescent="0.3">
      <c r="B20" s="11">
        <v>12</v>
      </c>
      <c r="C20" s="1"/>
      <c r="D20" s="84"/>
      <c r="E20" s="120"/>
      <c r="F20" s="46"/>
      <c r="G20" s="54"/>
      <c r="H20" s="46"/>
      <c r="I20" s="36"/>
      <c r="J20" s="29"/>
      <c r="K20" s="29"/>
      <c r="L20" s="27"/>
      <c r="M20" s="268"/>
      <c r="N20" s="1"/>
      <c r="O20" s="29"/>
      <c r="Q20" s="36"/>
      <c r="R20" s="29"/>
      <c r="S20" s="29"/>
      <c r="T20" s="29"/>
      <c r="U20" s="154"/>
      <c r="V20" s="43"/>
      <c r="W20" s="36"/>
    </row>
    <row r="21" spans="2:23" x14ac:dyDescent="0.3">
      <c r="B21" s="11">
        <v>13</v>
      </c>
      <c r="C21" s="1"/>
      <c r="D21" s="84"/>
      <c r="E21" s="120"/>
      <c r="F21" s="46"/>
      <c r="G21" s="54"/>
      <c r="H21" s="46"/>
      <c r="I21" s="36"/>
      <c r="J21" s="29"/>
      <c r="K21" s="29"/>
      <c r="L21" s="152"/>
      <c r="M21" s="268"/>
      <c r="N21" s="1"/>
      <c r="O21" s="29"/>
      <c r="P21" s="36"/>
      <c r="Q21" s="36"/>
      <c r="R21" s="29"/>
      <c r="S21" s="29"/>
      <c r="T21" s="29"/>
      <c r="U21" s="154"/>
      <c r="V21" s="43"/>
      <c r="W21" s="36"/>
    </row>
    <row r="22" spans="2:23" ht="15" customHeight="1" x14ac:dyDescent="0.3">
      <c r="B22" s="11">
        <v>14</v>
      </c>
      <c r="C22" s="1"/>
      <c r="D22" s="85"/>
      <c r="E22" s="120"/>
      <c r="F22" s="46"/>
      <c r="G22" s="54"/>
      <c r="H22" s="46"/>
      <c r="I22" s="36"/>
      <c r="J22" s="29"/>
      <c r="K22" s="29"/>
      <c r="L22" s="152"/>
      <c r="M22" s="268"/>
      <c r="N22" s="1"/>
      <c r="O22" s="29"/>
      <c r="P22" s="36"/>
      <c r="Q22" s="36"/>
      <c r="R22" s="29"/>
      <c r="S22" s="29"/>
      <c r="T22" s="73"/>
      <c r="U22" s="154"/>
      <c r="V22" s="43"/>
      <c r="W22" s="36"/>
    </row>
    <row r="23" spans="2:23" x14ac:dyDescent="0.3">
      <c r="B23" s="11">
        <v>15</v>
      </c>
      <c r="C23" s="1"/>
      <c r="D23" s="85"/>
      <c r="E23" s="120"/>
      <c r="F23" s="46"/>
      <c r="G23" s="54"/>
      <c r="H23" s="46"/>
      <c r="I23" s="36"/>
      <c r="J23" s="29"/>
      <c r="K23" s="29"/>
      <c r="L23" s="152"/>
      <c r="M23" s="268"/>
      <c r="N23" s="1"/>
      <c r="O23" s="29"/>
      <c r="P23" s="36"/>
      <c r="Q23" s="36"/>
      <c r="R23" s="29"/>
      <c r="S23" s="29"/>
      <c r="T23" s="73"/>
      <c r="U23" s="154"/>
      <c r="V23" s="43"/>
      <c r="W23" s="36"/>
    </row>
    <row r="24" spans="2:23" x14ac:dyDescent="0.3">
      <c r="B24" s="11">
        <v>16</v>
      </c>
      <c r="C24" s="1"/>
      <c r="D24" s="85"/>
      <c r="E24" s="120"/>
      <c r="F24" s="46"/>
      <c r="G24" s="54"/>
      <c r="H24" s="46"/>
      <c r="I24" s="36"/>
      <c r="J24" s="29"/>
      <c r="K24" s="29"/>
      <c r="L24" s="152"/>
      <c r="M24" s="268"/>
      <c r="N24" s="1"/>
      <c r="O24" s="29"/>
      <c r="P24" s="36"/>
      <c r="Q24" s="36"/>
      <c r="R24" s="29"/>
      <c r="S24" s="29"/>
      <c r="T24" s="73"/>
      <c r="U24" s="154"/>
      <c r="V24" s="43"/>
      <c r="W24" s="36"/>
    </row>
    <row r="25" spans="2:23" x14ac:dyDescent="0.3">
      <c r="B25" s="11">
        <v>17</v>
      </c>
      <c r="C25" s="1"/>
      <c r="D25" s="86"/>
      <c r="E25" s="120"/>
      <c r="F25" s="46"/>
      <c r="G25" s="54"/>
      <c r="H25" s="46"/>
      <c r="I25" s="36"/>
      <c r="J25" s="29"/>
      <c r="K25" s="29"/>
      <c r="L25" s="156"/>
      <c r="M25" s="268"/>
      <c r="N25" s="1"/>
      <c r="O25" s="29"/>
      <c r="P25" s="36"/>
      <c r="Q25" s="36"/>
      <c r="R25" s="29"/>
      <c r="S25" s="29"/>
      <c r="T25" s="29"/>
      <c r="U25" s="154"/>
      <c r="V25" s="43"/>
      <c r="W25" s="36"/>
    </row>
    <row r="26" spans="2:23" ht="15" customHeight="1" x14ac:dyDescent="0.3">
      <c r="B26" s="11">
        <v>18</v>
      </c>
      <c r="C26" s="1"/>
      <c r="D26" s="85"/>
      <c r="E26" s="120"/>
      <c r="F26" s="46"/>
      <c r="G26" s="54"/>
      <c r="H26" s="46"/>
      <c r="I26" s="36"/>
      <c r="J26" s="29"/>
      <c r="K26" s="29"/>
      <c r="L26" s="152"/>
      <c r="M26" s="268"/>
      <c r="N26" s="1"/>
      <c r="O26" s="29"/>
      <c r="P26" s="36"/>
      <c r="Q26" s="36"/>
      <c r="R26" s="29"/>
      <c r="S26" s="29"/>
      <c r="T26" s="29"/>
      <c r="U26" s="154"/>
      <c r="V26" s="43"/>
      <c r="W26" s="36"/>
    </row>
    <row r="27" spans="2:23" ht="15" customHeight="1" x14ac:dyDescent="0.3">
      <c r="B27" s="11">
        <v>19</v>
      </c>
      <c r="C27" s="1"/>
      <c r="D27" s="85"/>
      <c r="E27" s="120"/>
      <c r="F27" s="46"/>
      <c r="G27" s="54"/>
      <c r="H27" s="46"/>
      <c r="I27" s="36"/>
      <c r="J27" s="29"/>
      <c r="K27" s="29"/>
      <c r="L27" s="152"/>
      <c r="M27" s="268"/>
      <c r="N27" s="1"/>
      <c r="O27" s="29"/>
      <c r="P27" s="36"/>
      <c r="Q27" s="36"/>
      <c r="R27" s="29"/>
      <c r="S27" s="29"/>
      <c r="T27" s="29"/>
      <c r="U27" s="154"/>
      <c r="V27" s="43"/>
      <c r="W27" s="36"/>
    </row>
    <row r="28" spans="2:23" ht="15" customHeight="1" x14ac:dyDescent="0.3">
      <c r="B28" s="11">
        <v>20</v>
      </c>
      <c r="C28" s="1"/>
      <c r="D28" s="85"/>
      <c r="E28" s="120"/>
      <c r="F28" s="46"/>
      <c r="G28" s="54"/>
      <c r="H28" s="46"/>
      <c r="I28" s="36"/>
      <c r="J28" s="29"/>
      <c r="K28" s="29"/>
      <c r="L28" s="152"/>
      <c r="M28" s="268"/>
      <c r="N28" s="1"/>
      <c r="O28" s="29"/>
      <c r="P28" s="36"/>
      <c r="Q28" s="36"/>
      <c r="R28" s="29"/>
      <c r="S28" s="29"/>
      <c r="T28" s="29"/>
      <c r="U28" s="154"/>
      <c r="V28" s="43"/>
      <c r="W28" s="36"/>
    </row>
    <row r="29" spans="2:23" ht="15" customHeight="1" x14ac:dyDescent="0.3">
      <c r="B29" s="11">
        <v>21</v>
      </c>
      <c r="C29" s="1"/>
      <c r="D29" s="85"/>
      <c r="E29" s="120"/>
      <c r="F29" s="46"/>
      <c r="G29" s="54"/>
      <c r="H29" s="46"/>
      <c r="I29" s="36"/>
      <c r="J29" s="29"/>
      <c r="K29" s="29"/>
      <c r="L29" s="152"/>
      <c r="M29" s="268"/>
      <c r="N29" s="1"/>
      <c r="O29" s="29"/>
      <c r="P29" s="36"/>
      <c r="Q29" s="36"/>
      <c r="R29" s="29"/>
      <c r="S29" s="29"/>
      <c r="T29" s="29"/>
      <c r="U29" s="154"/>
      <c r="V29" s="43"/>
      <c r="W29" s="36"/>
    </row>
    <row r="30" spans="2:23" ht="15" customHeight="1" x14ac:dyDescent="0.3">
      <c r="B30" s="11">
        <v>22</v>
      </c>
      <c r="C30" s="1"/>
      <c r="D30" s="85"/>
      <c r="E30" s="120"/>
      <c r="F30" s="46"/>
      <c r="G30" s="54"/>
      <c r="H30" s="46"/>
      <c r="I30" s="36"/>
      <c r="J30" s="29"/>
      <c r="K30" s="29"/>
      <c r="L30" s="152"/>
      <c r="M30" s="268"/>
      <c r="N30" s="1"/>
      <c r="O30" s="29"/>
      <c r="P30" s="36"/>
      <c r="Q30" s="36"/>
      <c r="R30" s="29"/>
      <c r="S30" s="29"/>
      <c r="T30" s="29"/>
      <c r="U30" s="154"/>
      <c r="V30" s="43"/>
      <c r="W30" s="36"/>
    </row>
    <row r="31" spans="2:23" ht="15" customHeight="1" x14ac:dyDescent="0.3">
      <c r="B31" s="11">
        <v>23</v>
      </c>
      <c r="C31" s="1"/>
      <c r="D31" s="85"/>
      <c r="E31" s="120"/>
      <c r="F31" s="46"/>
      <c r="G31" s="54"/>
      <c r="H31" s="46"/>
      <c r="I31" s="36"/>
      <c r="J31" s="29"/>
      <c r="K31" s="29"/>
      <c r="L31" s="152"/>
      <c r="M31" s="268"/>
      <c r="N31" s="1"/>
      <c r="O31" s="29"/>
      <c r="P31" s="36"/>
      <c r="Q31" s="36"/>
      <c r="R31" s="29"/>
      <c r="S31" s="29"/>
      <c r="T31" s="29"/>
      <c r="U31" s="154"/>
      <c r="V31" s="43"/>
      <c r="W31" s="36"/>
    </row>
    <row r="32" spans="2:23" ht="15" customHeight="1" x14ac:dyDescent="0.3">
      <c r="B32" s="11">
        <v>24</v>
      </c>
      <c r="C32" s="1"/>
      <c r="D32" s="85"/>
      <c r="E32" s="120"/>
      <c r="F32" s="46"/>
      <c r="G32" s="54"/>
      <c r="H32" s="46"/>
      <c r="I32" s="36"/>
      <c r="J32" s="29"/>
      <c r="K32" s="29"/>
      <c r="L32" s="152"/>
      <c r="M32" s="268"/>
      <c r="N32" s="1"/>
      <c r="O32" s="29"/>
      <c r="P32" s="36"/>
      <c r="Q32" s="36"/>
      <c r="R32" s="29"/>
      <c r="S32" s="29"/>
      <c r="T32" s="73"/>
      <c r="U32" s="154"/>
      <c r="V32" s="43"/>
      <c r="W32" s="36"/>
    </row>
    <row r="33" spans="2:23" ht="15" customHeight="1" x14ac:dyDescent="0.3">
      <c r="B33" s="11">
        <v>25</v>
      </c>
      <c r="C33" s="1"/>
      <c r="D33" s="85"/>
      <c r="E33" s="120"/>
      <c r="F33" s="46"/>
      <c r="G33" s="54"/>
      <c r="H33" s="46"/>
      <c r="I33" s="36"/>
      <c r="J33" s="29"/>
      <c r="K33" s="29"/>
      <c r="L33" s="152"/>
      <c r="M33" s="268"/>
      <c r="N33" s="1"/>
      <c r="O33" s="29"/>
      <c r="P33" s="36"/>
      <c r="Q33" s="36"/>
      <c r="R33" s="29"/>
      <c r="S33" s="29"/>
      <c r="T33" s="73"/>
      <c r="U33" s="154"/>
      <c r="V33" s="43"/>
      <c r="W33" s="36"/>
    </row>
    <row r="34" spans="2:23" ht="15" customHeight="1" x14ac:dyDescent="0.3">
      <c r="B34" s="11">
        <v>26</v>
      </c>
      <c r="C34" s="158"/>
      <c r="D34" s="85"/>
      <c r="E34" s="120"/>
      <c r="F34" s="46"/>
      <c r="G34" s="54"/>
      <c r="H34" s="46"/>
      <c r="I34" s="36"/>
      <c r="J34" s="29"/>
      <c r="K34" s="29"/>
      <c r="L34" s="152"/>
      <c r="M34" s="268"/>
      <c r="N34" s="1"/>
      <c r="O34" s="29"/>
      <c r="P34" s="36"/>
      <c r="Q34" s="36"/>
      <c r="R34" s="29"/>
      <c r="S34" s="29"/>
      <c r="T34" s="73"/>
      <c r="U34" s="154"/>
      <c r="V34" s="43"/>
      <c r="W34" s="36"/>
    </row>
    <row r="35" spans="2:23" ht="15" customHeight="1" x14ac:dyDescent="0.3">
      <c r="B35" s="11">
        <v>27</v>
      </c>
      <c r="C35" s="1"/>
      <c r="D35" s="85"/>
      <c r="E35" s="120"/>
      <c r="F35" s="46"/>
      <c r="G35" s="54"/>
      <c r="H35" s="46"/>
      <c r="I35" s="36"/>
      <c r="J35" s="29"/>
      <c r="K35" s="29"/>
      <c r="L35" s="152"/>
      <c r="M35" s="268"/>
      <c r="N35" s="1"/>
      <c r="O35" s="29"/>
      <c r="P35" s="36"/>
      <c r="Q35" s="36"/>
      <c r="R35" s="29"/>
      <c r="S35" s="29"/>
      <c r="T35" s="73"/>
      <c r="U35" s="154"/>
      <c r="V35" s="43"/>
      <c r="W35" s="36"/>
    </row>
    <row r="36" spans="2:23" ht="15" customHeight="1" x14ac:dyDescent="0.3">
      <c r="B36" s="11">
        <v>28</v>
      </c>
      <c r="C36" s="1"/>
      <c r="D36" s="85"/>
      <c r="E36" s="120"/>
      <c r="F36" s="46"/>
      <c r="G36" s="54"/>
      <c r="H36" s="46"/>
      <c r="I36" s="36"/>
      <c r="J36" s="29"/>
      <c r="K36" s="29"/>
      <c r="L36" s="152"/>
      <c r="M36" s="268"/>
      <c r="N36" s="1"/>
      <c r="O36" s="29"/>
      <c r="P36" s="36"/>
      <c r="Q36" s="36"/>
      <c r="R36" s="29"/>
      <c r="S36" s="29"/>
      <c r="T36" s="73"/>
      <c r="U36" s="154"/>
      <c r="V36" s="43"/>
      <c r="W36" s="36"/>
    </row>
    <row r="37" spans="2:23" ht="15" customHeight="1" x14ac:dyDescent="0.3">
      <c r="B37" s="11">
        <v>29</v>
      </c>
      <c r="C37" s="1"/>
      <c r="D37" s="85"/>
      <c r="E37" s="120"/>
      <c r="F37" s="46"/>
      <c r="G37" s="54"/>
      <c r="H37" s="46"/>
      <c r="I37" s="36"/>
      <c r="J37" s="29"/>
      <c r="K37" s="29"/>
      <c r="L37" s="152"/>
      <c r="M37" s="268"/>
      <c r="N37" s="1"/>
      <c r="O37" s="29"/>
      <c r="P37" s="36"/>
      <c r="Q37" s="36"/>
      <c r="R37" s="29"/>
      <c r="S37" s="29"/>
      <c r="T37" s="73"/>
      <c r="U37" s="154"/>
      <c r="V37" s="43"/>
      <c r="W37" s="36"/>
    </row>
    <row r="38" spans="2:23" ht="15" customHeight="1" x14ac:dyDescent="0.3">
      <c r="B38" s="11">
        <v>30</v>
      </c>
      <c r="C38" s="1"/>
      <c r="D38" s="85"/>
      <c r="E38" s="120"/>
      <c r="F38" s="46"/>
      <c r="G38" s="54"/>
      <c r="H38" s="46"/>
      <c r="I38" s="36"/>
      <c r="J38" s="29"/>
      <c r="K38" s="29"/>
      <c r="L38" s="152"/>
      <c r="M38" s="268"/>
      <c r="N38" s="1"/>
      <c r="O38" s="29"/>
      <c r="P38" s="36"/>
      <c r="Q38" s="36"/>
      <c r="R38" s="29"/>
      <c r="S38" s="29"/>
      <c r="T38" s="73"/>
      <c r="U38" s="154"/>
      <c r="V38" s="43"/>
      <c r="W38" s="36"/>
    </row>
    <row r="39" spans="2:23" ht="15" customHeight="1" x14ac:dyDescent="0.3">
      <c r="B39" s="11">
        <v>31</v>
      </c>
      <c r="C39" s="1"/>
      <c r="D39" s="85"/>
      <c r="E39" s="120"/>
      <c r="F39" s="46"/>
      <c r="G39" s="54"/>
      <c r="H39" s="46"/>
      <c r="I39" s="36"/>
      <c r="J39" s="29"/>
      <c r="K39" s="29"/>
      <c r="L39" s="152"/>
      <c r="M39" s="268"/>
      <c r="N39" s="1"/>
      <c r="O39" s="29"/>
      <c r="P39" s="36"/>
      <c r="Q39" s="36"/>
      <c r="R39" s="29"/>
      <c r="S39" s="29"/>
      <c r="T39" s="73"/>
      <c r="U39" s="154"/>
      <c r="V39" s="43"/>
      <c r="W39" s="36"/>
    </row>
    <row r="40" spans="2:23" ht="15" customHeight="1" x14ac:dyDescent="0.3">
      <c r="B40" s="11">
        <v>32</v>
      </c>
      <c r="C40" s="1"/>
      <c r="D40" s="85"/>
      <c r="E40" s="120"/>
      <c r="F40" s="46"/>
      <c r="G40" s="54"/>
      <c r="H40" s="46"/>
      <c r="I40" s="36"/>
      <c r="J40" s="29"/>
      <c r="K40" s="29"/>
      <c r="L40" s="152"/>
      <c r="M40" s="268"/>
      <c r="N40" s="1"/>
      <c r="O40" s="29"/>
      <c r="P40" s="36"/>
      <c r="Q40" s="36"/>
      <c r="R40" s="29"/>
      <c r="S40" s="29"/>
      <c r="T40" s="73"/>
      <c r="U40" s="154"/>
      <c r="V40" s="43"/>
      <c r="W40" s="36"/>
    </row>
    <row r="41" spans="2:23" ht="15" customHeight="1" x14ac:dyDescent="0.3">
      <c r="B41" s="11">
        <v>33</v>
      </c>
      <c r="C41" s="1"/>
      <c r="D41" s="85"/>
      <c r="E41" s="120"/>
      <c r="F41" s="46"/>
      <c r="G41" s="54"/>
      <c r="H41" s="46"/>
      <c r="I41" s="36"/>
      <c r="J41" s="29"/>
      <c r="K41" s="29"/>
      <c r="L41" s="152"/>
      <c r="M41" s="268"/>
      <c r="N41" s="1"/>
      <c r="O41" s="29"/>
      <c r="P41" s="36"/>
      <c r="Q41" s="36"/>
      <c r="R41" s="29"/>
      <c r="S41" s="29"/>
      <c r="T41" s="73"/>
      <c r="U41" s="154"/>
      <c r="V41" s="43"/>
      <c r="W41" s="36"/>
    </row>
    <row r="42" spans="2:23" ht="15" customHeight="1" x14ac:dyDescent="0.3">
      <c r="B42" s="11">
        <v>34</v>
      </c>
      <c r="C42" s="1"/>
      <c r="D42" s="85"/>
      <c r="E42" s="120"/>
      <c r="F42" s="46"/>
      <c r="G42" s="54"/>
      <c r="H42" s="46"/>
      <c r="I42" s="36"/>
      <c r="J42" s="29"/>
      <c r="K42" s="29"/>
      <c r="L42" s="152"/>
      <c r="M42" s="268"/>
      <c r="N42" s="1"/>
      <c r="O42" s="29"/>
      <c r="P42" s="36"/>
      <c r="Q42" s="36"/>
      <c r="R42" s="29"/>
      <c r="S42" s="29"/>
      <c r="T42" s="73"/>
      <c r="U42" s="154"/>
      <c r="V42" s="43"/>
      <c r="W42" s="36"/>
    </row>
    <row r="43" spans="2:23" ht="15" customHeight="1" x14ac:dyDescent="0.3">
      <c r="B43" s="11">
        <v>35</v>
      </c>
      <c r="C43" s="1"/>
      <c r="D43" s="85"/>
      <c r="E43" s="120"/>
      <c r="F43" s="46"/>
      <c r="G43" s="54"/>
      <c r="H43" s="46"/>
      <c r="I43" s="36"/>
      <c r="J43" s="29"/>
      <c r="K43" s="29"/>
      <c r="L43" s="152"/>
      <c r="M43" s="268"/>
      <c r="N43" s="1"/>
      <c r="O43" s="29"/>
      <c r="P43" s="36"/>
      <c r="Q43" s="36"/>
      <c r="R43" s="29"/>
      <c r="S43" s="29"/>
      <c r="T43" s="73"/>
      <c r="U43" s="154"/>
      <c r="V43" s="43"/>
      <c r="W43" s="36"/>
    </row>
    <row r="44" spans="2:23" ht="15" customHeight="1" x14ac:dyDescent="0.3">
      <c r="B44" s="11">
        <v>36</v>
      </c>
      <c r="C44" s="1"/>
      <c r="D44" s="165"/>
      <c r="E44" s="120"/>
      <c r="F44" s="46"/>
      <c r="G44" s="54"/>
      <c r="H44" s="46"/>
      <c r="I44" s="36"/>
      <c r="J44" s="29"/>
      <c r="K44" s="29"/>
      <c r="L44" s="152"/>
      <c r="M44" s="268"/>
      <c r="N44" s="1"/>
      <c r="O44" s="29"/>
      <c r="P44" s="36"/>
      <c r="Q44" s="36"/>
      <c r="R44" s="29"/>
      <c r="S44" s="29"/>
      <c r="T44" s="29"/>
      <c r="U44" s="154"/>
      <c r="V44" s="43"/>
      <c r="W44" s="36"/>
    </row>
    <row r="45" spans="2:23" ht="15" customHeight="1" x14ac:dyDescent="0.3">
      <c r="B45" s="11">
        <v>37</v>
      </c>
      <c r="C45" s="1"/>
      <c r="D45" s="85"/>
      <c r="E45" s="120"/>
      <c r="F45" s="46"/>
      <c r="G45" s="54"/>
      <c r="H45" s="46"/>
      <c r="I45" s="36"/>
      <c r="J45" s="29"/>
      <c r="K45" s="29"/>
      <c r="L45" s="152"/>
      <c r="M45" s="268"/>
      <c r="N45" s="1"/>
      <c r="O45" s="29"/>
      <c r="P45" s="36"/>
      <c r="Q45" s="36"/>
      <c r="R45" s="29"/>
      <c r="S45" s="29"/>
      <c r="T45" s="73"/>
      <c r="U45" s="154"/>
      <c r="V45" s="43"/>
      <c r="W45" s="36"/>
    </row>
    <row r="46" spans="2:23" ht="15" customHeight="1" x14ac:dyDescent="0.3">
      <c r="B46" s="11">
        <v>38</v>
      </c>
      <c r="C46" s="1"/>
      <c r="D46" s="87"/>
      <c r="E46" s="120"/>
      <c r="F46" s="46"/>
      <c r="G46" s="54"/>
      <c r="H46" s="46"/>
      <c r="I46" s="36"/>
      <c r="J46" s="29"/>
      <c r="K46" s="29"/>
      <c r="L46" s="152"/>
      <c r="M46" s="268"/>
      <c r="N46" s="1"/>
      <c r="O46" s="29"/>
      <c r="P46" s="36"/>
      <c r="Q46" s="36"/>
      <c r="R46" s="29"/>
      <c r="S46" s="29"/>
      <c r="T46" s="29"/>
      <c r="U46" s="154"/>
      <c r="V46" s="43"/>
      <c r="W46" s="36"/>
    </row>
    <row r="47" spans="2:23" ht="15" customHeight="1" x14ac:dyDescent="0.3">
      <c r="B47" s="11">
        <v>39</v>
      </c>
      <c r="C47" s="1"/>
      <c r="D47" s="85"/>
      <c r="E47" s="120"/>
      <c r="F47" s="46"/>
      <c r="G47" s="54"/>
      <c r="H47" s="46"/>
      <c r="I47" s="36"/>
      <c r="J47" s="29"/>
      <c r="K47" s="29"/>
      <c r="L47" s="152"/>
      <c r="M47" s="268"/>
      <c r="N47" s="1"/>
      <c r="O47" s="29"/>
      <c r="P47" s="36"/>
      <c r="Q47" s="36"/>
      <c r="R47" s="29"/>
      <c r="S47" s="29"/>
      <c r="T47" s="73"/>
      <c r="U47" s="154"/>
      <c r="V47" s="43"/>
      <c r="W47" s="36"/>
    </row>
    <row r="48" spans="2:23" ht="15" customHeight="1" x14ac:dyDescent="0.3">
      <c r="B48" s="11">
        <v>40</v>
      </c>
      <c r="C48" s="1"/>
      <c r="D48" s="85"/>
      <c r="E48" s="120"/>
      <c r="F48" s="46"/>
      <c r="G48" s="54"/>
      <c r="H48" s="46"/>
      <c r="I48" s="36"/>
      <c r="J48" s="29"/>
      <c r="K48" s="29"/>
      <c r="L48" s="152"/>
      <c r="M48" s="268"/>
      <c r="N48" s="1"/>
      <c r="O48" s="29"/>
      <c r="P48" s="36"/>
      <c r="Q48" s="36"/>
      <c r="R48" s="29"/>
      <c r="S48" s="29"/>
      <c r="T48" s="73"/>
      <c r="U48" s="154"/>
      <c r="V48" s="43"/>
      <c r="W48" s="36"/>
    </row>
    <row r="49" spans="2:23" ht="15" customHeight="1" x14ac:dyDescent="0.3">
      <c r="B49" s="11">
        <v>41</v>
      </c>
      <c r="C49" s="1"/>
      <c r="D49" s="85"/>
      <c r="E49" s="120"/>
      <c r="F49" s="46"/>
      <c r="G49" s="54"/>
      <c r="H49" s="46"/>
      <c r="I49" s="36"/>
      <c r="J49" s="29"/>
      <c r="K49" s="29"/>
      <c r="L49" s="152"/>
      <c r="M49" s="268"/>
      <c r="N49" s="1"/>
      <c r="O49" s="29"/>
      <c r="P49" s="36"/>
      <c r="Q49" s="36"/>
      <c r="R49" s="29"/>
      <c r="S49" s="29"/>
      <c r="T49" s="73"/>
      <c r="U49" s="154"/>
      <c r="V49" s="43"/>
      <c r="W49" s="36"/>
    </row>
    <row r="50" spans="2:23" ht="15" customHeight="1" x14ac:dyDescent="0.3">
      <c r="B50" s="11">
        <v>42</v>
      </c>
      <c r="C50" s="1"/>
      <c r="D50" s="85"/>
      <c r="E50" s="120"/>
      <c r="F50" s="46"/>
      <c r="G50" s="54"/>
      <c r="H50" s="46"/>
      <c r="I50" s="36"/>
      <c r="J50" s="29"/>
      <c r="K50" s="29"/>
      <c r="L50" s="152"/>
      <c r="M50" s="268"/>
      <c r="N50" s="1"/>
      <c r="O50" s="29"/>
      <c r="P50" s="36"/>
      <c r="Q50" s="36"/>
      <c r="R50" s="29"/>
      <c r="S50" s="29"/>
      <c r="T50" s="73"/>
      <c r="U50" s="154"/>
      <c r="V50" s="43"/>
      <c r="W50" s="36"/>
    </row>
    <row r="51" spans="2:23" ht="15" customHeight="1" x14ac:dyDescent="0.3">
      <c r="B51" s="11">
        <v>43</v>
      </c>
      <c r="C51" s="1"/>
      <c r="D51" s="87"/>
      <c r="E51" s="120"/>
      <c r="F51" s="46"/>
      <c r="G51" s="54"/>
      <c r="H51" s="46"/>
      <c r="I51" s="36"/>
      <c r="J51" s="29"/>
      <c r="K51" s="29"/>
      <c r="L51" s="152"/>
      <c r="M51" s="268"/>
      <c r="N51" s="1"/>
      <c r="O51" s="29"/>
      <c r="P51" s="36"/>
      <c r="Q51" s="36"/>
      <c r="R51" s="29"/>
      <c r="S51" s="29"/>
      <c r="T51" s="73"/>
      <c r="U51" s="154"/>
      <c r="V51" s="43"/>
      <c r="W51" s="36"/>
    </row>
    <row r="52" spans="2:23" ht="15" customHeight="1" x14ac:dyDescent="0.3">
      <c r="B52" s="11">
        <v>44</v>
      </c>
      <c r="C52" s="1"/>
      <c r="D52" s="85"/>
      <c r="E52" s="120"/>
      <c r="F52" s="46"/>
      <c r="G52" s="54"/>
      <c r="H52" s="46"/>
      <c r="I52" s="36"/>
      <c r="J52" s="29"/>
      <c r="K52" s="29"/>
      <c r="L52" s="152"/>
      <c r="M52" s="268"/>
      <c r="N52" s="1"/>
      <c r="O52" s="29"/>
      <c r="P52" s="36"/>
      <c r="Q52" s="36"/>
      <c r="R52" s="29"/>
      <c r="S52" s="29"/>
      <c r="T52" s="73"/>
      <c r="U52" s="154"/>
      <c r="V52" s="43"/>
      <c r="W52" s="36"/>
    </row>
    <row r="53" spans="2:23" ht="15" customHeight="1" x14ac:dyDescent="0.3">
      <c r="B53" s="11">
        <v>45</v>
      </c>
      <c r="C53" s="1"/>
      <c r="D53" s="87"/>
      <c r="E53" s="120"/>
      <c r="F53" s="46"/>
      <c r="G53" s="54"/>
      <c r="H53" s="46"/>
      <c r="I53" s="36"/>
      <c r="J53" s="29"/>
      <c r="K53" s="29"/>
      <c r="L53" s="152"/>
      <c r="M53" s="268"/>
      <c r="N53" s="1"/>
      <c r="O53" s="29"/>
      <c r="P53" s="36"/>
      <c r="Q53" s="36"/>
      <c r="R53" s="29"/>
      <c r="S53" s="29"/>
      <c r="T53" s="29"/>
      <c r="U53" s="154"/>
      <c r="V53" s="43"/>
      <c r="W53" s="36"/>
    </row>
    <row r="54" spans="2:23" ht="15" customHeight="1" x14ac:dyDescent="0.3">
      <c r="B54" s="11">
        <v>46</v>
      </c>
      <c r="C54" s="1"/>
      <c r="D54" s="87"/>
      <c r="E54" s="120"/>
      <c r="F54" s="46"/>
      <c r="G54" s="54"/>
      <c r="H54" s="46"/>
      <c r="I54" s="36"/>
      <c r="J54" s="29"/>
      <c r="K54" s="29"/>
      <c r="L54" s="152"/>
      <c r="M54" s="268"/>
      <c r="N54" s="1"/>
      <c r="O54" s="29"/>
      <c r="P54" s="36"/>
      <c r="Q54" s="36"/>
      <c r="R54" s="29"/>
      <c r="S54" s="29"/>
      <c r="T54" s="29"/>
      <c r="U54" s="154"/>
      <c r="V54" s="43"/>
      <c r="W54" s="36"/>
    </row>
    <row r="55" spans="2:23" ht="15" customHeight="1" x14ac:dyDescent="0.3">
      <c r="B55" s="11">
        <v>47</v>
      </c>
      <c r="C55" s="1"/>
      <c r="D55" s="85"/>
      <c r="E55" s="120"/>
      <c r="F55" s="46"/>
      <c r="G55" s="54"/>
      <c r="H55" s="46"/>
      <c r="I55" s="36"/>
      <c r="J55" s="29"/>
      <c r="K55" s="29"/>
      <c r="L55" s="152"/>
      <c r="M55" s="268"/>
      <c r="N55" s="1"/>
      <c r="O55" s="29"/>
      <c r="P55" s="36"/>
      <c r="Q55" s="36"/>
      <c r="R55" s="29"/>
      <c r="S55" s="29"/>
      <c r="T55" s="73"/>
      <c r="U55" s="154"/>
      <c r="V55" s="43"/>
      <c r="W55" s="36"/>
    </row>
    <row r="56" spans="2:23" ht="15" customHeight="1" x14ac:dyDescent="0.3">
      <c r="B56" s="11">
        <v>48</v>
      </c>
      <c r="C56" s="1"/>
      <c r="D56" s="85"/>
      <c r="E56" s="120"/>
      <c r="F56" s="46"/>
      <c r="G56" s="54"/>
      <c r="H56" s="46"/>
      <c r="I56" s="36"/>
      <c r="J56" s="29"/>
      <c r="K56" s="29"/>
      <c r="L56" s="152"/>
      <c r="M56" s="268"/>
      <c r="N56" s="1"/>
      <c r="O56" s="29"/>
      <c r="P56" s="36"/>
      <c r="Q56" s="36"/>
      <c r="R56" s="29"/>
      <c r="S56" s="29"/>
      <c r="T56" s="73"/>
      <c r="U56" s="154"/>
      <c r="V56" s="43"/>
      <c r="W56" s="36"/>
    </row>
    <row r="57" spans="2:23" ht="15" customHeight="1" x14ac:dyDescent="0.3">
      <c r="B57" s="11">
        <v>49</v>
      </c>
      <c r="C57" s="1"/>
      <c r="D57" s="85"/>
      <c r="E57" s="120"/>
      <c r="F57" s="46"/>
      <c r="G57" s="54"/>
      <c r="H57" s="46"/>
      <c r="I57" s="36"/>
      <c r="J57" s="29"/>
      <c r="K57" s="29"/>
      <c r="L57" s="152"/>
      <c r="M57" s="268"/>
      <c r="N57" s="1"/>
      <c r="O57" s="29"/>
      <c r="P57" s="36"/>
      <c r="Q57" s="36"/>
      <c r="R57" s="29"/>
      <c r="S57" s="29"/>
      <c r="T57" s="73"/>
      <c r="U57" s="154"/>
      <c r="V57" s="43"/>
      <c r="W57" s="36"/>
    </row>
    <row r="58" spans="2:23" ht="15" customHeight="1" x14ac:dyDescent="0.3">
      <c r="B58" s="11">
        <v>50</v>
      </c>
      <c r="C58" s="1"/>
      <c r="D58" s="85"/>
      <c r="E58" s="120"/>
      <c r="F58" s="46"/>
      <c r="G58" s="54"/>
      <c r="H58" s="46"/>
      <c r="I58" s="36"/>
      <c r="J58" s="29"/>
      <c r="K58" s="29"/>
      <c r="L58" s="152"/>
      <c r="M58" s="268"/>
      <c r="N58" s="1"/>
      <c r="O58" s="29"/>
      <c r="P58" s="36"/>
      <c r="Q58" s="36"/>
      <c r="R58" s="29"/>
      <c r="S58" s="29"/>
      <c r="T58" s="73"/>
      <c r="U58" s="154"/>
      <c r="V58" s="43"/>
      <c r="W58" s="36"/>
    </row>
    <row r="59" spans="2:23" ht="15" customHeight="1" x14ac:dyDescent="0.3">
      <c r="B59" s="11">
        <v>51</v>
      </c>
      <c r="C59" s="1"/>
      <c r="D59" s="87"/>
      <c r="E59" s="120"/>
      <c r="F59" s="46"/>
      <c r="G59" s="54"/>
      <c r="H59" s="46"/>
      <c r="I59" s="36"/>
      <c r="J59" s="29"/>
      <c r="K59" s="29"/>
      <c r="L59" s="29"/>
      <c r="M59" s="268"/>
      <c r="N59" s="1"/>
      <c r="O59" s="29"/>
      <c r="P59" s="36"/>
      <c r="Q59" s="36"/>
      <c r="R59" s="29"/>
      <c r="S59" s="29"/>
      <c r="T59" s="29"/>
      <c r="U59" s="154"/>
      <c r="V59" s="43"/>
      <c r="W59" s="36"/>
    </row>
    <row r="60" spans="2:23" ht="15" customHeight="1" x14ac:dyDescent="0.3">
      <c r="B60" s="11">
        <v>52</v>
      </c>
      <c r="C60" s="1"/>
      <c r="D60" s="157"/>
      <c r="E60" s="120"/>
      <c r="F60" s="46"/>
      <c r="G60" s="54"/>
      <c r="H60" s="46"/>
      <c r="I60" s="36"/>
      <c r="J60" s="29"/>
      <c r="K60" s="29"/>
      <c r="L60" s="152"/>
      <c r="M60" s="268"/>
      <c r="N60" s="1"/>
      <c r="O60" s="29"/>
      <c r="P60" s="36"/>
      <c r="Q60" s="36"/>
      <c r="R60" s="29"/>
      <c r="S60" s="29"/>
      <c r="T60" s="73"/>
      <c r="U60" s="154"/>
      <c r="V60" s="43"/>
      <c r="W60" s="266"/>
    </row>
    <row r="61" spans="2:23" ht="15" customHeight="1" x14ac:dyDescent="0.3">
      <c r="B61" s="11">
        <v>53</v>
      </c>
      <c r="C61" s="1"/>
      <c r="D61" s="155"/>
      <c r="E61" s="120"/>
      <c r="F61" s="46"/>
      <c r="G61" s="54"/>
      <c r="H61" s="46"/>
      <c r="I61" s="36"/>
      <c r="J61" s="29"/>
      <c r="K61" s="29"/>
      <c r="L61" s="152"/>
      <c r="M61" s="268"/>
      <c r="N61" s="1"/>
      <c r="O61" s="29"/>
      <c r="P61" s="36"/>
      <c r="Q61" s="36"/>
      <c r="R61" s="29"/>
      <c r="S61" s="29"/>
      <c r="T61" s="73"/>
      <c r="U61" s="154"/>
      <c r="V61" s="43"/>
      <c r="W61" s="266"/>
    </row>
    <row r="62" spans="2:23" ht="15" customHeight="1" x14ac:dyDescent="0.3">
      <c r="B62" s="11">
        <v>54</v>
      </c>
      <c r="C62" s="1"/>
      <c r="D62" s="85"/>
      <c r="E62" s="120"/>
      <c r="F62" s="46"/>
      <c r="G62" s="54"/>
      <c r="H62" s="46"/>
      <c r="I62" s="36"/>
      <c r="J62" s="29"/>
      <c r="K62" s="29"/>
      <c r="L62" s="152"/>
      <c r="M62" s="268"/>
      <c r="N62" s="1"/>
      <c r="O62" s="29"/>
      <c r="P62" s="36"/>
      <c r="Q62" s="36"/>
      <c r="R62" s="29"/>
      <c r="S62" s="29"/>
      <c r="T62" s="73"/>
      <c r="U62" s="154"/>
      <c r="V62" s="43"/>
      <c r="W62" s="36"/>
    </row>
    <row r="63" spans="2:23" ht="15" customHeight="1" x14ac:dyDescent="0.3">
      <c r="B63" s="11">
        <v>55</v>
      </c>
      <c r="C63" s="1"/>
      <c r="D63" s="85"/>
      <c r="E63" s="120"/>
      <c r="F63" s="46"/>
      <c r="G63" s="54"/>
      <c r="H63" s="46"/>
      <c r="I63" s="36"/>
      <c r="J63" s="29"/>
      <c r="K63" s="29"/>
      <c r="L63" s="152"/>
      <c r="M63" s="268"/>
      <c r="N63" s="1"/>
      <c r="O63" s="29"/>
      <c r="P63" s="36"/>
      <c r="Q63" s="36"/>
      <c r="R63" s="29"/>
      <c r="S63" s="29"/>
      <c r="T63" s="29"/>
      <c r="U63" s="154"/>
      <c r="V63" s="43"/>
      <c r="W63" s="36"/>
    </row>
    <row r="64" spans="2:23" ht="15" customHeight="1" x14ac:dyDescent="0.3">
      <c r="B64" s="11">
        <v>56</v>
      </c>
      <c r="C64" s="1"/>
      <c r="D64" s="87"/>
      <c r="E64" s="120"/>
      <c r="F64" s="46"/>
      <c r="G64" s="54"/>
      <c r="H64" s="46"/>
      <c r="I64" s="36"/>
      <c r="J64" s="29"/>
      <c r="K64" s="29"/>
      <c r="L64" s="29"/>
      <c r="M64" s="268"/>
      <c r="N64" s="1"/>
      <c r="O64" s="29"/>
      <c r="P64" s="36"/>
      <c r="Q64" s="36"/>
      <c r="R64" s="29"/>
      <c r="S64" s="29"/>
      <c r="T64" s="29"/>
      <c r="U64" s="154"/>
      <c r="V64" s="43"/>
      <c r="W64" s="36"/>
    </row>
    <row r="65" spans="2:23" ht="15" customHeight="1" x14ac:dyDescent="0.3">
      <c r="B65" s="11">
        <v>57</v>
      </c>
      <c r="C65" s="1"/>
      <c r="D65" s="85"/>
      <c r="E65" s="120"/>
      <c r="F65" s="46"/>
      <c r="G65" s="54"/>
      <c r="H65" s="46"/>
      <c r="I65" s="36"/>
      <c r="J65" s="29"/>
      <c r="K65" s="29"/>
      <c r="L65" s="29"/>
      <c r="M65" s="268"/>
      <c r="N65" s="1"/>
      <c r="O65" s="29"/>
      <c r="P65" s="36"/>
      <c r="Q65" s="36"/>
      <c r="R65" s="29"/>
      <c r="S65" s="29"/>
      <c r="T65" s="73"/>
      <c r="U65" s="154"/>
      <c r="V65" s="43"/>
      <c r="W65" s="36"/>
    </row>
    <row r="66" spans="2:23" ht="15" customHeight="1" x14ac:dyDescent="0.3">
      <c r="B66" s="11">
        <v>58</v>
      </c>
      <c r="C66" s="1"/>
      <c r="D66" s="87"/>
      <c r="E66" s="120"/>
      <c r="F66" s="46"/>
      <c r="G66" s="54"/>
      <c r="H66" s="46"/>
      <c r="I66" s="36"/>
      <c r="J66" s="29"/>
      <c r="K66" s="29"/>
      <c r="L66" s="152"/>
      <c r="M66" s="268"/>
      <c r="N66" s="1"/>
      <c r="O66" s="29"/>
      <c r="P66" s="36"/>
      <c r="Q66" s="36"/>
      <c r="R66" s="29"/>
      <c r="S66" s="29"/>
      <c r="T66" s="29"/>
      <c r="U66" s="154"/>
      <c r="V66" s="43"/>
      <c r="W66" s="36"/>
    </row>
    <row r="67" spans="2:23" ht="15" customHeight="1" x14ac:dyDescent="0.3">
      <c r="B67" s="11">
        <v>59</v>
      </c>
      <c r="C67" s="1"/>
      <c r="D67" s="85"/>
      <c r="E67" s="120"/>
      <c r="F67" s="46"/>
      <c r="G67" s="54"/>
      <c r="H67" s="46"/>
      <c r="I67" s="36"/>
      <c r="J67" s="29"/>
      <c r="K67" s="29"/>
      <c r="L67" s="152"/>
      <c r="M67" s="268"/>
      <c r="N67" s="1"/>
      <c r="O67" s="29"/>
      <c r="P67" s="36"/>
      <c r="Q67" s="36"/>
      <c r="R67" s="29"/>
      <c r="S67" s="29"/>
      <c r="T67" s="73"/>
      <c r="U67" s="154"/>
      <c r="V67" s="43"/>
      <c r="W67" s="36"/>
    </row>
    <row r="68" spans="2:23" ht="15" customHeight="1" x14ac:dyDescent="0.3">
      <c r="B68" s="11">
        <v>60</v>
      </c>
      <c r="C68" s="1"/>
      <c r="D68" s="87"/>
      <c r="E68" s="120"/>
      <c r="F68" s="46"/>
      <c r="G68" s="54"/>
      <c r="H68" s="46"/>
      <c r="I68" s="36"/>
      <c r="J68" s="29"/>
      <c r="K68" s="29"/>
      <c r="L68" s="152"/>
      <c r="M68" s="268"/>
      <c r="N68" s="1"/>
      <c r="O68" s="29"/>
      <c r="P68" s="36"/>
      <c r="Q68" s="36"/>
      <c r="R68" s="29"/>
      <c r="S68" s="29"/>
      <c r="T68" s="29"/>
      <c r="U68" s="154"/>
      <c r="V68" s="43"/>
      <c r="W68" s="36"/>
    </row>
    <row r="69" spans="2:23" ht="15" customHeight="1" x14ac:dyDescent="0.3">
      <c r="B69" s="11">
        <v>61</v>
      </c>
      <c r="C69" s="1"/>
      <c r="D69" s="87"/>
      <c r="E69" s="120"/>
      <c r="F69" s="46"/>
      <c r="G69" s="54"/>
      <c r="H69" s="46"/>
      <c r="I69" s="36"/>
      <c r="J69" s="29"/>
      <c r="K69" s="29"/>
      <c r="L69" s="152"/>
      <c r="M69" s="268"/>
      <c r="N69" s="1"/>
      <c r="O69" s="29"/>
      <c r="P69" s="36"/>
      <c r="Q69" s="36"/>
      <c r="R69" s="29"/>
      <c r="S69" s="29"/>
      <c r="T69" s="73"/>
      <c r="U69" s="154"/>
      <c r="V69" s="43"/>
      <c r="W69" s="36"/>
    </row>
    <row r="70" spans="2:23" ht="15" customHeight="1" x14ac:dyDescent="0.3">
      <c r="B70" s="11">
        <v>62</v>
      </c>
      <c r="C70" s="1"/>
      <c r="D70" s="87"/>
      <c r="E70" s="120"/>
      <c r="F70" s="46"/>
      <c r="G70" s="54"/>
      <c r="H70" s="46"/>
      <c r="I70" s="36"/>
      <c r="J70" s="29"/>
      <c r="K70" s="29"/>
      <c r="L70" s="152"/>
      <c r="M70" s="268"/>
      <c r="N70" s="1"/>
      <c r="O70" s="29"/>
      <c r="P70" s="36"/>
      <c r="Q70" s="36"/>
      <c r="R70" s="29"/>
      <c r="S70" s="29"/>
      <c r="T70" s="29"/>
      <c r="U70" s="154"/>
      <c r="V70" s="43"/>
      <c r="W70" s="36"/>
    </row>
    <row r="71" spans="2:23" ht="15" customHeight="1" x14ac:dyDescent="0.3">
      <c r="B71" s="11">
        <v>63</v>
      </c>
      <c r="C71" s="1"/>
      <c r="D71" s="85"/>
      <c r="E71" s="120"/>
      <c r="F71" s="46"/>
      <c r="G71" s="54"/>
      <c r="H71" s="46"/>
      <c r="I71" s="36"/>
      <c r="J71" s="29"/>
      <c r="K71" s="29"/>
      <c r="L71" s="152"/>
      <c r="M71" s="268"/>
      <c r="N71" s="1"/>
      <c r="O71" s="29"/>
      <c r="P71" s="36"/>
      <c r="Q71" s="36"/>
      <c r="R71" s="29"/>
      <c r="S71" s="29"/>
      <c r="T71" s="73"/>
      <c r="U71" s="154"/>
      <c r="V71" s="43"/>
      <c r="W71" s="36"/>
    </row>
    <row r="72" spans="2:23" ht="15" customHeight="1" x14ac:dyDescent="0.3">
      <c r="B72" s="11">
        <v>64</v>
      </c>
      <c r="C72" s="1"/>
      <c r="D72" s="87"/>
      <c r="E72" s="120"/>
      <c r="F72" s="46"/>
      <c r="G72" s="54"/>
      <c r="H72" s="46"/>
      <c r="I72" s="36"/>
      <c r="J72" s="29"/>
      <c r="K72" s="29"/>
      <c r="L72" s="152"/>
      <c r="M72" s="268"/>
      <c r="N72" s="1"/>
      <c r="O72" s="29"/>
      <c r="P72" s="36"/>
      <c r="Q72" s="36"/>
      <c r="R72" s="29"/>
      <c r="S72" s="29"/>
      <c r="T72" s="29"/>
      <c r="U72" s="154"/>
      <c r="V72" s="43"/>
      <c r="W72" s="36"/>
    </row>
    <row r="73" spans="2:23" ht="15" customHeight="1" x14ac:dyDescent="0.3">
      <c r="B73" s="11">
        <v>65</v>
      </c>
      <c r="C73" s="1"/>
      <c r="D73" s="85"/>
      <c r="E73" s="120"/>
      <c r="F73" s="46"/>
      <c r="G73" s="54"/>
      <c r="H73" s="46"/>
      <c r="I73" s="36"/>
      <c r="J73" s="29"/>
      <c r="K73" s="29"/>
      <c r="L73" s="152"/>
      <c r="M73" s="268"/>
      <c r="N73" s="1"/>
      <c r="O73" s="29"/>
      <c r="P73" s="36"/>
      <c r="Q73" s="36"/>
      <c r="R73" s="29"/>
      <c r="S73" s="29"/>
      <c r="T73" s="73"/>
      <c r="U73" s="154"/>
      <c r="V73" s="43"/>
      <c r="W73" s="36"/>
    </row>
    <row r="74" spans="2:23" ht="15" customHeight="1" x14ac:dyDescent="0.3">
      <c r="B74" s="11">
        <v>66</v>
      </c>
      <c r="C74" s="1"/>
      <c r="D74" s="87"/>
      <c r="E74" s="120"/>
      <c r="F74" s="46"/>
      <c r="G74" s="54"/>
      <c r="H74" s="46"/>
      <c r="I74" s="36"/>
      <c r="J74" s="29"/>
      <c r="K74" s="29"/>
      <c r="L74" s="152"/>
      <c r="M74" s="268"/>
      <c r="N74" s="1"/>
      <c r="O74" s="29"/>
      <c r="P74" s="36"/>
      <c r="Q74" s="36"/>
      <c r="R74" s="29"/>
      <c r="S74" s="29"/>
      <c r="T74" s="29"/>
      <c r="U74" s="154"/>
      <c r="V74" s="43"/>
      <c r="W74" s="36"/>
    </row>
    <row r="75" spans="2:23" ht="15" customHeight="1" x14ac:dyDescent="0.3">
      <c r="B75" s="11">
        <v>67</v>
      </c>
      <c r="C75" s="1"/>
      <c r="D75" s="87"/>
      <c r="E75" s="120"/>
      <c r="F75" s="46"/>
      <c r="G75" s="54"/>
      <c r="H75" s="46"/>
      <c r="I75" s="36"/>
      <c r="J75" s="29"/>
      <c r="K75" s="29"/>
      <c r="L75" s="152"/>
      <c r="M75" s="268"/>
      <c r="N75" s="1"/>
      <c r="O75" s="29"/>
      <c r="P75" s="36"/>
      <c r="Q75" s="36"/>
      <c r="R75" s="29"/>
      <c r="S75" s="29"/>
      <c r="T75" s="29"/>
      <c r="U75" s="154"/>
      <c r="V75" s="43"/>
      <c r="W75" s="36"/>
    </row>
    <row r="76" spans="2:23" ht="15" customHeight="1" x14ac:dyDescent="0.3">
      <c r="B76" s="11">
        <v>68</v>
      </c>
      <c r="C76" s="1"/>
      <c r="D76" s="87"/>
      <c r="E76" s="120"/>
      <c r="F76" s="46"/>
      <c r="G76" s="54"/>
      <c r="H76" s="46"/>
      <c r="I76" s="36"/>
      <c r="J76" s="29"/>
      <c r="K76" s="29"/>
      <c r="L76" s="152"/>
      <c r="M76" s="268"/>
      <c r="N76" s="1"/>
      <c r="O76" s="29"/>
      <c r="P76" s="36"/>
      <c r="Q76" s="36"/>
      <c r="R76" s="29"/>
      <c r="S76" s="29"/>
      <c r="T76" s="29"/>
      <c r="U76" s="154"/>
      <c r="V76" s="43"/>
      <c r="W76" s="36"/>
    </row>
    <row r="77" spans="2:23" ht="15" customHeight="1" x14ac:dyDescent="0.3">
      <c r="B77" s="11">
        <v>69</v>
      </c>
      <c r="C77" s="1"/>
      <c r="D77" s="87"/>
      <c r="E77" s="120"/>
      <c r="F77" s="46"/>
      <c r="G77" s="54"/>
      <c r="H77" s="46"/>
      <c r="I77" s="36"/>
      <c r="J77" s="29"/>
      <c r="K77" s="29"/>
      <c r="L77" s="152"/>
      <c r="M77" s="268"/>
      <c r="N77" s="1"/>
      <c r="O77" s="29"/>
      <c r="P77" s="36"/>
      <c r="Q77" s="36"/>
      <c r="R77" s="29"/>
      <c r="S77" s="29"/>
      <c r="T77" s="29"/>
      <c r="U77" s="154"/>
      <c r="V77" s="43"/>
      <c r="W77" s="36"/>
    </row>
    <row r="78" spans="2:23" x14ac:dyDescent="0.3">
      <c r="B78" s="11">
        <v>70</v>
      </c>
      <c r="C78" s="106"/>
      <c r="D78" s="86"/>
      <c r="E78" s="120"/>
      <c r="F78" s="46"/>
      <c r="G78" s="54"/>
      <c r="H78" s="46"/>
      <c r="I78" s="36"/>
      <c r="J78" s="29"/>
      <c r="K78" s="29"/>
      <c r="L78" s="152"/>
      <c r="M78" s="268"/>
      <c r="N78" s="1"/>
      <c r="O78" s="29"/>
      <c r="P78" s="36"/>
      <c r="Q78" s="36"/>
      <c r="R78" s="29"/>
      <c r="S78" s="29"/>
      <c r="T78" s="29"/>
      <c r="U78" s="154"/>
      <c r="V78" s="43"/>
      <c r="W78" s="36"/>
    </row>
    <row r="79" spans="2:23" ht="15" customHeight="1" x14ac:dyDescent="0.3">
      <c r="B79" s="11">
        <v>71</v>
      </c>
      <c r="C79" s="1"/>
      <c r="D79" s="87"/>
      <c r="E79" s="120"/>
      <c r="F79" s="46"/>
      <c r="G79" s="54"/>
      <c r="H79" s="46"/>
      <c r="I79" s="36"/>
      <c r="J79" s="29"/>
      <c r="K79" s="29"/>
      <c r="L79" s="152"/>
      <c r="M79" s="268"/>
      <c r="N79" s="1"/>
      <c r="O79" s="29"/>
      <c r="P79" s="36"/>
      <c r="Q79" s="36"/>
      <c r="R79" s="29"/>
      <c r="S79" s="29"/>
      <c r="T79" s="29"/>
      <c r="U79" s="154"/>
      <c r="V79" s="43"/>
      <c r="W79" s="36"/>
    </row>
    <row r="80" spans="2:23" ht="15" customHeight="1" x14ac:dyDescent="0.3">
      <c r="B80" s="11">
        <v>72</v>
      </c>
      <c r="C80" s="1"/>
      <c r="D80" s="87"/>
      <c r="E80" s="120"/>
      <c r="F80" s="46"/>
      <c r="G80" s="54"/>
      <c r="H80" s="46"/>
      <c r="I80" s="36"/>
      <c r="J80" s="29"/>
      <c r="K80" s="29"/>
      <c r="L80" s="152"/>
      <c r="M80" s="268"/>
      <c r="N80" s="1"/>
      <c r="O80" s="29"/>
      <c r="P80" s="36"/>
      <c r="Q80" s="36"/>
      <c r="R80" s="29"/>
      <c r="S80" s="29"/>
      <c r="T80" s="29"/>
      <c r="U80" s="154"/>
      <c r="V80" s="43"/>
      <c r="W80" s="36"/>
    </row>
    <row r="81" spans="2:23" ht="15" customHeight="1" x14ac:dyDescent="0.3">
      <c r="B81" s="11">
        <v>73</v>
      </c>
      <c r="C81" s="1"/>
      <c r="D81" s="87"/>
      <c r="E81" s="120"/>
      <c r="F81" s="46"/>
      <c r="G81" s="54"/>
      <c r="H81" s="46"/>
      <c r="I81" s="36"/>
      <c r="J81" s="29"/>
      <c r="K81" s="29"/>
      <c r="L81" s="152"/>
      <c r="M81" s="268"/>
      <c r="N81" s="1"/>
      <c r="O81" s="29"/>
      <c r="P81" s="36"/>
      <c r="Q81" s="36"/>
      <c r="R81" s="29"/>
      <c r="S81" s="29"/>
      <c r="T81" s="29"/>
      <c r="U81" s="154"/>
      <c r="V81" s="43"/>
      <c r="W81" s="36"/>
    </row>
    <row r="82" spans="2:23" ht="15" customHeight="1" x14ac:dyDescent="0.3">
      <c r="B82" s="11">
        <v>74</v>
      </c>
      <c r="C82" s="1"/>
      <c r="D82" s="155"/>
      <c r="E82" s="120"/>
      <c r="F82" s="46"/>
      <c r="G82" s="54"/>
      <c r="H82" s="46"/>
      <c r="I82" s="36"/>
      <c r="J82" s="29"/>
      <c r="K82" s="29"/>
      <c r="L82" s="29"/>
      <c r="M82" s="268"/>
      <c r="N82" s="1"/>
      <c r="O82" s="29"/>
      <c r="P82" s="36"/>
      <c r="Q82" s="36"/>
      <c r="R82" s="29"/>
      <c r="S82" s="29"/>
      <c r="T82" s="29"/>
      <c r="U82" s="154"/>
      <c r="V82" s="43"/>
      <c r="W82" s="36"/>
    </row>
    <row r="83" spans="2:23" x14ac:dyDescent="0.3">
      <c r="B83" s="11">
        <v>75</v>
      </c>
      <c r="C83" s="106"/>
      <c r="D83" s="86"/>
      <c r="E83" s="120"/>
      <c r="F83" s="46"/>
      <c r="G83" s="54"/>
      <c r="H83" s="46"/>
      <c r="I83" s="36"/>
      <c r="J83" s="29"/>
      <c r="K83" s="29"/>
      <c r="L83" s="152"/>
      <c r="M83" s="268"/>
      <c r="N83" s="1"/>
      <c r="O83" s="29"/>
      <c r="P83" s="36"/>
      <c r="Q83" s="36"/>
      <c r="R83" s="29"/>
      <c r="S83" s="29"/>
      <c r="T83" s="29"/>
      <c r="U83" s="154"/>
      <c r="V83" s="43"/>
      <c r="W83" s="36"/>
    </row>
    <row r="84" spans="2:23" ht="15" customHeight="1" x14ac:dyDescent="0.3">
      <c r="B84" s="11">
        <v>76</v>
      </c>
      <c r="C84" s="1"/>
      <c r="D84" s="155"/>
      <c r="E84" s="120"/>
      <c r="F84" s="46"/>
      <c r="G84" s="54"/>
      <c r="H84" s="46"/>
      <c r="I84" s="36"/>
      <c r="J84" s="29"/>
      <c r="K84" s="29"/>
      <c r="L84" s="152"/>
      <c r="M84" s="268"/>
      <c r="N84" s="1"/>
      <c r="O84" s="29"/>
      <c r="P84" s="36"/>
      <c r="Q84" s="36"/>
      <c r="R84" s="29"/>
      <c r="S84" s="29"/>
      <c r="T84" s="29"/>
      <c r="U84" s="154"/>
      <c r="V84" s="43"/>
      <c r="W84" s="36"/>
    </row>
    <row r="85" spans="2:23" ht="15" customHeight="1" x14ac:dyDescent="0.3">
      <c r="B85" s="11">
        <v>77</v>
      </c>
      <c r="C85" s="158"/>
      <c r="D85" s="155"/>
      <c r="E85" s="120"/>
      <c r="F85" s="46"/>
      <c r="G85" s="54"/>
      <c r="H85" s="46"/>
      <c r="I85" s="36"/>
      <c r="J85" s="29"/>
      <c r="K85" s="29"/>
      <c r="L85" s="152"/>
      <c r="M85" s="268"/>
      <c r="N85" s="1"/>
      <c r="O85" s="29"/>
      <c r="P85" s="36"/>
      <c r="Q85" s="36"/>
      <c r="R85" s="29"/>
      <c r="S85" s="29"/>
      <c r="T85" s="29"/>
      <c r="U85" s="154"/>
      <c r="V85" s="43"/>
      <c r="W85" s="36"/>
    </row>
    <row r="86" spans="2:23" ht="15" customHeight="1" x14ac:dyDescent="0.3">
      <c r="B86" s="11">
        <v>78</v>
      </c>
      <c r="C86" s="158"/>
      <c r="D86" s="155"/>
      <c r="E86" s="120"/>
      <c r="F86" s="46"/>
      <c r="G86" s="54"/>
      <c r="H86" s="46"/>
      <c r="I86" s="36"/>
      <c r="J86" s="29"/>
      <c r="K86" s="29"/>
      <c r="L86" s="152"/>
      <c r="M86" s="268"/>
      <c r="N86" s="1"/>
      <c r="O86" s="29"/>
      <c r="P86" s="36"/>
      <c r="Q86" s="36"/>
      <c r="R86" s="29"/>
      <c r="S86" s="29"/>
      <c r="T86" s="29"/>
      <c r="U86" s="154"/>
      <c r="V86" s="43"/>
      <c r="W86" s="36"/>
    </row>
    <row r="87" spans="2:23" ht="15" customHeight="1" x14ac:dyDescent="0.3">
      <c r="B87" s="11">
        <v>79</v>
      </c>
      <c r="C87" s="158"/>
      <c r="D87" s="155"/>
      <c r="E87" s="120"/>
      <c r="F87" s="46"/>
      <c r="G87" s="54"/>
      <c r="H87" s="46"/>
      <c r="I87" s="36"/>
      <c r="J87" s="29"/>
      <c r="K87" s="29"/>
      <c r="L87" s="152"/>
      <c r="M87" s="153"/>
      <c r="N87" s="1"/>
      <c r="O87" s="29"/>
      <c r="P87" s="36"/>
      <c r="Q87" s="36"/>
      <c r="R87" s="29"/>
      <c r="S87" s="29"/>
      <c r="T87" s="29"/>
      <c r="U87" s="154"/>
      <c r="V87" s="16"/>
      <c r="W87" s="36"/>
    </row>
    <row r="88" spans="2:23" x14ac:dyDescent="0.3">
      <c r="B88" s="11"/>
      <c r="C88" s="108"/>
      <c r="D88" s="16"/>
      <c r="E88" s="121"/>
      <c r="F88" s="46"/>
      <c r="G88" s="54"/>
      <c r="H88" s="46"/>
      <c r="I88" s="36"/>
      <c r="J88" s="29"/>
      <c r="K88" s="29"/>
      <c r="L88" s="29"/>
      <c r="M88" s="153"/>
      <c r="N88" s="1"/>
      <c r="O88" s="1"/>
      <c r="P88" s="36"/>
      <c r="Q88" s="36"/>
      <c r="R88" s="29"/>
      <c r="S88" s="29"/>
      <c r="T88" s="29"/>
      <c r="U88" s="40"/>
      <c r="V88" s="16"/>
      <c r="W88" s="36"/>
    </row>
    <row r="89" spans="2:23" x14ac:dyDescent="0.3">
      <c r="C89" s="104"/>
      <c r="D89" s="61"/>
      <c r="E89" s="80"/>
      <c r="F89" s="79">
        <f>SUBTOTAL(9,F9:F88)</f>
        <v>0</v>
      </c>
      <c r="G89" s="51">
        <f>SUBTOTAL(9,G9:G88)</f>
        <v>0</v>
      </c>
      <c r="H89" s="51">
        <f>SUBTOTAL(9,H9:H88)</f>
        <v>0</v>
      </c>
      <c r="I89" s="70"/>
      <c r="J89" s="17"/>
      <c r="K89" s="30">
        <f>SUBTOTAL(2,K9:K88)</f>
        <v>0</v>
      </c>
      <c r="L89" s="34"/>
      <c r="M89" s="18"/>
      <c r="N89" s="19"/>
      <c r="O89" s="34"/>
      <c r="P89" s="34"/>
      <c r="Q89" s="19"/>
      <c r="R89" s="19"/>
      <c r="S89" s="19"/>
      <c r="T89" s="19"/>
      <c r="U89" s="34"/>
      <c r="V89" s="22"/>
      <c r="W89" s="37"/>
    </row>
    <row r="90" spans="2:23" x14ac:dyDescent="0.3">
      <c r="F90" s="52"/>
      <c r="G90" s="52"/>
      <c r="H90" s="52"/>
    </row>
    <row r="91" spans="2:23" x14ac:dyDescent="0.3">
      <c r="F91" s="52"/>
      <c r="G91" s="52"/>
      <c r="H91" s="52"/>
    </row>
    <row r="92" spans="2:23" ht="15" thickBot="1" x14ac:dyDescent="0.35">
      <c r="C92" s="105"/>
      <c r="D92" s="20"/>
      <c r="E92" s="28"/>
      <c r="F92" s="312"/>
      <c r="G92" s="316" t="s">
        <v>153</v>
      </c>
      <c r="H92" s="74">
        <f>SUM(H9:H88)</f>
        <v>0</v>
      </c>
      <c r="I92" s="75"/>
      <c r="J92" s="14"/>
      <c r="L92" s="35"/>
      <c r="M92" s="14"/>
      <c r="N92" s="14"/>
      <c r="O92" s="35"/>
      <c r="P92" s="35"/>
      <c r="Q92" s="14"/>
      <c r="R92" s="14"/>
      <c r="S92" s="14"/>
      <c r="T92" s="14"/>
      <c r="U92" s="35"/>
      <c r="V92" s="3"/>
    </row>
    <row r="93" spans="2:23" ht="15" thickTop="1" x14ac:dyDescent="0.3">
      <c r="M93" s="14"/>
    </row>
    <row r="96" spans="2:23" x14ac:dyDescent="0.3">
      <c r="D96" s="425" t="s">
        <v>127</v>
      </c>
      <c r="E96" s="426"/>
      <c r="F96" s="427"/>
      <c r="G96" s="8"/>
      <c r="I96" s="425" t="s">
        <v>128</v>
      </c>
      <c r="J96" s="426"/>
      <c r="K96" s="427"/>
      <c r="L96" s="8"/>
    </row>
    <row r="97" spans="4:12" x14ac:dyDescent="0.3">
      <c r="D97" s="16" t="s">
        <v>129</v>
      </c>
      <c r="E97" s="92" t="s">
        <v>130</v>
      </c>
      <c r="F97" s="93" t="s">
        <v>131</v>
      </c>
      <c r="G97" s="91"/>
      <c r="I97" s="16" t="s">
        <v>129</v>
      </c>
      <c r="J97" s="92" t="s">
        <v>130</v>
      </c>
      <c r="K97" s="93" t="s">
        <v>131</v>
      </c>
      <c r="L97" s="8"/>
    </row>
    <row r="98" spans="4:12" x14ac:dyDescent="0.3">
      <c r="D98" s="94">
        <f>SUMIF($V$9:$V$88,D97,$H$9:$H$88)</f>
        <v>0</v>
      </c>
      <c r="E98" s="94">
        <f>SUMIF($V$9:$V$88,E97,$H$9:$H$88)</f>
        <v>0</v>
      </c>
      <c r="F98" s="94">
        <f>SUMIF($V$9:$V$88,F97,$H$9:$H$88)</f>
        <v>0</v>
      </c>
      <c r="G98" s="95">
        <f>SUM(D98:F98)</f>
        <v>0</v>
      </c>
      <c r="I98" s="94">
        <f>SUMIF($V$9:$V$88,I97,$G$9:$G$88)</f>
        <v>0</v>
      </c>
      <c r="J98" s="94">
        <f>SUMIF($V$9:$V$88,J97,$G$9:$G$88)</f>
        <v>0</v>
      </c>
      <c r="K98" s="94">
        <f>SUMIF($V$9:$V$88,K97,$G$9:$G$88)</f>
        <v>0</v>
      </c>
      <c r="L98" s="95">
        <f>SUM(I98:K98)</f>
        <v>0</v>
      </c>
    </row>
    <row r="99" spans="4:12" x14ac:dyDescent="0.3">
      <c r="E99"/>
      <c r="F99"/>
      <c r="G99" s="97">
        <f>H92-G98</f>
        <v>0</v>
      </c>
      <c r="I99" s="32"/>
      <c r="J99" s="32"/>
      <c r="K99" s="98"/>
      <c r="L99" s="97" t="e">
        <f>G92-L98</f>
        <v>#VALUE!</v>
      </c>
    </row>
    <row r="100" spans="4:12" x14ac:dyDescent="0.3">
      <c r="D100" s="47"/>
      <c r="E100" s="47"/>
      <c r="G100" s="68"/>
      <c r="I100"/>
      <c r="K100"/>
      <c r="L100" s="8"/>
    </row>
    <row r="101" spans="4:12" x14ac:dyDescent="0.3">
      <c r="G101" s="123" t="s">
        <v>132</v>
      </c>
      <c r="H101" s="47">
        <f>F98</f>
        <v>0</v>
      </c>
      <c r="I101" s="47"/>
      <c r="J101" s="68"/>
      <c r="L101" s="8"/>
    </row>
    <row r="102" spans="4:12" ht="15" thickBot="1" x14ac:dyDescent="0.35">
      <c r="G102" s="124" t="s">
        <v>133</v>
      </c>
      <c r="H102" s="99">
        <f>D98+E98+I98+J98+K98</f>
        <v>0</v>
      </c>
      <c r="I102" s="47"/>
      <c r="J102" s="68"/>
      <c r="L102" s="8"/>
    </row>
    <row r="103" spans="4:12" ht="15" thickTop="1" x14ac:dyDescent="0.3">
      <c r="G103" s="123" t="s">
        <v>134</v>
      </c>
      <c r="H103" s="47">
        <f>SUM(H101:H102)</f>
        <v>0</v>
      </c>
      <c r="I103" s="47"/>
      <c r="J103" s="68"/>
    </row>
    <row r="104" spans="4:12" x14ac:dyDescent="0.3">
      <c r="H104" s="97">
        <f>F92-H103</f>
        <v>0</v>
      </c>
      <c r="I104" s="47"/>
    </row>
    <row r="106" spans="4:12" x14ac:dyDescent="0.3">
      <c r="G106" s="169" t="s">
        <v>144</v>
      </c>
      <c r="H106" s="169" t="s">
        <v>13</v>
      </c>
      <c r="I106" s="223" t="s">
        <v>28</v>
      </c>
      <c r="J106" s="39" t="s">
        <v>84</v>
      </c>
    </row>
    <row r="107" spans="4:12" x14ac:dyDescent="0.3">
      <c r="G107" s="47" t="s">
        <v>30</v>
      </c>
      <c r="H107" s="47">
        <f>SUMIF($J$9:$J$88,G107,$F$9:$F$88)</f>
        <v>0</v>
      </c>
      <c r="I107" s="224">
        <f>SUMIFS($H$9:$H$88,$J$9:$J$88,G107,$V$9:$V$88,"YES")</f>
        <v>0</v>
      </c>
      <c r="J107" s="146">
        <f>H107-I107</f>
        <v>0</v>
      </c>
    </row>
    <row r="108" spans="4:12" x14ac:dyDescent="0.3">
      <c r="G108" s="47" t="s">
        <v>31</v>
      </c>
      <c r="H108" s="47">
        <f>SUMIF($J$9:$J$88,G108,$F$9:$F$88)</f>
        <v>0</v>
      </c>
      <c r="I108" s="224">
        <f>SUMIFS($H$9:$H$88,$J$9:$J$88,G108,$V$9:$V$88,"YES")</f>
        <v>0</v>
      </c>
      <c r="J108" s="146">
        <f t="shared" ref="J108:J109" si="0">H108-I108</f>
        <v>0</v>
      </c>
    </row>
    <row r="109" spans="4:12" ht="15" thickBot="1" x14ac:dyDescent="0.35">
      <c r="G109" s="99" t="s">
        <v>163</v>
      </c>
      <c r="H109" s="99">
        <f>SUMIF($J$9:$J$88,G109,$F$9:$F$88)</f>
        <v>0</v>
      </c>
      <c r="I109" s="225">
        <f>SUMIFS($H$9:$H$88,$J$9:$J$88,G109,$V$9:$V$88,"YES")</f>
        <v>0</v>
      </c>
      <c r="J109" s="226">
        <f t="shared" si="0"/>
        <v>0</v>
      </c>
    </row>
    <row r="110" spans="4:12" ht="15" thickTop="1" x14ac:dyDescent="0.3">
      <c r="H110" s="47">
        <f>SUM(H107:H109)</f>
        <v>0</v>
      </c>
      <c r="I110" s="227">
        <f>SUM(I107:I109)</f>
        <v>0</v>
      </c>
      <c r="J110" s="47">
        <f>SUM(J107:J109)</f>
        <v>0</v>
      </c>
    </row>
    <row r="111" spans="4:12" x14ac:dyDescent="0.3">
      <c r="H111" s="96">
        <f>H110-H103</f>
        <v>0</v>
      </c>
      <c r="I111" s="96">
        <f>I110-H101</f>
        <v>0</v>
      </c>
      <c r="J111" s="96">
        <f>J110-H102</f>
        <v>0</v>
      </c>
    </row>
    <row r="113" spans="3:6" x14ac:dyDescent="0.3">
      <c r="C113" s="163"/>
      <c r="D113" s="32"/>
    </row>
    <row r="114" spans="3:6" x14ac:dyDescent="0.3">
      <c r="C114" s="163"/>
      <c r="D114" s="32"/>
    </row>
    <row r="115" spans="3:6" x14ac:dyDescent="0.3">
      <c r="C115" s="163"/>
      <c r="D115" s="32"/>
    </row>
    <row r="116" spans="3:6" x14ac:dyDescent="0.3">
      <c r="C116" s="163"/>
      <c r="D116" s="32"/>
    </row>
    <row r="117" spans="3:6" x14ac:dyDescent="0.3">
      <c r="C117" s="163"/>
      <c r="D117" s="32"/>
    </row>
    <row r="118" spans="3:6" x14ac:dyDescent="0.3">
      <c r="C118" s="163"/>
      <c r="D118" s="32"/>
    </row>
    <row r="119" spans="3:6" x14ac:dyDescent="0.3">
      <c r="C119" s="164"/>
      <c r="D119" s="4"/>
      <c r="E119" s="162"/>
      <c r="F119" s="95"/>
    </row>
    <row r="120" spans="3:6" x14ac:dyDescent="0.3">
      <c r="C120" s="163"/>
    </row>
    <row r="121" spans="3:6" x14ac:dyDescent="0.3">
      <c r="C121" s="163"/>
    </row>
    <row r="122" spans="3:6" x14ac:dyDescent="0.3">
      <c r="C122" s="163"/>
    </row>
    <row r="123" spans="3:6" x14ac:dyDescent="0.3">
      <c r="C123" s="163"/>
    </row>
  </sheetData>
  <dataConsolidate/>
  <customSheetViews>
    <customSheetView guid="{14C8854E-48EC-4FF0-8495-678A66A79974}" scale="80" fitToPage="1" filter="1" showAutoFilter="1">
      <pane xSplit="3" ySplit="6" topLeftCell="D34" activePane="bottomRight" state="frozen"/>
      <selection pane="bottomRight" activeCell="R44" sqref="R44"/>
      <pageMargins left="0" right="0" top="0" bottom="0" header="0" footer="0"/>
      <pageSetup scale="57" orientation="portrait" r:id="rId1"/>
      <autoFilter ref="C6:W58" xr:uid="{67FE1859-8C96-4024-B93E-1862BF8DFE3C}">
        <filterColumn colId="19">
          <filters>
            <filter val="YES"/>
          </filters>
        </filterColumn>
      </autoFilter>
    </customSheetView>
    <customSheetView guid="{064F1E00-4E44-40D8-9D84-C13C3FC17883}" scale="80" fitToPage="1" filter="1" showAutoFilter="1">
      <pane xSplit="3" ySplit="6" topLeftCell="D34" activePane="bottomRight" state="frozen"/>
      <selection pane="bottomRight" activeCell="R44" sqref="R44"/>
      <pageMargins left="0" right="0" top="0" bottom="0" header="0" footer="0"/>
      <pageSetup scale="57" orientation="portrait" r:id="rId2"/>
      <autoFilter ref="C6:W58" xr:uid="{F0339F75-08CE-47C4-B103-9C6B850CD572}">
        <filterColumn colId="19">
          <filters>
            <filter val="YES"/>
          </filters>
        </filterColumn>
      </autoFilter>
    </customSheetView>
  </customSheetViews>
  <mergeCells count="3">
    <mergeCell ref="D96:F96"/>
    <mergeCell ref="B1:X1"/>
    <mergeCell ref="I96:K96"/>
  </mergeCells>
  <conditionalFormatting sqref="D97">
    <cfRule type="cellIs" dxfId="53" priority="325" operator="equal">
      <formula>"NO-OOS"</formula>
    </cfRule>
    <cfRule type="cellIs" dxfId="52" priority="326" operator="equal">
      <formula>"NO-CO"</formula>
    </cfRule>
    <cfRule type="cellIs" dxfId="51" priority="327" operator="equal">
      <formula>"YES"</formula>
    </cfRule>
    <cfRule type="cellIs" dxfId="50" priority="328" operator="equal">
      <formula>"NO"</formula>
    </cfRule>
  </conditionalFormatting>
  <conditionalFormatting sqref="I97">
    <cfRule type="cellIs" dxfId="49" priority="320" operator="equal">
      <formula>"NO-OOS"</formula>
    </cfRule>
    <cfRule type="cellIs" dxfId="48" priority="321" operator="equal">
      <formula>"NO-CO"</formula>
    </cfRule>
    <cfRule type="cellIs" dxfId="47" priority="322" operator="equal">
      <formula>"YES"</formula>
    </cfRule>
    <cfRule type="cellIs" dxfId="46" priority="323" operator="equal">
      <formula>"NO"</formula>
    </cfRule>
  </conditionalFormatting>
  <conditionalFormatting sqref="M9:M88">
    <cfRule type="cellIs" dxfId="45" priority="4" operator="equal">
      <formula>"N/A"</formula>
    </cfRule>
    <cfRule type="cellIs" dxfId="44" priority="5" operator="equal">
      <formula>"YES"</formula>
    </cfRule>
    <cfRule type="cellIs" dxfId="43" priority="6" operator="equal">
      <formula>"NO"</formula>
    </cfRule>
  </conditionalFormatting>
  <conditionalFormatting sqref="V9:V88">
    <cfRule type="cellIs" dxfId="42" priority="7" operator="equal">
      <formula>"NO-OOS"</formula>
    </cfRule>
    <cfRule type="cellIs" dxfId="41" priority="8" operator="equal">
      <formula>"NO-TX"</formula>
    </cfRule>
    <cfRule type="cellIs" dxfId="40" priority="9" operator="equal">
      <formula>"YES"</formula>
    </cfRule>
  </conditionalFormatting>
  <dataValidations xWindow="781" yWindow="325" count="2">
    <dataValidation type="list" allowBlank="1" showInputMessage="1" showErrorMessage="1" sqref="D97 I97" xr:uid="{00000000-0002-0000-0100-000005000000}"/>
    <dataValidation type="list" allowBlank="1" showInputMessage="1" showErrorMessage="1" sqref="X2:X6" xr:uid="{00000000-0002-0000-0100-000006000000}"/>
  </dataValidations>
  <pageMargins left="0.45" right="0.45" top="0.75" bottom="0.75" header="0.3" footer="0.3"/>
  <pageSetup scale="20" fitToHeight="0" orientation="portrait" r:id="rId3"/>
  <extLst>
    <ext xmlns:x14="http://schemas.microsoft.com/office/spreadsheetml/2009/9/main" uri="{CCE6A557-97BC-4b89-ADB6-D9C93CAAB3DF}">
      <x14:dataValidations xmlns:xm="http://schemas.microsoft.com/office/excel/2006/main" xWindow="781" yWindow="325" count="6">
        <x14:dataValidation type="list" allowBlank="1" showInputMessage="1" showErrorMessage="1" error="Please select a valid option from the 3 below" promptTitle="Payment Method" prompt="Select a payment method" xr:uid="{00000000-0002-0000-0100-000002000000}">
          <x14:formula1>
            <xm:f>Legend!$A$2:$A$7</xm:f>
          </x14:formula1>
          <xm:sqref>J89:J95 J114:J1048576 J101:J105 K97 K99:K100 J8</xm:sqref>
        </x14:dataValidation>
        <x14:dataValidation type="list" allowBlank="1" showInputMessage="1" showErrorMessage="1" xr:uid="{00000000-0002-0000-0100-000001000000}">
          <x14:formula1>
            <xm:f>Legend!$H$2:$H$14</xm:f>
          </x14:formula1>
          <xm:sqref>N9:N87</xm:sqref>
        </x14:dataValidation>
        <x14:dataValidation type="list" allowBlank="1" showInputMessage="1" showErrorMessage="1" xr:uid="{00000000-0002-0000-0100-000000000000}">
          <x14:formula1>
            <xm:f>Legend!$C$2:$C$4</xm:f>
          </x14:formula1>
          <xm:sqref>M9:M88</xm:sqref>
        </x14:dataValidation>
        <x14:dataValidation type="list" allowBlank="1" showInputMessage="1" showErrorMessage="1" prompt="Select a category that most closely matches" xr:uid="{00000000-0002-0000-0100-000003000000}">
          <x14:formula1>
            <xm:f>Legend!$F$2:$F$5</xm:f>
          </x14:formula1>
          <xm:sqref>O9:O88</xm:sqref>
        </x14:dataValidation>
        <x14:dataValidation type="list" allowBlank="1" showInputMessage="1" showErrorMessage="1" xr:uid="{00000000-0002-0000-0100-000004000000}">
          <x14:formula1>
            <xm:f>Legend!$E$2:$E$4</xm:f>
          </x14:formula1>
          <xm:sqref>V9:V88</xm:sqref>
        </x14:dataValidation>
        <x14:dataValidation type="list" allowBlank="1" showInputMessage="1" showErrorMessage="1" xr:uid="{55BBD386-6499-4861-9C23-C57BA9C335E9}">
          <x14:formula1>
            <xm:f>Legend!$A$2:$A$9</xm:f>
          </x14:formula1>
          <xm:sqref>J9:J88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7FFC4"/>
    <pageSetUpPr fitToPage="1"/>
  </sheetPr>
  <dimension ref="B1:X136"/>
  <sheetViews>
    <sheetView zoomScale="85" zoomScaleNormal="100" workbookViewId="0">
      <pane xSplit="2" ySplit="6" topLeftCell="J7" activePane="bottomRight" state="frozen"/>
      <selection activeCell="H92" sqref="H92"/>
      <selection pane="topRight" activeCell="H92" sqref="H92"/>
      <selection pane="bottomLeft" activeCell="H92" sqref="H92"/>
      <selection pane="bottomRight" activeCell="M21" sqref="M21"/>
    </sheetView>
  </sheetViews>
  <sheetFormatPr defaultRowHeight="14.4" x14ac:dyDescent="0.3"/>
  <cols>
    <col min="2" max="2" width="9.109375" style="9"/>
    <col min="3" max="3" width="9" style="9"/>
    <col min="4" max="4" width="10.109375" style="9" bestFit="1" customWidth="1"/>
    <col min="5" max="5" width="19.109375" style="103" customWidth="1"/>
    <col min="6" max="6" width="16.88671875" style="27" customWidth="1"/>
    <col min="7" max="7" width="18.109375" customWidth="1"/>
    <col min="8" max="8" width="18.44140625" customWidth="1"/>
    <col min="9" max="9" width="18.109375" customWidth="1"/>
    <col min="10" max="10" width="27.109375" customWidth="1"/>
    <col min="11" max="12" width="17.88671875" customWidth="1"/>
    <col min="13" max="13" width="27.6640625" style="8" customWidth="1"/>
    <col min="14" max="14" width="15.44140625" customWidth="1"/>
    <col min="15" max="15" width="37.5546875" style="32" customWidth="1"/>
    <col min="16" max="16" width="31.6640625" style="32" customWidth="1"/>
    <col min="17" max="17" width="15.6640625" style="32" customWidth="1"/>
    <col min="18" max="18" width="10.109375" style="8" customWidth="1"/>
    <col min="19" max="19" width="12.33203125" style="32" customWidth="1"/>
    <col min="20" max="20" width="19.33203125" style="8" customWidth="1"/>
    <col min="21" max="21" width="13" bestFit="1" customWidth="1"/>
    <col min="22" max="22" width="61.5546875" style="32" bestFit="1" customWidth="1"/>
  </cols>
  <sheetData>
    <row r="1" spans="2:24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</row>
    <row r="2" spans="2:24" ht="15.6" x14ac:dyDescent="0.3">
      <c r="B2" s="116"/>
      <c r="C2" s="116"/>
      <c r="D2" s="116"/>
      <c r="E2" s="2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31"/>
      <c r="Q2" s="31"/>
      <c r="R2" s="116"/>
      <c r="S2" s="116"/>
      <c r="T2" s="116"/>
      <c r="U2" s="31"/>
      <c r="V2" s="116"/>
      <c r="W2" s="31"/>
    </row>
    <row r="3" spans="2:24" x14ac:dyDescent="0.3">
      <c r="D3" s="15"/>
      <c r="E3" s="23"/>
      <c r="F3"/>
      <c r="L3" s="8"/>
      <c r="N3" s="8"/>
      <c r="O3"/>
      <c r="S3" s="8"/>
      <c r="U3" s="32"/>
      <c r="V3"/>
      <c r="W3" s="32"/>
    </row>
    <row r="4" spans="2:24" ht="18" x14ac:dyDescent="0.35">
      <c r="D4" s="15"/>
      <c r="E4" s="4"/>
      <c r="F4"/>
      <c r="I4" s="4"/>
      <c r="J4" s="4"/>
      <c r="K4" s="4"/>
      <c r="L4" s="5"/>
      <c r="M4" s="5"/>
      <c r="N4" s="8"/>
      <c r="O4" s="4"/>
      <c r="P4" s="4"/>
      <c r="Q4" s="4"/>
      <c r="R4" s="115"/>
      <c r="S4" s="115"/>
      <c r="T4" s="115"/>
      <c r="U4" s="4"/>
      <c r="V4" s="4"/>
      <c r="W4" s="4"/>
      <c r="X4" s="4"/>
    </row>
    <row r="5" spans="2:24" ht="18" x14ac:dyDescent="0.35">
      <c r="D5" s="15"/>
      <c r="E5" s="4"/>
      <c r="F5"/>
      <c r="I5" s="4"/>
      <c r="J5" s="4"/>
      <c r="K5" s="4"/>
      <c r="L5" s="5"/>
      <c r="M5" s="5"/>
      <c r="N5" s="8"/>
      <c r="O5" s="4"/>
      <c r="P5" s="4"/>
      <c r="Q5" s="4"/>
      <c r="R5" s="115"/>
      <c r="S5" s="115"/>
      <c r="T5" s="115" t="s">
        <v>165</v>
      </c>
      <c r="U5" s="4"/>
      <c r="V5" s="4"/>
      <c r="W5" s="4"/>
      <c r="X5" s="4"/>
    </row>
    <row r="6" spans="2:24" s="7" customFormat="1" ht="18.75" customHeight="1" x14ac:dyDescent="0.3">
      <c r="B6" s="292" t="s">
        <v>85</v>
      </c>
      <c r="C6" s="292" t="s">
        <v>137</v>
      </c>
      <c r="D6" s="292" t="s">
        <v>166</v>
      </c>
      <c r="E6" s="293" t="s">
        <v>167</v>
      </c>
      <c r="F6" s="294" t="s">
        <v>168</v>
      </c>
      <c r="G6" s="297" t="s">
        <v>169</v>
      </c>
      <c r="H6" s="397" t="s">
        <v>133</v>
      </c>
      <c r="I6" s="297" t="s">
        <v>170</v>
      </c>
      <c r="J6" s="297" t="s">
        <v>171</v>
      </c>
      <c r="K6" s="295" t="s">
        <v>144</v>
      </c>
      <c r="L6" s="295" t="s">
        <v>111</v>
      </c>
      <c r="M6" s="295" t="s">
        <v>172</v>
      </c>
      <c r="N6" s="295" t="s">
        <v>147</v>
      </c>
      <c r="O6" s="295" t="s">
        <v>148</v>
      </c>
      <c r="P6" s="295" t="s">
        <v>149</v>
      </c>
      <c r="Q6" s="295" t="s">
        <v>150</v>
      </c>
      <c r="R6" s="295" t="s">
        <v>116</v>
      </c>
      <c r="S6" s="295" t="s">
        <v>117</v>
      </c>
      <c r="T6" s="295" t="s">
        <v>151</v>
      </c>
      <c r="U6" s="295" t="s">
        <v>113</v>
      </c>
      <c r="V6" s="295" t="s">
        <v>164</v>
      </c>
    </row>
    <row r="7" spans="2:24" x14ac:dyDescent="0.3">
      <c r="B7" s="11">
        <v>1</v>
      </c>
      <c r="C7" s="11"/>
      <c r="D7" s="29"/>
      <c r="E7" s="29"/>
      <c r="F7" s="122"/>
      <c r="G7" s="56"/>
      <c r="H7" s="89"/>
      <c r="I7" s="56"/>
      <c r="J7" s="36"/>
      <c r="K7" s="1"/>
      <c r="L7" s="1"/>
      <c r="M7" s="1"/>
      <c r="N7" s="56"/>
      <c r="O7" s="1"/>
      <c r="P7" s="1"/>
      <c r="Q7" s="29"/>
      <c r="R7" s="29"/>
      <c r="S7" s="73"/>
      <c r="T7" s="154"/>
      <c r="U7" s="43"/>
      <c r="V7" s="1"/>
    </row>
    <row r="8" spans="2:24" x14ac:dyDescent="0.3">
      <c r="B8" s="11">
        <v>2</v>
      </c>
      <c r="C8" s="11"/>
      <c r="D8" s="29"/>
      <c r="E8" s="29"/>
      <c r="F8" s="122"/>
      <c r="G8" s="56"/>
      <c r="H8" s="89"/>
      <c r="I8" s="56"/>
      <c r="J8" s="36"/>
      <c r="K8" s="1"/>
      <c r="L8" s="1"/>
      <c r="M8" s="1"/>
      <c r="N8" s="56"/>
      <c r="O8" s="1"/>
      <c r="P8" s="1"/>
      <c r="Q8" s="29"/>
      <c r="R8" s="29"/>
      <c r="S8" s="73"/>
      <c r="T8" s="154"/>
      <c r="U8" s="43"/>
      <c r="V8" s="1"/>
    </row>
    <row r="9" spans="2:24" x14ac:dyDescent="0.3">
      <c r="B9" s="11">
        <v>3</v>
      </c>
      <c r="C9" s="11"/>
      <c r="D9" s="29"/>
      <c r="E9" s="29"/>
      <c r="F9" s="122"/>
      <c r="G9" s="56"/>
      <c r="H9" s="89"/>
      <c r="I9" s="56"/>
      <c r="J9" s="36"/>
      <c r="K9" s="1"/>
      <c r="L9" s="1"/>
      <c r="M9" s="1"/>
      <c r="N9" s="56"/>
      <c r="O9" s="1"/>
      <c r="P9" s="1"/>
      <c r="Q9" s="29"/>
      <c r="R9" s="29"/>
      <c r="S9" s="73"/>
      <c r="T9" s="154"/>
      <c r="U9" s="43"/>
      <c r="V9" s="1"/>
    </row>
    <row r="10" spans="2:24" x14ac:dyDescent="0.3">
      <c r="B10" s="11">
        <v>4</v>
      </c>
      <c r="C10" s="11"/>
      <c r="D10" s="29"/>
      <c r="E10" s="29"/>
      <c r="F10" s="122"/>
      <c r="G10" s="56"/>
      <c r="H10" s="89"/>
      <c r="I10" s="56"/>
      <c r="J10" s="36"/>
      <c r="K10" s="1"/>
      <c r="L10" s="1"/>
      <c r="M10" s="1"/>
      <c r="N10" s="56"/>
      <c r="O10" s="1"/>
      <c r="P10" s="1"/>
      <c r="Q10" s="29"/>
      <c r="R10" s="29"/>
      <c r="S10" s="73"/>
      <c r="T10" s="154"/>
      <c r="U10" s="43"/>
      <c r="V10" s="1"/>
    </row>
    <row r="11" spans="2:24" x14ac:dyDescent="0.3">
      <c r="B11" s="11">
        <v>5</v>
      </c>
      <c r="C11" s="11"/>
      <c r="D11" s="29"/>
      <c r="E11" s="29"/>
      <c r="F11" s="122"/>
      <c r="G11" s="56"/>
      <c r="H11" s="89"/>
      <c r="I11" s="56"/>
      <c r="J11" s="36"/>
      <c r="K11" s="1"/>
      <c r="L11" s="1"/>
      <c r="M11" s="1"/>
      <c r="N11" s="56"/>
      <c r="O11" s="1"/>
      <c r="P11" s="1"/>
      <c r="Q11" s="29"/>
      <c r="R11" s="29"/>
      <c r="S11" s="73"/>
      <c r="T11" s="154"/>
      <c r="U11" s="43"/>
      <c r="V11" s="1"/>
    </row>
    <row r="12" spans="2:24" x14ac:dyDescent="0.3">
      <c r="B12" s="11">
        <v>6</v>
      </c>
      <c r="C12" s="11"/>
      <c r="D12" s="29"/>
      <c r="E12" s="29"/>
      <c r="F12" s="122"/>
      <c r="G12" s="56"/>
      <c r="H12" s="89"/>
      <c r="I12" s="56"/>
      <c r="J12" s="36"/>
      <c r="K12" s="1"/>
      <c r="L12" s="1"/>
      <c r="M12" s="1"/>
      <c r="N12" s="56"/>
      <c r="O12" s="1"/>
      <c r="P12" s="1"/>
      <c r="Q12" s="29"/>
      <c r="R12" s="29"/>
      <c r="S12" s="73"/>
      <c r="T12" s="154"/>
      <c r="U12" s="43"/>
      <c r="V12" s="1"/>
    </row>
    <row r="13" spans="2:24" x14ac:dyDescent="0.3">
      <c r="B13" s="11">
        <v>7</v>
      </c>
      <c r="C13" s="11"/>
      <c r="D13" s="29"/>
      <c r="E13" s="29"/>
      <c r="F13" s="122"/>
      <c r="G13" s="56"/>
      <c r="H13" s="89"/>
      <c r="I13" s="56"/>
      <c r="J13" s="36"/>
      <c r="K13" s="1"/>
      <c r="L13" s="1"/>
      <c r="M13" s="1"/>
      <c r="N13" s="56"/>
      <c r="O13" s="1"/>
      <c r="P13" s="1"/>
      <c r="Q13" s="29"/>
      <c r="R13" s="29"/>
      <c r="S13" s="73"/>
      <c r="T13" s="154"/>
      <c r="U13" s="43"/>
      <c r="V13" s="1"/>
    </row>
    <row r="14" spans="2:24" x14ac:dyDescent="0.3">
      <c r="B14" s="11">
        <v>8</v>
      </c>
      <c r="C14" s="11"/>
      <c r="D14" s="29"/>
      <c r="E14" s="29"/>
      <c r="F14" s="122"/>
      <c r="G14" s="56"/>
      <c r="H14" s="89"/>
      <c r="I14" s="56"/>
      <c r="J14" s="36"/>
      <c r="K14" s="1"/>
      <c r="L14" s="1"/>
      <c r="M14" s="1"/>
      <c r="N14" s="56"/>
      <c r="O14" s="1"/>
      <c r="P14" s="1"/>
      <c r="Q14" s="29"/>
      <c r="R14" s="29"/>
      <c r="S14" s="73"/>
      <c r="T14" s="154"/>
      <c r="U14" s="43"/>
      <c r="V14" s="1"/>
    </row>
    <row r="15" spans="2:24" x14ac:dyDescent="0.3">
      <c r="B15" s="11">
        <v>9</v>
      </c>
      <c r="C15" s="11"/>
      <c r="D15" s="29"/>
      <c r="E15" s="29"/>
      <c r="F15" s="122"/>
      <c r="G15" s="56"/>
      <c r="H15" s="89"/>
      <c r="I15" s="56"/>
      <c r="J15" s="36"/>
      <c r="K15" s="1"/>
      <c r="L15" s="1"/>
      <c r="M15" s="1"/>
      <c r="N15" s="56"/>
      <c r="O15" s="1"/>
      <c r="P15" s="1"/>
      <c r="Q15" s="29"/>
      <c r="R15" s="29"/>
      <c r="S15" s="73"/>
      <c r="T15" s="154"/>
      <c r="U15" s="43"/>
      <c r="V15" s="317"/>
    </row>
    <row r="16" spans="2:24" x14ac:dyDescent="0.3">
      <c r="B16" s="11">
        <v>10</v>
      </c>
      <c r="C16" s="11"/>
      <c r="D16" s="29"/>
      <c r="E16" s="29"/>
      <c r="F16" s="122"/>
      <c r="G16" s="56"/>
      <c r="H16" s="89"/>
      <c r="I16" s="56"/>
      <c r="J16" s="36"/>
      <c r="K16" s="1"/>
      <c r="L16" s="1"/>
      <c r="M16" s="1"/>
      <c r="N16" s="56"/>
      <c r="O16" s="1"/>
      <c r="P16" s="1"/>
      <c r="Q16" s="29"/>
      <c r="R16" s="29"/>
      <c r="S16" s="73"/>
      <c r="T16" s="154"/>
      <c r="U16" s="43"/>
      <c r="V16" s="1"/>
    </row>
    <row r="17" spans="2:22" x14ac:dyDescent="0.3">
      <c r="B17" s="11">
        <v>11</v>
      </c>
      <c r="C17" s="11"/>
      <c r="D17" s="29"/>
      <c r="E17" s="29"/>
      <c r="F17" s="122"/>
      <c r="G17" s="56"/>
      <c r="H17" s="89"/>
      <c r="I17" s="56"/>
      <c r="J17" s="36"/>
      <c r="K17" s="1"/>
      <c r="L17" s="1"/>
      <c r="M17" s="1"/>
      <c r="N17" s="56"/>
      <c r="O17" s="1"/>
      <c r="P17" s="1"/>
      <c r="Q17" s="29"/>
      <c r="R17" s="29"/>
      <c r="S17" s="73"/>
      <c r="T17" s="154"/>
      <c r="U17" s="43"/>
      <c r="V17" s="1"/>
    </row>
    <row r="18" spans="2:22" x14ac:dyDescent="0.3">
      <c r="B18" s="11">
        <v>12</v>
      </c>
      <c r="C18" s="11"/>
      <c r="D18" s="29"/>
      <c r="E18" s="29"/>
      <c r="F18" s="122"/>
      <c r="G18" s="56"/>
      <c r="H18" s="89"/>
      <c r="I18" s="56"/>
      <c r="J18" s="36"/>
      <c r="K18" s="1"/>
      <c r="L18" s="1"/>
      <c r="M18" s="1"/>
      <c r="N18" s="56"/>
      <c r="O18" s="1"/>
      <c r="P18" s="1"/>
      <c r="Q18" s="29"/>
      <c r="R18" s="29"/>
      <c r="S18" s="73"/>
      <c r="T18" s="154"/>
      <c r="U18" s="43"/>
      <c r="V18" s="1"/>
    </row>
    <row r="19" spans="2:22" x14ac:dyDescent="0.3">
      <c r="B19" s="11">
        <v>13</v>
      </c>
      <c r="C19" s="11"/>
      <c r="D19" s="29"/>
      <c r="E19" s="29"/>
      <c r="F19" s="122"/>
      <c r="G19" s="56"/>
      <c r="H19" s="89"/>
      <c r="I19" s="56"/>
      <c r="J19" s="36"/>
      <c r="K19" s="1"/>
      <c r="L19" s="1"/>
      <c r="M19" s="1"/>
      <c r="N19" s="56"/>
      <c r="O19" s="1"/>
      <c r="P19" s="1"/>
      <c r="Q19" s="29"/>
      <c r="R19" s="29"/>
      <c r="S19" s="73"/>
      <c r="T19" s="154"/>
      <c r="U19" s="43"/>
      <c r="V19" s="317"/>
    </row>
    <row r="20" spans="2:22" x14ac:dyDescent="0.3">
      <c r="B20" s="11">
        <v>14</v>
      </c>
      <c r="C20" s="11"/>
      <c r="D20" s="29"/>
      <c r="E20" s="29"/>
      <c r="F20" s="122"/>
      <c r="G20" s="56"/>
      <c r="H20" s="89"/>
      <c r="I20" s="56"/>
      <c r="J20" s="36"/>
      <c r="K20" s="1"/>
      <c r="L20" s="1"/>
      <c r="M20" s="1"/>
      <c r="N20" s="56"/>
      <c r="O20" s="1"/>
      <c r="P20" s="1"/>
      <c r="Q20" s="29"/>
      <c r="R20" s="29"/>
      <c r="S20" s="73"/>
      <c r="T20" s="154"/>
      <c r="U20" s="43"/>
      <c r="V20" s="1"/>
    </row>
    <row r="21" spans="2:22" x14ac:dyDescent="0.3">
      <c r="B21" s="11">
        <v>15</v>
      </c>
      <c r="C21" s="11"/>
      <c r="D21" s="29"/>
      <c r="E21" s="29"/>
      <c r="F21" s="122"/>
      <c r="G21" s="56"/>
      <c r="H21" s="89"/>
      <c r="I21" s="56"/>
      <c r="J21" s="36"/>
      <c r="K21" s="1"/>
      <c r="L21" s="1"/>
      <c r="M21" s="1"/>
      <c r="N21" s="56"/>
      <c r="O21" s="1"/>
      <c r="P21" s="1"/>
      <c r="Q21" s="29"/>
      <c r="R21" s="29"/>
      <c r="S21" s="73"/>
      <c r="T21" s="154"/>
      <c r="U21" s="43"/>
      <c r="V21" s="1"/>
    </row>
    <row r="22" spans="2:22" x14ac:dyDescent="0.3">
      <c r="B22" s="11">
        <v>16</v>
      </c>
      <c r="C22" s="11"/>
      <c r="D22" s="29"/>
      <c r="E22" s="29"/>
      <c r="F22" s="122"/>
      <c r="G22" s="56"/>
      <c r="H22" s="89"/>
      <c r="I22" s="56"/>
      <c r="J22" s="36"/>
      <c r="K22" s="1"/>
      <c r="L22" s="1"/>
      <c r="M22" s="1"/>
      <c r="N22" s="56"/>
      <c r="O22" s="1"/>
      <c r="P22" s="1"/>
      <c r="Q22" s="29"/>
      <c r="R22" s="29"/>
      <c r="S22" s="73"/>
      <c r="T22" s="154"/>
      <c r="U22" s="43"/>
      <c r="V22" s="1"/>
    </row>
    <row r="23" spans="2:22" x14ac:dyDescent="0.3">
      <c r="B23" s="11">
        <v>17</v>
      </c>
      <c r="C23" s="11"/>
      <c r="D23" s="29"/>
      <c r="E23" s="29"/>
      <c r="F23" s="122"/>
      <c r="G23" s="56"/>
      <c r="H23" s="89"/>
      <c r="I23" s="56"/>
      <c r="J23" s="36"/>
      <c r="K23" s="1"/>
      <c r="L23" s="1"/>
      <c r="M23" s="1"/>
      <c r="N23" s="56"/>
      <c r="O23" s="1"/>
      <c r="P23" s="1"/>
      <c r="Q23" s="29"/>
      <c r="R23" s="29"/>
      <c r="S23" s="73"/>
      <c r="T23" s="154"/>
      <c r="U23" s="43"/>
      <c r="V23" s="1"/>
    </row>
    <row r="24" spans="2:22" x14ac:dyDescent="0.3">
      <c r="B24" s="11">
        <v>18</v>
      </c>
      <c r="C24" s="11"/>
      <c r="D24" s="29"/>
      <c r="E24" s="29"/>
      <c r="F24" s="122"/>
      <c r="G24" s="56"/>
      <c r="H24" s="89"/>
      <c r="I24" s="56"/>
      <c r="J24" s="36"/>
      <c r="K24" s="1"/>
      <c r="L24" s="1"/>
      <c r="M24" s="1"/>
      <c r="N24" s="56"/>
      <c r="O24" s="1"/>
      <c r="P24" s="1"/>
      <c r="Q24" s="29"/>
      <c r="R24" s="29"/>
      <c r="S24" s="73"/>
      <c r="T24" s="154"/>
      <c r="U24" s="43"/>
      <c r="V24" s="1"/>
    </row>
    <row r="25" spans="2:22" x14ac:dyDescent="0.3">
      <c r="B25" s="11">
        <v>19</v>
      </c>
      <c r="C25" s="11"/>
      <c r="D25" s="29"/>
      <c r="E25" s="29"/>
      <c r="F25" s="122"/>
      <c r="G25" s="56"/>
      <c r="H25" s="89"/>
      <c r="I25" s="56"/>
      <c r="J25" s="36"/>
      <c r="K25" s="1"/>
      <c r="L25" s="1"/>
      <c r="M25" s="1"/>
      <c r="N25" s="56"/>
      <c r="O25" s="1"/>
      <c r="P25" s="1"/>
      <c r="Q25" s="29"/>
      <c r="R25" s="29"/>
      <c r="S25" s="73"/>
      <c r="T25" s="154"/>
      <c r="U25" s="43"/>
      <c r="V25" s="1"/>
    </row>
    <row r="26" spans="2:22" x14ac:dyDescent="0.3">
      <c r="B26" s="11">
        <v>20</v>
      </c>
      <c r="C26" s="11"/>
      <c r="D26" s="29"/>
      <c r="E26" s="29"/>
      <c r="F26" s="122"/>
      <c r="G26" s="56"/>
      <c r="H26" s="89"/>
      <c r="I26" s="56"/>
      <c r="J26" s="36"/>
      <c r="K26" s="1"/>
      <c r="L26" s="1"/>
      <c r="M26" s="1"/>
      <c r="N26" s="56"/>
      <c r="O26" s="1"/>
      <c r="P26" s="1"/>
      <c r="Q26" s="29"/>
      <c r="R26" s="29"/>
      <c r="S26" s="73"/>
      <c r="T26" s="154"/>
      <c r="U26" s="43"/>
      <c r="V26" s="1"/>
    </row>
    <row r="27" spans="2:22" x14ac:dyDescent="0.3">
      <c r="B27" s="11">
        <v>21</v>
      </c>
      <c r="C27" s="11"/>
      <c r="D27" s="29"/>
      <c r="E27" s="29"/>
      <c r="F27" s="122"/>
      <c r="G27" s="56"/>
      <c r="H27" s="89"/>
      <c r="I27" s="56"/>
      <c r="J27" s="36"/>
      <c r="K27" s="1"/>
      <c r="L27" s="1"/>
      <c r="M27" s="1"/>
      <c r="N27" s="56"/>
      <c r="O27" s="1"/>
      <c r="P27" s="1"/>
      <c r="Q27" s="29"/>
      <c r="R27" s="29"/>
      <c r="S27" s="73"/>
      <c r="T27" s="154"/>
      <c r="U27" s="43"/>
      <c r="V27" s="1"/>
    </row>
    <row r="28" spans="2:22" x14ac:dyDescent="0.3">
      <c r="B28" s="11">
        <v>22</v>
      </c>
      <c r="C28" s="11"/>
      <c r="D28" s="29"/>
      <c r="E28" s="29"/>
      <c r="F28" s="122"/>
      <c r="G28" s="56"/>
      <c r="H28" s="89"/>
      <c r="I28" s="56"/>
      <c r="J28" s="36"/>
      <c r="K28" s="1"/>
      <c r="L28" s="1"/>
      <c r="M28" s="1"/>
      <c r="N28" s="56"/>
      <c r="O28" s="1"/>
      <c r="P28" s="1"/>
      <c r="Q28" s="29"/>
      <c r="R28" s="29"/>
      <c r="S28" s="73"/>
      <c r="T28" s="154"/>
      <c r="U28" s="43"/>
      <c r="V28" s="1"/>
    </row>
    <row r="29" spans="2:22" x14ac:dyDescent="0.3">
      <c r="B29" s="11">
        <v>23</v>
      </c>
      <c r="C29" s="11"/>
      <c r="D29" s="29"/>
      <c r="E29" s="29"/>
      <c r="F29" s="122"/>
      <c r="G29" s="56"/>
      <c r="H29" s="89"/>
      <c r="I29" s="56"/>
      <c r="J29" s="36"/>
      <c r="K29" s="1"/>
      <c r="L29" s="1"/>
      <c r="M29" s="1"/>
      <c r="N29" s="56"/>
      <c r="O29" s="1"/>
      <c r="P29" s="1"/>
      <c r="Q29" s="29"/>
      <c r="R29" s="29"/>
      <c r="S29" s="73"/>
      <c r="T29" s="154"/>
      <c r="U29" s="43"/>
      <c r="V29" s="1"/>
    </row>
    <row r="30" spans="2:22" x14ac:dyDescent="0.3">
      <c r="B30" s="11">
        <v>24</v>
      </c>
      <c r="C30" s="11"/>
      <c r="D30" s="29"/>
      <c r="E30" s="29"/>
      <c r="F30" s="122"/>
      <c r="G30" s="56"/>
      <c r="H30" s="89"/>
      <c r="I30" s="56"/>
      <c r="J30" s="36"/>
      <c r="K30" s="1"/>
      <c r="L30" s="1"/>
      <c r="M30" s="1"/>
      <c r="N30" s="56"/>
      <c r="O30" s="1"/>
      <c r="P30" s="1"/>
      <c r="Q30" s="29"/>
      <c r="R30" s="29"/>
      <c r="S30" s="73"/>
      <c r="T30" s="154"/>
      <c r="U30" s="43"/>
      <c r="V30" s="1"/>
    </row>
    <row r="31" spans="2:22" x14ac:dyDescent="0.3">
      <c r="B31" s="11">
        <v>25</v>
      </c>
      <c r="C31" s="11"/>
      <c r="D31" s="29"/>
      <c r="E31" s="29"/>
      <c r="F31" s="122"/>
      <c r="G31" s="56"/>
      <c r="H31" s="89"/>
      <c r="I31" s="56"/>
      <c r="J31" s="36"/>
      <c r="K31" s="1"/>
      <c r="L31" s="1"/>
      <c r="M31" s="1"/>
      <c r="N31" s="56"/>
      <c r="O31" s="1"/>
      <c r="P31" s="1"/>
      <c r="Q31" s="29"/>
      <c r="R31" s="29"/>
      <c r="S31" s="73"/>
      <c r="T31" s="154"/>
      <c r="U31" s="43"/>
      <c r="V31" s="1"/>
    </row>
    <row r="32" spans="2:22" x14ac:dyDescent="0.3">
      <c r="B32" s="11">
        <v>26</v>
      </c>
      <c r="C32" s="11"/>
      <c r="D32" s="29"/>
      <c r="E32" s="29"/>
      <c r="F32" s="122"/>
      <c r="G32" s="56"/>
      <c r="H32" s="89"/>
      <c r="I32" s="56"/>
      <c r="J32" s="36"/>
      <c r="K32" s="1"/>
      <c r="L32" s="1"/>
      <c r="M32" s="1"/>
      <c r="N32" s="56"/>
      <c r="O32" s="1"/>
      <c r="P32" s="1"/>
      <c r="Q32" s="29"/>
      <c r="R32" s="29"/>
      <c r="S32" s="29"/>
      <c r="T32" s="154"/>
      <c r="U32" s="43"/>
      <c r="V32" s="1"/>
    </row>
    <row r="33" spans="2:22" x14ac:dyDescent="0.3">
      <c r="B33" s="11">
        <v>27</v>
      </c>
      <c r="C33" s="11"/>
      <c r="D33" s="29"/>
      <c r="E33" s="29"/>
      <c r="F33" s="122"/>
      <c r="G33" s="56"/>
      <c r="H33" s="89"/>
      <c r="I33" s="56"/>
      <c r="J33" s="36"/>
      <c r="K33" s="1"/>
      <c r="L33" s="1"/>
      <c r="M33" s="1"/>
      <c r="N33" s="56"/>
      <c r="O33" s="1"/>
      <c r="P33" s="1"/>
      <c r="Q33" s="29"/>
      <c r="R33" s="29"/>
      <c r="S33" s="29"/>
      <c r="T33" s="154"/>
      <c r="U33" s="43"/>
      <c r="V33" s="1"/>
    </row>
    <row r="34" spans="2:22" x14ac:dyDescent="0.3">
      <c r="B34" s="11">
        <v>28</v>
      </c>
      <c r="C34" s="11"/>
      <c r="D34" s="29"/>
      <c r="E34" s="29"/>
      <c r="F34" s="122"/>
      <c r="G34" s="56"/>
      <c r="H34" s="89"/>
      <c r="I34" s="56"/>
      <c r="J34" s="36"/>
      <c r="K34" s="1"/>
      <c r="L34" s="1"/>
      <c r="M34" s="1"/>
      <c r="N34" s="56"/>
      <c r="O34" s="1"/>
      <c r="P34" s="1"/>
      <c r="Q34" s="29"/>
      <c r="R34" s="29"/>
      <c r="S34" s="73"/>
      <c r="T34" s="154"/>
      <c r="U34" s="43"/>
      <c r="V34" s="1"/>
    </row>
    <row r="35" spans="2:22" x14ac:dyDescent="0.3">
      <c r="B35" s="11">
        <v>29</v>
      </c>
      <c r="C35" s="11"/>
      <c r="D35" s="29"/>
      <c r="E35" s="29"/>
      <c r="F35" s="122"/>
      <c r="G35" s="56"/>
      <c r="H35" s="89"/>
      <c r="I35" s="56"/>
      <c r="J35" s="36"/>
      <c r="K35" s="1"/>
      <c r="L35" s="1"/>
      <c r="M35" s="1"/>
      <c r="N35" s="56"/>
      <c r="O35" s="1"/>
      <c r="P35" s="1"/>
      <c r="Q35" s="29"/>
      <c r="R35" s="29"/>
      <c r="S35" s="73"/>
      <c r="T35" s="154"/>
      <c r="U35" s="43"/>
      <c r="V35" s="1"/>
    </row>
    <row r="36" spans="2:22" x14ac:dyDescent="0.3">
      <c r="B36" s="11">
        <v>30</v>
      </c>
      <c r="C36" s="11"/>
      <c r="D36" s="29"/>
      <c r="E36" s="29"/>
      <c r="F36" s="122"/>
      <c r="G36" s="56"/>
      <c r="H36" s="89"/>
      <c r="I36" s="56"/>
      <c r="J36" s="36"/>
      <c r="K36" s="1"/>
      <c r="L36" s="1"/>
      <c r="M36" s="1"/>
      <c r="N36" s="56"/>
      <c r="O36" s="1"/>
      <c r="P36" s="1"/>
      <c r="Q36" s="29"/>
      <c r="R36" s="29"/>
      <c r="S36" s="73"/>
      <c r="T36" s="154"/>
      <c r="U36" s="43"/>
      <c r="V36" s="1"/>
    </row>
    <row r="37" spans="2:22" x14ac:dyDescent="0.3">
      <c r="B37" s="11">
        <v>31</v>
      </c>
      <c r="C37" s="11"/>
      <c r="D37" s="29"/>
      <c r="E37" s="29"/>
      <c r="F37" s="122"/>
      <c r="G37" s="56"/>
      <c r="H37" s="89"/>
      <c r="I37" s="56"/>
      <c r="J37" s="36"/>
      <c r="K37" s="1"/>
      <c r="L37" s="1"/>
      <c r="M37" s="1"/>
      <c r="N37" s="56"/>
      <c r="O37" s="1"/>
      <c r="P37" s="1"/>
      <c r="Q37" s="29"/>
      <c r="R37" s="29"/>
      <c r="S37" s="73"/>
      <c r="T37" s="154"/>
      <c r="U37" s="43"/>
      <c r="V37" s="1"/>
    </row>
    <row r="38" spans="2:22" x14ac:dyDescent="0.3">
      <c r="B38" s="11">
        <v>32</v>
      </c>
      <c r="C38" s="11"/>
      <c r="D38" s="29"/>
      <c r="E38" s="29"/>
      <c r="F38" s="122"/>
      <c r="G38" s="56"/>
      <c r="H38" s="89"/>
      <c r="I38" s="56"/>
      <c r="J38" s="36"/>
      <c r="K38" s="1"/>
      <c r="L38" s="1"/>
      <c r="M38" s="1"/>
      <c r="N38" s="56"/>
      <c r="O38" s="1"/>
      <c r="P38" s="1"/>
      <c r="Q38" s="29"/>
      <c r="R38" s="29"/>
      <c r="S38" s="73"/>
      <c r="T38" s="154"/>
      <c r="U38" s="43"/>
      <c r="V38" s="1"/>
    </row>
    <row r="39" spans="2:22" x14ac:dyDescent="0.3">
      <c r="B39" s="11">
        <v>33</v>
      </c>
      <c r="C39" s="11"/>
      <c r="D39" s="29"/>
      <c r="E39" s="29"/>
      <c r="F39" s="122"/>
      <c r="G39" s="56"/>
      <c r="H39" s="89"/>
      <c r="I39" s="56"/>
      <c r="J39" s="36"/>
      <c r="K39" s="1"/>
      <c r="L39" s="1"/>
      <c r="M39" s="1"/>
      <c r="N39" s="56"/>
      <c r="O39" s="1"/>
      <c r="P39" s="1"/>
      <c r="Q39" s="29"/>
      <c r="R39" s="29"/>
      <c r="S39" s="29"/>
      <c r="T39" s="154"/>
      <c r="U39" s="43"/>
      <c r="V39" s="1"/>
    </row>
    <row r="40" spans="2:22" x14ac:dyDescent="0.3">
      <c r="B40" s="11">
        <v>34</v>
      </c>
      <c r="C40" s="11"/>
      <c r="D40" s="29"/>
      <c r="E40" s="29"/>
      <c r="F40" s="122"/>
      <c r="G40" s="56"/>
      <c r="H40" s="89"/>
      <c r="I40" s="56"/>
      <c r="J40" s="36"/>
      <c r="K40" s="1"/>
      <c r="L40" s="1"/>
      <c r="M40" s="1"/>
      <c r="N40" s="56"/>
      <c r="O40" s="1"/>
      <c r="P40" s="1"/>
      <c r="Q40" s="29"/>
      <c r="R40" s="29"/>
      <c r="S40" s="29"/>
      <c r="T40" s="154"/>
      <c r="U40" s="43"/>
      <c r="V40" s="1"/>
    </row>
    <row r="41" spans="2:22" x14ac:dyDescent="0.3">
      <c r="B41" s="11">
        <v>35</v>
      </c>
      <c r="C41" s="11"/>
      <c r="D41" s="29"/>
      <c r="E41" s="29"/>
      <c r="F41" s="122"/>
      <c r="G41" s="56"/>
      <c r="H41" s="89"/>
      <c r="I41" s="56"/>
      <c r="J41" s="36"/>
      <c r="K41" s="1"/>
      <c r="L41" s="1"/>
      <c r="M41" s="1"/>
      <c r="N41" s="56"/>
      <c r="O41" s="1"/>
      <c r="P41" s="1"/>
      <c r="Q41" s="29"/>
      <c r="R41" s="29"/>
      <c r="S41" s="29"/>
      <c r="T41" s="154"/>
      <c r="U41" s="43"/>
      <c r="V41" s="1"/>
    </row>
    <row r="42" spans="2:22" x14ac:dyDescent="0.3">
      <c r="B42" s="11">
        <v>36</v>
      </c>
      <c r="C42" s="11"/>
      <c r="D42" s="29"/>
      <c r="E42" s="29"/>
      <c r="F42" s="122"/>
      <c r="G42" s="56"/>
      <c r="H42" s="89"/>
      <c r="I42" s="56"/>
      <c r="J42" s="36"/>
      <c r="K42" s="1"/>
      <c r="L42" s="1"/>
      <c r="M42" s="1"/>
      <c r="N42" s="56"/>
      <c r="O42" s="1"/>
      <c r="P42" s="1"/>
      <c r="Q42" s="29"/>
      <c r="R42" s="29"/>
      <c r="S42" s="29"/>
      <c r="T42" s="154"/>
      <c r="U42" s="43"/>
      <c r="V42" s="1"/>
    </row>
    <row r="43" spans="2:22" x14ac:dyDescent="0.3">
      <c r="B43" s="11">
        <v>37</v>
      </c>
      <c r="C43" s="11"/>
      <c r="D43" s="29"/>
      <c r="E43" s="29"/>
      <c r="F43" s="122"/>
      <c r="G43" s="56"/>
      <c r="H43" s="89"/>
      <c r="I43" s="56"/>
      <c r="J43" s="36"/>
      <c r="K43" s="1"/>
      <c r="L43" s="1"/>
      <c r="M43" s="1"/>
      <c r="N43" s="56"/>
      <c r="O43" s="1"/>
      <c r="P43" s="1"/>
      <c r="Q43" s="29"/>
      <c r="R43" s="29"/>
      <c r="S43" s="29"/>
      <c r="T43" s="154"/>
      <c r="U43" s="43"/>
      <c r="V43" s="1"/>
    </row>
    <row r="44" spans="2:22" x14ac:dyDescent="0.3">
      <c r="B44" s="11">
        <v>38</v>
      </c>
      <c r="C44" s="11"/>
      <c r="D44" s="29"/>
      <c r="E44" s="29"/>
      <c r="F44" s="122"/>
      <c r="G44" s="56"/>
      <c r="H44" s="89"/>
      <c r="I44" s="56"/>
      <c r="J44" s="36"/>
      <c r="K44" s="1"/>
      <c r="L44" s="1"/>
      <c r="M44" s="1"/>
      <c r="N44" s="56"/>
      <c r="O44" s="1"/>
      <c r="P44" s="1"/>
      <c r="Q44" s="29"/>
      <c r="R44" s="29"/>
      <c r="S44" s="29"/>
      <c r="T44" s="154"/>
      <c r="U44" s="43"/>
      <c r="V44" s="1"/>
    </row>
    <row r="45" spans="2:22" x14ac:dyDescent="0.3">
      <c r="B45" s="11">
        <v>39</v>
      </c>
      <c r="C45" s="11"/>
      <c r="D45" s="29"/>
      <c r="E45" s="29"/>
      <c r="F45" s="122"/>
      <c r="G45" s="56"/>
      <c r="H45" s="89"/>
      <c r="I45" s="56"/>
      <c r="J45" s="36"/>
      <c r="K45" s="1"/>
      <c r="L45" s="1"/>
      <c r="M45" s="1"/>
      <c r="N45" s="56"/>
      <c r="O45" s="1"/>
      <c r="P45" s="1"/>
      <c r="Q45" s="29"/>
      <c r="R45" s="29"/>
      <c r="S45" s="29"/>
      <c r="T45" s="154"/>
      <c r="U45" s="43"/>
      <c r="V45" s="1"/>
    </row>
    <row r="46" spans="2:22" x14ac:dyDescent="0.3">
      <c r="B46" s="11">
        <v>40</v>
      </c>
      <c r="C46" s="11"/>
      <c r="D46" s="29"/>
      <c r="E46" s="29"/>
      <c r="F46" s="122"/>
      <c r="G46" s="56"/>
      <c r="H46" s="89"/>
      <c r="I46" s="56"/>
      <c r="J46" s="36"/>
      <c r="K46" s="1"/>
      <c r="L46" s="1"/>
      <c r="M46" s="1"/>
      <c r="N46" s="56"/>
      <c r="O46" s="1"/>
      <c r="P46" s="1"/>
      <c r="Q46" s="29"/>
      <c r="R46" s="29"/>
      <c r="S46" s="29"/>
      <c r="T46" s="154"/>
      <c r="U46" s="43"/>
      <c r="V46" s="1"/>
    </row>
    <row r="47" spans="2:22" x14ac:dyDescent="0.3">
      <c r="B47" s="11">
        <v>41</v>
      </c>
      <c r="C47" s="11"/>
      <c r="D47" s="29"/>
      <c r="E47" s="29"/>
      <c r="F47" s="122"/>
      <c r="G47" s="56"/>
      <c r="H47" s="89"/>
      <c r="I47" s="56"/>
      <c r="J47" s="36"/>
      <c r="K47" s="1"/>
      <c r="L47" s="1"/>
      <c r="M47" s="1"/>
      <c r="N47" s="56"/>
      <c r="O47" s="1"/>
      <c r="P47" s="1"/>
      <c r="Q47" s="29"/>
      <c r="R47" s="29"/>
      <c r="S47" s="29"/>
      <c r="T47" s="154"/>
      <c r="U47" s="43"/>
      <c r="V47" s="1"/>
    </row>
    <row r="48" spans="2:22" x14ac:dyDescent="0.3">
      <c r="B48" s="11">
        <v>42</v>
      </c>
      <c r="C48" s="11"/>
      <c r="D48" s="29"/>
      <c r="E48" s="29"/>
      <c r="F48" s="122"/>
      <c r="G48" s="56"/>
      <c r="H48" s="89"/>
      <c r="I48" s="56"/>
      <c r="J48" s="36"/>
      <c r="K48" s="1"/>
      <c r="L48" s="1"/>
      <c r="M48" s="1"/>
      <c r="N48" s="56"/>
      <c r="O48" s="1"/>
      <c r="P48" s="1"/>
      <c r="Q48" s="29"/>
      <c r="R48" s="29"/>
      <c r="S48" s="29"/>
      <c r="T48" s="154"/>
      <c r="U48" s="43"/>
      <c r="V48" s="1"/>
    </row>
    <row r="49" spans="2:22" x14ac:dyDescent="0.3">
      <c r="B49" s="11">
        <v>43</v>
      </c>
      <c r="C49" s="11"/>
      <c r="D49" s="29"/>
      <c r="E49" s="29"/>
      <c r="F49" s="122"/>
      <c r="G49" s="56"/>
      <c r="H49" s="89"/>
      <c r="I49" s="56"/>
      <c r="J49" s="36"/>
      <c r="K49" s="1"/>
      <c r="L49" s="1"/>
      <c r="M49" s="1"/>
      <c r="N49" s="56"/>
      <c r="O49" s="1"/>
      <c r="P49" s="1"/>
      <c r="Q49" s="29"/>
      <c r="R49" s="29"/>
      <c r="S49" s="29"/>
      <c r="T49" s="154"/>
      <c r="U49" s="43"/>
      <c r="V49" s="1"/>
    </row>
    <row r="50" spans="2:22" x14ac:dyDescent="0.3">
      <c r="B50" s="11">
        <v>44</v>
      </c>
      <c r="C50" s="11"/>
      <c r="D50" s="29"/>
      <c r="E50" s="29"/>
      <c r="F50" s="122"/>
      <c r="G50" s="56"/>
      <c r="H50" s="89"/>
      <c r="I50" s="56"/>
      <c r="J50" s="36"/>
      <c r="K50" s="1"/>
      <c r="L50" s="1"/>
      <c r="M50" s="1"/>
      <c r="N50" s="56"/>
      <c r="O50" s="1"/>
      <c r="P50" s="1"/>
      <c r="Q50" s="29"/>
      <c r="R50" s="29"/>
      <c r="S50" s="29"/>
      <c r="T50" s="154"/>
      <c r="U50" s="43"/>
      <c r="V50" s="1"/>
    </row>
    <row r="51" spans="2:22" x14ac:dyDescent="0.3">
      <c r="B51" s="11">
        <v>45</v>
      </c>
      <c r="C51" s="11"/>
      <c r="D51" s="29"/>
      <c r="E51" s="29"/>
      <c r="F51" s="122"/>
      <c r="G51" s="56"/>
      <c r="H51" s="89"/>
      <c r="I51" s="56"/>
      <c r="J51" s="36"/>
      <c r="K51" s="1"/>
      <c r="L51" s="1"/>
      <c r="M51" s="1"/>
      <c r="N51" s="56"/>
      <c r="O51" s="1"/>
      <c r="P51" s="1"/>
      <c r="Q51" s="29"/>
      <c r="R51" s="29"/>
      <c r="S51" s="29"/>
      <c r="T51" s="154"/>
      <c r="U51" s="43"/>
      <c r="V51" s="1"/>
    </row>
    <row r="52" spans="2:22" x14ac:dyDescent="0.3">
      <c r="B52" s="11">
        <v>46</v>
      </c>
      <c r="C52" s="11"/>
      <c r="D52" s="29"/>
      <c r="E52" s="29"/>
      <c r="F52" s="122"/>
      <c r="G52" s="56"/>
      <c r="H52" s="89"/>
      <c r="I52" s="56"/>
      <c r="J52" s="36"/>
      <c r="K52" s="1"/>
      <c r="L52" s="1"/>
      <c r="M52" s="1"/>
      <c r="N52" s="56"/>
      <c r="O52" s="1"/>
      <c r="P52" s="1"/>
      <c r="Q52" s="29"/>
      <c r="R52" s="29"/>
      <c r="S52" s="73"/>
      <c r="T52" s="154"/>
      <c r="U52" s="43"/>
      <c r="V52" s="1"/>
    </row>
    <row r="53" spans="2:22" x14ac:dyDescent="0.3">
      <c r="B53" s="11">
        <v>47</v>
      </c>
      <c r="C53" s="11"/>
      <c r="D53" s="29"/>
      <c r="E53" s="29"/>
      <c r="F53" s="122"/>
      <c r="G53" s="56"/>
      <c r="H53" s="89"/>
      <c r="I53" s="56"/>
      <c r="J53" s="36"/>
      <c r="K53" s="1"/>
      <c r="L53" s="1"/>
      <c r="M53" s="1"/>
      <c r="N53" s="56"/>
      <c r="O53" s="1"/>
      <c r="P53" s="1"/>
      <c r="Q53" s="29"/>
      <c r="R53" s="29"/>
      <c r="S53" s="73"/>
      <c r="T53" s="154"/>
      <c r="U53" s="43"/>
      <c r="V53" s="1"/>
    </row>
    <row r="54" spans="2:22" x14ac:dyDescent="0.3">
      <c r="B54" s="11">
        <v>48</v>
      </c>
      <c r="C54" s="11"/>
      <c r="D54" s="29"/>
      <c r="E54" s="29"/>
      <c r="F54" s="122"/>
      <c r="G54" s="56"/>
      <c r="H54" s="89"/>
      <c r="I54" s="56"/>
      <c r="J54" s="36"/>
      <c r="K54" s="1"/>
      <c r="L54" s="1"/>
      <c r="M54" s="1"/>
      <c r="N54" s="56"/>
      <c r="O54" s="1"/>
      <c r="P54" s="1"/>
      <c r="Q54" s="29"/>
      <c r="R54" s="29"/>
      <c r="S54" s="29"/>
      <c r="T54" s="154"/>
      <c r="U54" s="43"/>
      <c r="V54" s="1"/>
    </row>
    <row r="55" spans="2:22" x14ac:dyDescent="0.3">
      <c r="B55" s="11">
        <v>49</v>
      </c>
      <c r="C55" s="11"/>
      <c r="D55" s="29"/>
      <c r="E55" s="29"/>
      <c r="F55" s="122"/>
      <c r="G55" s="56"/>
      <c r="H55" s="89"/>
      <c r="I55" s="56"/>
      <c r="J55" s="36"/>
      <c r="K55" s="1"/>
      <c r="L55" s="1"/>
      <c r="M55" s="1"/>
      <c r="N55" s="56"/>
      <c r="O55" s="1"/>
      <c r="P55" s="1"/>
      <c r="Q55" s="29"/>
      <c r="R55" s="29"/>
      <c r="S55" s="73"/>
      <c r="T55" s="154"/>
      <c r="U55" s="43"/>
      <c r="V55" s="1"/>
    </row>
    <row r="56" spans="2:22" x14ac:dyDescent="0.3">
      <c r="B56" s="11">
        <v>50</v>
      </c>
      <c r="C56" s="11"/>
      <c r="D56" s="29"/>
      <c r="E56" s="29"/>
      <c r="F56" s="122"/>
      <c r="G56" s="56"/>
      <c r="H56" s="89"/>
      <c r="I56" s="56"/>
      <c r="J56" s="36"/>
      <c r="K56" s="1"/>
      <c r="L56" s="1"/>
      <c r="M56" s="1"/>
      <c r="N56" s="56"/>
      <c r="O56" s="1"/>
      <c r="P56" s="1"/>
      <c r="Q56" s="29"/>
      <c r="R56" s="29"/>
      <c r="S56" s="73"/>
      <c r="T56" s="154"/>
      <c r="U56" s="43"/>
      <c r="V56" s="1"/>
    </row>
    <row r="57" spans="2:22" x14ac:dyDescent="0.3">
      <c r="B57" s="11">
        <v>51</v>
      </c>
      <c r="C57" s="11"/>
      <c r="D57" s="29"/>
      <c r="E57" s="29"/>
      <c r="F57" s="122"/>
      <c r="G57" s="56"/>
      <c r="H57" s="89"/>
      <c r="I57" s="56"/>
      <c r="J57" s="36"/>
      <c r="K57" s="1"/>
      <c r="L57" s="1"/>
      <c r="M57" s="1"/>
      <c r="N57" s="56"/>
      <c r="O57" s="1"/>
      <c r="P57" s="1"/>
      <c r="Q57" s="29"/>
      <c r="R57" s="29"/>
      <c r="S57" s="73"/>
      <c r="T57" s="154"/>
      <c r="U57" s="43"/>
      <c r="V57" s="1"/>
    </row>
    <row r="58" spans="2:22" x14ac:dyDescent="0.3">
      <c r="B58" s="11">
        <v>52</v>
      </c>
      <c r="C58" s="11"/>
      <c r="D58" s="29"/>
      <c r="E58" s="29"/>
      <c r="F58" s="122"/>
      <c r="G58" s="56"/>
      <c r="H58" s="89"/>
      <c r="I58" s="56"/>
      <c r="J58" s="36"/>
      <c r="K58" s="1"/>
      <c r="L58" s="1"/>
      <c r="M58" s="1"/>
      <c r="N58" s="56"/>
      <c r="O58" s="1"/>
      <c r="P58" s="1"/>
      <c r="Q58" s="29"/>
      <c r="R58" s="29"/>
      <c r="S58" s="73"/>
      <c r="T58" s="154"/>
      <c r="U58" s="43"/>
      <c r="V58" s="1"/>
    </row>
    <row r="59" spans="2:22" x14ac:dyDescent="0.3">
      <c r="B59" s="11">
        <v>53</v>
      </c>
      <c r="C59" s="11"/>
      <c r="D59" s="29"/>
      <c r="E59" s="29"/>
      <c r="F59" s="122"/>
      <c r="G59" s="56"/>
      <c r="H59" s="89"/>
      <c r="I59" s="56"/>
      <c r="J59" s="36"/>
      <c r="K59" s="1"/>
      <c r="L59" s="1"/>
      <c r="M59" s="1"/>
      <c r="N59" s="56"/>
      <c r="O59" s="1"/>
      <c r="P59" s="1"/>
      <c r="Q59" s="29"/>
      <c r="R59" s="29"/>
      <c r="S59" s="73"/>
      <c r="T59" s="154"/>
      <c r="U59" s="43"/>
      <c r="V59" s="1"/>
    </row>
    <row r="60" spans="2:22" x14ac:dyDescent="0.3">
      <c r="B60" s="11">
        <v>54</v>
      </c>
      <c r="C60" s="11"/>
      <c r="D60" s="29"/>
      <c r="E60" s="29"/>
      <c r="F60" s="122"/>
      <c r="G60" s="56"/>
      <c r="H60" s="89"/>
      <c r="I60" s="56"/>
      <c r="J60" s="36"/>
      <c r="K60" s="1"/>
      <c r="L60" s="1"/>
      <c r="M60" s="1"/>
      <c r="N60" s="56"/>
      <c r="O60" s="1"/>
      <c r="P60" s="1"/>
      <c r="Q60" s="29"/>
      <c r="R60" s="29"/>
      <c r="S60" s="73"/>
      <c r="T60" s="154"/>
      <c r="U60" s="43"/>
      <c r="V60" s="1"/>
    </row>
    <row r="61" spans="2:22" x14ac:dyDescent="0.3">
      <c r="B61" s="11">
        <v>55</v>
      </c>
      <c r="C61" s="11"/>
      <c r="D61" s="29"/>
      <c r="E61" s="29"/>
      <c r="F61" s="122"/>
      <c r="G61" s="56"/>
      <c r="H61" s="89"/>
      <c r="I61" s="56"/>
      <c r="J61" s="36"/>
      <c r="K61" s="1"/>
      <c r="L61" s="1"/>
      <c r="M61" s="1"/>
      <c r="N61" s="56"/>
      <c r="O61" s="1"/>
      <c r="P61" s="1"/>
      <c r="Q61" s="29"/>
      <c r="R61" s="29"/>
      <c r="S61" s="73"/>
      <c r="T61" s="154"/>
      <c r="U61" s="43"/>
      <c r="V61" s="1"/>
    </row>
    <row r="62" spans="2:22" x14ac:dyDescent="0.3">
      <c r="B62" s="11">
        <v>56</v>
      </c>
      <c r="C62" s="11"/>
      <c r="D62" s="29"/>
      <c r="E62" s="29"/>
      <c r="F62" s="122"/>
      <c r="G62" s="56"/>
      <c r="H62" s="89"/>
      <c r="I62" s="56"/>
      <c r="J62" s="36"/>
      <c r="K62" s="1"/>
      <c r="L62" s="1"/>
      <c r="M62" s="1"/>
      <c r="N62" s="56"/>
      <c r="O62" s="1"/>
      <c r="P62" s="1"/>
      <c r="Q62" s="29"/>
      <c r="R62" s="29"/>
      <c r="S62" s="29"/>
      <c r="T62" s="154"/>
      <c r="U62" s="43"/>
      <c r="V62" s="1"/>
    </row>
    <row r="63" spans="2:22" x14ac:dyDescent="0.3">
      <c r="B63" s="11">
        <v>57</v>
      </c>
      <c r="C63" s="11"/>
      <c r="D63" s="29"/>
      <c r="E63" s="29"/>
      <c r="F63" s="122"/>
      <c r="G63" s="56"/>
      <c r="H63" s="89"/>
      <c r="I63" s="56"/>
      <c r="J63" s="36"/>
      <c r="K63" s="1"/>
      <c r="L63" s="1"/>
      <c r="M63" s="1"/>
      <c r="N63" s="56"/>
      <c r="O63" s="1"/>
      <c r="P63" s="1"/>
      <c r="Q63" s="29"/>
      <c r="R63" s="29"/>
      <c r="S63" s="29"/>
      <c r="T63" s="154"/>
      <c r="U63" s="43"/>
      <c r="V63" s="1"/>
    </row>
    <row r="64" spans="2:22" x14ac:dyDescent="0.3">
      <c r="B64" s="11">
        <v>58</v>
      </c>
      <c r="C64" s="11"/>
      <c r="D64" s="29"/>
      <c r="E64" s="29"/>
      <c r="F64" s="122"/>
      <c r="G64" s="56"/>
      <c r="H64" s="89"/>
      <c r="I64" s="56"/>
      <c r="J64" s="36"/>
      <c r="K64" s="1"/>
      <c r="L64" s="1"/>
      <c r="M64" s="1"/>
      <c r="N64" s="56"/>
      <c r="O64" s="1"/>
      <c r="P64" s="1"/>
      <c r="Q64" s="29"/>
      <c r="R64" s="29"/>
      <c r="S64" s="73"/>
      <c r="T64" s="154"/>
      <c r="U64" s="43"/>
      <c r="V64" s="1"/>
    </row>
    <row r="65" spans="2:22" x14ac:dyDescent="0.3">
      <c r="B65" s="11">
        <v>59</v>
      </c>
      <c r="C65" s="11"/>
      <c r="D65" s="29"/>
      <c r="E65" s="29"/>
      <c r="F65" s="122"/>
      <c r="G65" s="56"/>
      <c r="H65" s="89"/>
      <c r="I65" s="56"/>
      <c r="J65" s="36"/>
      <c r="K65" s="1"/>
      <c r="L65" s="1"/>
      <c r="M65" s="1"/>
      <c r="N65" s="56"/>
      <c r="O65" s="1"/>
      <c r="P65" s="1"/>
      <c r="Q65" s="29"/>
      <c r="R65" s="29"/>
      <c r="S65" s="73"/>
      <c r="T65" s="154"/>
      <c r="U65" s="43"/>
      <c r="V65" s="1"/>
    </row>
    <row r="66" spans="2:22" x14ac:dyDescent="0.3">
      <c r="B66" s="11">
        <v>60</v>
      </c>
      <c r="C66" s="11"/>
      <c r="D66" s="29"/>
      <c r="E66" s="29"/>
      <c r="F66" s="122"/>
      <c r="G66" s="56"/>
      <c r="H66" s="89"/>
      <c r="I66" s="56"/>
      <c r="J66" s="36"/>
      <c r="K66" s="1"/>
      <c r="L66" s="1"/>
      <c r="M66" s="1"/>
      <c r="N66" s="56"/>
      <c r="O66" s="1"/>
      <c r="P66" s="1"/>
      <c r="Q66" s="29"/>
      <c r="R66" s="29"/>
      <c r="S66" s="73"/>
      <c r="T66" s="154"/>
      <c r="U66" s="43"/>
      <c r="V66" s="1"/>
    </row>
    <row r="67" spans="2:22" x14ac:dyDescent="0.3">
      <c r="B67" s="11">
        <v>61</v>
      </c>
      <c r="C67" s="11"/>
      <c r="D67" s="29"/>
      <c r="E67" s="29"/>
      <c r="F67" s="122"/>
      <c r="G67" s="56"/>
      <c r="H67" s="89"/>
      <c r="I67" s="56"/>
      <c r="J67" s="36"/>
      <c r="K67" s="1"/>
      <c r="L67" s="1"/>
      <c r="M67" s="1"/>
      <c r="N67" s="56"/>
      <c r="O67" s="1"/>
      <c r="P67" s="1"/>
      <c r="Q67" s="29"/>
      <c r="R67" s="29"/>
      <c r="S67" s="73"/>
      <c r="T67" s="154"/>
      <c r="U67" s="43"/>
      <c r="V67" s="269"/>
    </row>
    <row r="68" spans="2:22" x14ac:dyDescent="0.3">
      <c r="B68" s="11">
        <v>62</v>
      </c>
      <c r="C68" s="11"/>
      <c r="D68" s="29"/>
      <c r="E68" s="29"/>
      <c r="F68" s="122"/>
      <c r="G68" s="56"/>
      <c r="H68" s="89"/>
      <c r="I68" s="56"/>
      <c r="J68" s="36"/>
      <c r="K68" s="1"/>
      <c r="L68" s="1"/>
      <c r="M68" s="1"/>
      <c r="N68" s="56"/>
      <c r="O68" s="1"/>
      <c r="P68" s="1"/>
      <c r="Q68" s="29"/>
      <c r="R68" s="29"/>
      <c r="S68" s="29"/>
      <c r="T68" s="154"/>
      <c r="U68" s="43"/>
      <c r="V68" s="1"/>
    </row>
    <row r="69" spans="2:22" x14ac:dyDescent="0.3">
      <c r="B69" s="11">
        <v>63</v>
      </c>
      <c r="C69" s="11"/>
      <c r="D69" s="29"/>
      <c r="E69" s="29"/>
      <c r="F69" s="122"/>
      <c r="G69" s="56"/>
      <c r="H69" s="89"/>
      <c r="I69" s="56"/>
      <c r="J69" s="36"/>
      <c r="K69" s="1"/>
      <c r="L69" s="1"/>
      <c r="M69" s="1"/>
      <c r="N69" s="56"/>
      <c r="O69" s="1"/>
      <c r="P69" s="1"/>
      <c r="Q69" s="29"/>
      <c r="R69" s="29"/>
      <c r="S69" s="29"/>
      <c r="T69" s="154"/>
      <c r="U69" s="43"/>
      <c r="V69" s="1"/>
    </row>
    <row r="70" spans="2:22" x14ac:dyDescent="0.3">
      <c r="B70" s="11">
        <v>64</v>
      </c>
      <c r="C70" s="11"/>
      <c r="D70" s="29"/>
      <c r="E70" s="29"/>
      <c r="F70" s="122"/>
      <c r="G70" s="56"/>
      <c r="H70" s="89"/>
      <c r="I70" s="56"/>
      <c r="J70" s="36"/>
      <c r="K70" s="1"/>
      <c r="L70" s="1"/>
      <c r="M70" s="1"/>
      <c r="N70" s="56"/>
      <c r="O70" s="1"/>
      <c r="P70" s="1"/>
      <c r="Q70" s="29"/>
      <c r="R70" s="29"/>
      <c r="S70" s="73"/>
      <c r="T70" s="154"/>
      <c r="U70" s="43"/>
      <c r="V70" s="1"/>
    </row>
    <row r="71" spans="2:22" x14ac:dyDescent="0.3">
      <c r="B71" s="11">
        <v>65</v>
      </c>
      <c r="C71" s="11"/>
      <c r="D71" s="29"/>
      <c r="E71" s="29"/>
      <c r="F71" s="122"/>
      <c r="G71" s="56"/>
      <c r="H71" s="89"/>
      <c r="I71" s="56"/>
      <c r="J71" s="36"/>
      <c r="K71" s="1"/>
      <c r="L71" s="1"/>
      <c r="M71" s="1"/>
      <c r="N71" s="56"/>
      <c r="O71" s="1"/>
      <c r="P71" s="1"/>
      <c r="Q71" s="29"/>
      <c r="R71" s="29"/>
      <c r="S71" s="73"/>
      <c r="T71" s="154"/>
      <c r="U71" s="43"/>
      <c r="V71" s="1"/>
    </row>
    <row r="72" spans="2:22" x14ac:dyDescent="0.3">
      <c r="B72" s="11">
        <v>66</v>
      </c>
      <c r="C72" s="11"/>
      <c r="D72" s="29"/>
      <c r="E72" s="29"/>
      <c r="F72" s="122"/>
      <c r="G72" s="56"/>
      <c r="H72" s="89"/>
      <c r="I72" s="56"/>
      <c r="J72" s="36"/>
      <c r="K72" s="1"/>
      <c r="L72" s="1"/>
      <c r="M72" s="1"/>
      <c r="N72" s="56"/>
      <c r="O72" s="1"/>
      <c r="P72" s="1"/>
      <c r="Q72" s="29"/>
      <c r="R72" s="29"/>
      <c r="S72" s="73"/>
      <c r="T72" s="154"/>
      <c r="U72" s="43"/>
      <c r="V72" s="1"/>
    </row>
    <row r="73" spans="2:22" x14ac:dyDescent="0.3">
      <c r="B73" s="11">
        <v>67</v>
      </c>
      <c r="C73" s="11"/>
      <c r="D73" s="29"/>
      <c r="E73" s="29"/>
      <c r="F73" s="122"/>
      <c r="G73" s="56"/>
      <c r="H73" s="89"/>
      <c r="I73" s="56"/>
      <c r="J73" s="36"/>
      <c r="K73" s="1"/>
      <c r="L73" s="1"/>
      <c r="M73" s="1"/>
      <c r="N73" s="56"/>
      <c r="O73" s="1"/>
      <c r="P73" s="1"/>
      <c r="Q73" s="29"/>
      <c r="R73" s="29"/>
      <c r="S73" s="73"/>
      <c r="T73" s="154"/>
      <c r="U73" s="43"/>
      <c r="V73" s="269"/>
    </row>
    <row r="74" spans="2:22" x14ac:dyDescent="0.3">
      <c r="B74" s="11">
        <v>68</v>
      </c>
      <c r="C74" s="11"/>
      <c r="D74" s="29"/>
      <c r="E74" s="29"/>
      <c r="F74" s="122"/>
      <c r="G74" s="56"/>
      <c r="H74" s="89"/>
      <c r="I74" s="56"/>
      <c r="J74" s="36"/>
      <c r="K74" s="1"/>
      <c r="L74" s="1"/>
      <c r="M74" s="1"/>
      <c r="N74" s="56"/>
      <c r="O74" s="1"/>
      <c r="P74" s="1"/>
      <c r="Q74" s="29"/>
      <c r="R74" s="29"/>
      <c r="S74" s="73"/>
      <c r="T74" s="154"/>
      <c r="U74" s="43"/>
      <c r="V74" s="1"/>
    </row>
    <row r="75" spans="2:22" x14ac:dyDescent="0.3">
      <c r="B75" s="11">
        <v>69</v>
      </c>
      <c r="C75" s="11"/>
      <c r="D75" s="29"/>
      <c r="E75" s="29"/>
      <c r="F75" s="122"/>
      <c r="G75" s="56"/>
      <c r="H75" s="89"/>
      <c r="I75" s="56"/>
      <c r="J75" s="36"/>
      <c r="K75" s="1"/>
      <c r="L75" s="1"/>
      <c r="M75" s="1"/>
      <c r="N75" s="56"/>
      <c r="O75" s="1"/>
      <c r="P75" s="1"/>
      <c r="Q75" s="29"/>
      <c r="R75" s="29"/>
      <c r="S75" s="29"/>
      <c r="T75" s="154"/>
      <c r="U75" s="43"/>
      <c r="V75" s="1"/>
    </row>
    <row r="76" spans="2:22" x14ac:dyDescent="0.3">
      <c r="B76" s="11">
        <v>70</v>
      </c>
      <c r="C76" s="11"/>
      <c r="D76" s="29"/>
      <c r="E76" s="29"/>
      <c r="F76" s="122"/>
      <c r="G76" s="56"/>
      <c r="H76" s="89"/>
      <c r="I76" s="56"/>
      <c r="J76" s="36"/>
      <c r="K76" s="1"/>
      <c r="L76" s="1"/>
      <c r="M76" s="1"/>
      <c r="N76" s="56"/>
      <c r="O76" s="1"/>
      <c r="P76" s="1"/>
      <c r="Q76" s="29"/>
      <c r="R76" s="29"/>
      <c r="S76" s="29"/>
      <c r="T76" s="154"/>
      <c r="U76" s="43"/>
      <c r="V76" s="1"/>
    </row>
    <row r="77" spans="2:22" x14ac:dyDescent="0.3">
      <c r="B77" s="11">
        <v>71</v>
      </c>
      <c r="C77" s="11"/>
      <c r="D77" s="29"/>
      <c r="E77" s="29"/>
      <c r="F77" s="122"/>
      <c r="G77" s="56"/>
      <c r="H77" s="89"/>
      <c r="I77" s="56"/>
      <c r="J77" s="36"/>
      <c r="K77" s="1"/>
      <c r="L77" s="1"/>
      <c r="M77" s="1"/>
      <c r="N77" s="56"/>
      <c r="O77" s="1"/>
      <c r="P77" s="1"/>
      <c r="Q77" s="29"/>
      <c r="R77" s="29"/>
      <c r="S77" s="29"/>
      <c r="T77" s="154"/>
      <c r="U77" s="43"/>
      <c r="V77" s="1"/>
    </row>
    <row r="78" spans="2:22" x14ac:dyDescent="0.3">
      <c r="B78" s="11">
        <v>72</v>
      </c>
      <c r="C78" s="11"/>
      <c r="D78" s="29"/>
      <c r="E78" s="29"/>
      <c r="F78" s="122"/>
      <c r="G78" s="56"/>
      <c r="H78" s="89"/>
      <c r="I78" s="56"/>
      <c r="J78" s="36"/>
      <c r="K78" s="1"/>
      <c r="L78" s="1"/>
      <c r="M78" s="1"/>
      <c r="N78" s="56"/>
      <c r="O78" s="1"/>
      <c r="P78" s="1"/>
      <c r="Q78" s="29"/>
      <c r="R78" s="29"/>
      <c r="S78" s="29"/>
      <c r="T78" s="154"/>
      <c r="U78" s="43"/>
      <c r="V78" s="1"/>
    </row>
    <row r="79" spans="2:22" x14ac:dyDescent="0.3">
      <c r="B79" s="11">
        <v>73</v>
      </c>
      <c r="C79" s="11"/>
      <c r="D79" s="29"/>
      <c r="E79" s="29"/>
      <c r="F79" s="122"/>
      <c r="G79" s="56"/>
      <c r="H79" s="89"/>
      <c r="I79" s="56"/>
      <c r="J79" s="36"/>
      <c r="K79" s="1"/>
      <c r="L79" s="1"/>
      <c r="M79" s="1"/>
      <c r="N79" s="56"/>
      <c r="O79" s="1"/>
      <c r="P79" s="1"/>
      <c r="Q79" s="29"/>
      <c r="R79" s="29"/>
      <c r="S79" s="29"/>
      <c r="T79" s="154"/>
      <c r="U79" s="43"/>
      <c r="V79" s="1"/>
    </row>
    <row r="80" spans="2:22" x14ac:dyDescent="0.3">
      <c r="B80" s="11">
        <v>74</v>
      </c>
      <c r="C80" s="11"/>
      <c r="D80" s="29"/>
      <c r="E80" s="29"/>
      <c r="F80" s="122"/>
      <c r="G80" s="56"/>
      <c r="H80" s="89"/>
      <c r="I80" s="56"/>
      <c r="J80" s="36"/>
      <c r="K80" s="1"/>
      <c r="L80" s="1"/>
      <c r="M80" s="1"/>
      <c r="N80" s="56"/>
      <c r="O80" s="1"/>
      <c r="P80" s="1"/>
      <c r="Q80" s="29"/>
      <c r="R80" s="29"/>
      <c r="S80" s="29"/>
      <c r="T80" s="154"/>
      <c r="U80" s="43"/>
      <c r="V80" s="1"/>
    </row>
    <row r="81" spans="2:22" x14ac:dyDescent="0.3">
      <c r="B81" s="11">
        <v>75</v>
      </c>
      <c r="C81" s="11"/>
      <c r="D81" s="29"/>
      <c r="E81" s="29"/>
      <c r="F81" s="122"/>
      <c r="G81" s="56"/>
      <c r="H81" s="89"/>
      <c r="I81" s="56"/>
      <c r="J81" s="36"/>
      <c r="K81" s="1"/>
      <c r="L81" s="1"/>
      <c r="M81" s="1"/>
      <c r="N81" s="56"/>
      <c r="O81" s="1"/>
      <c r="P81" s="1"/>
      <c r="Q81" s="29"/>
      <c r="R81" s="29"/>
      <c r="S81" s="29"/>
      <c r="T81" s="154"/>
      <c r="U81" s="43"/>
      <c r="V81" s="1"/>
    </row>
    <row r="82" spans="2:22" x14ac:dyDescent="0.3">
      <c r="B82" s="11">
        <v>76</v>
      </c>
      <c r="C82" s="11"/>
      <c r="D82" s="29"/>
      <c r="E82" s="29"/>
      <c r="F82" s="122"/>
      <c r="G82" s="56"/>
      <c r="H82" s="89"/>
      <c r="I82" s="56"/>
      <c r="J82" s="36"/>
      <c r="K82" s="1"/>
      <c r="L82" s="1"/>
      <c r="M82" s="1"/>
      <c r="N82" s="56"/>
      <c r="O82" s="1"/>
      <c r="P82" s="1"/>
      <c r="Q82" s="29"/>
      <c r="R82" s="29"/>
      <c r="S82" s="29"/>
      <c r="T82" s="154"/>
      <c r="U82" s="43"/>
      <c r="V82" s="1"/>
    </row>
    <row r="83" spans="2:22" x14ac:dyDescent="0.3">
      <c r="B83" s="11">
        <v>77</v>
      </c>
      <c r="C83" s="11"/>
      <c r="D83" s="29"/>
      <c r="E83" s="29"/>
      <c r="F83" s="122"/>
      <c r="G83" s="56"/>
      <c r="H83" s="89"/>
      <c r="I83" s="56"/>
      <c r="J83" s="36"/>
      <c r="K83" s="1"/>
      <c r="L83" s="1"/>
      <c r="M83" s="1"/>
      <c r="N83" s="56"/>
      <c r="O83" s="1"/>
      <c r="P83" s="1"/>
      <c r="Q83" s="29"/>
      <c r="R83" s="29"/>
      <c r="S83" s="29"/>
      <c r="T83" s="154"/>
      <c r="U83" s="43"/>
      <c r="V83" s="1"/>
    </row>
    <row r="84" spans="2:22" x14ac:dyDescent="0.3">
      <c r="B84" s="11">
        <v>78</v>
      </c>
      <c r="C84" s="11"/>
      <c r="D84" s="29"/>
      <c r="E84" s="29"/>
      <c r="F84" s="122"/>
      <c r="G84" s="56"/>
      <c r="H84" s="89"/>
      <c r="I84" s="56"/>
      <c r="J84" s="36"/>
      <c r="K84" s="1"/>
      <c r="L84" s="1"/>
      <c r="M84" s="1"/>
      <c r="N84" s="56"/>
      <c r="O84" s="1"/>
      <c r="P84" s="1"/>
      <c r="Q84" s="29"/>
      <c r="R84" s="29"/>
      <c r="S84" s="29"/>
      <c r="T84" s="154"/>
      <c r="U84" s="43"/>
      <c r="V84" s="1"/>
    </row>
    <row r="85" spans="2:22" x14ac:dyDescent="0.3">
      <c r="B85" s="11">
        <v>79</v>
      </c>
      <c r="C85" s="11"/>
      <c r="D85" s="29"/>
      <c r="E85" s="29"/>
      <c r="F85" s="122"/>
      <c r="G85" s="56"/>
      <c r="H85" s="89"/>
      <c r="I85" s="56"/>
      <c r="J85" s="36"/>
      <c r="K85" s="1"/>
      <c r="L85" s="1"/>
      <c r="M85" s="1"/>
      <c r="N85" s="56"/>
      <c r="O85" s="1"/>
      <c r="P85" s="1"/>
      <c r="Q85" s="29"/>
      <c r="R85" s="29"/>
      <c r="S85" s="29"/>
      <c r="T85" s="154"/>
      <c r="U85" s="43"/>
      <c r="V85" s="1"/>
    </row>
    <row r="86" spans="2:22" x14ac:dyDescent="0.3">
      <c r="B86" s="11">
        <v>80</v>
      </c>
      <c r="C86" s="11"/>
      <c r="D86" s="29"/>
      <c r="E86" s="29"/>
      <c r="F86" s="122"/>
      <c r="G86" s="56"/>
      <c r="H86" s="89"/>
      <c r="I86" s="56"/>
      <c r="J86" s="36"/>
      <c r="K86" s="1"/>
      <c r="L86" s="1"/>
      <c r="M86" s="1"/>
      <c r="N86" s="56"/>
      <c r="O86" s="1"/>
      <c r="P86" s="1"/>
      <c r="Q86" s="29"/>
      <c r="R86" s="29"/>
      <c r="S86" s="29"/>
      <c r="T86" s="154"/>
      <c r="U86" s="43"/>
      <c r="V86" s="1"/>
    </row>
    <row r="87" spans="2:22" x14ac:dyDescent="0.3">
      <c r="B87" s="11">
        <v>81</v>
      </c>
      <c r="C87" s="11"/>
      <c r="D87" s="29"/>
      <c r="E87" s="29"/>
      <c r="F87" s="122"/>
      <c r="G87" s="56"/>
      <c r="H87" s="89"/>
      <c r="I87" s="56"/>
      <c r="J87" s="36"/>
      <c r="K87" s="1"/>
      <c r="L87" s="1"/>
      <c r="M87" s="1"/>
      <c r="N87" s="56"/>
      <c r="O87" s="1"/>
      <c r="P87" s="1"/>
      <c r="Q87" s="29"/>
      <c r="R87" s="29"/>
      <c r="S87" s="29"/>
      <c r="T87" s="154"/>
      <c r="U87" s="43"/>
      <c r="V87" s="1"/>
    </row>
    <row r="88" spans="2:22" x14ac:dyDescent="0.3">
      <c r="B88" s="11">
        <v>82</v>
      </c>
      <c r="C88" s="11"/>
      <c r="D88" s="29"/>
      <c r="E88" s="29"/>
      <c r="F88" s="122"/>
      <c r="G88" s="56"/>
      <c r="H88" s="89"/>
      <c r="I88" s="56"/>
      <c r="J88" s="36"/>
      <c r="K88" s="1"/>
      <c r="L88" s="1"/>
      <c r="M88" s="1"/>
      <c r="N88" s="56"/>
      <c r="O88" s="1"/>
      <c r="P88" s="1"/>
      <c r="Q88" s="29"/>
      <c r="R88" s="29"/>
      <c r="S88" s="73"/>
      <c r="T88" s="154"/>
      <c r="U88" s="43"/>
      <c r="V88" s="1"/>
    </row>
    <row r="89" spans="2:22" x14ac:dyDescent="0.3">
      <c r="B89" s="11">
        <v>83</v>
      </c>
      <c r="C89" s="11"/>
      <c r="D89" s="29"/>
      <c r="E89" s="29"/>
      <c r="F89" s="122"/>
      <c r="G89" s="56"/>
      <c r="H89" s="89"/>
      <c r="I89" s="56"/>
      <c r="J89" s="36"/>
      <c r="K89" s="1"/>
      <c r="L89" s="1"/>
      <c r="M89" s="1"/>
      <c r="N89" s="56"/>
      <c r="O89" s="1"/>
      <c r="P89" s="1"/>
      <c r="Q89" s="29"/>
      <c r="R89" s="29"/>
      <c r="S89" s="73"/>
      <c r="T89" s="154"/>
      <c r="U89" s="43"/>
      <c r="V89" s="1"/>
    </row>
    <row r="90" spans="2:22" x14ac:dyDescent="0.3">
      <c r="B90" s="11">
        <v>84</v>
      </c>
      <c r="C90" s="11"/>
      <c r="D90" s="29"/>
      <c r="E90" s="29"/>
      <c r="F90" s="122"/>
      <c r="G90" s="56"/>
      <c r="H90" s="89"/>
      <c r="I90" s="56"/>
      <c r="J90" s="36"/>
      <c r="K90" s="1"/>
      <c r="L90" s="1"/>
      <c r="M90" s="1"/>
      <c r="N90" s="56"/>
      <c r="O90" s="1"/>
      <c r="P90" s="1"/>
      <c r="Q90" s="29"/>
      <c r="R90" s="29"/>
      <c r="S90" s="29"/>
      <c r="T90" s="154"/>
      <c r="U90" s="43"/>
      <c r="V90" s="1"/>
    </row>
    <row r="91" spans="2:22" x14ac:dyDescent="0.3">
      <c r="B91" s="11">
        <v>85</v>
      </c>
      <c r="C91" s="11"/>
      <c r="D91" s="29"/>
      <c r="E91" s="29"/>
      <c r="F91" s="122"/>
      <c r="G91" s="56"/>
      <c r="H91" s="89"/>
      <c r="I91" s="56"/>
      <c r="J91" s="36"/>
      <c r="K91" s="1"/>
      <c r="L91" s="1"/>
      <c r="M91" s="1"/>
      <c r="N91" s="56"/>
      <c r="O91" s="1"/>
      <c r="P91" s="1"/>
      <c r="Q91" s="29"/>
      <c r="R91" s="29"/>
      <c r="S91" s="73"/>
      <c r="T91" s="154"/>
      <c r="U91" s="43"/>
      <c r="V91" s="1"/>
    </row>
    <row r="92" spans="2:22" x14ac:dyDescent="0.3">
      <c r="B92" s="11">
        <v>86</v>
      </c>
      <c r="C92" s="11"/>
      <c r="D92" s="29"/>
      <c r="E92" s="29"/>
      <c r="F92" s="122"/>
      <c r="G92" s="56"/>
      <c r="H92" s="89"/>
      <c r="I92" s="56"/>
      <c r="J92" s="36"/>
      <c r="K92" s="1"/>
      <c r="L92" s="1"/>
      <c r="M92" s="1"/>
      <c r="N92" s="56"/>
      <c r="O92" s="1"/>
      <c r="P92" s="1"/>
      <c r="Q92" s="29"/>
      <c r="R92" s="29"/>
      <c r="S92" s="73"/>
      <c r="T92" s="154"/>
      <c r="U92" s="43"/>
      <c r="V92" s="1"/>
    </row>
    <row r="93" spans="2:22" x14ac:dyDescent="0.3">
      <c r="B93" s="11">
        <v>87</v>
      </c>
      <c r="C93" s="11"/>
      <c r="D93" s="29"/>
      <c r="E93" s="29"/>
      <c r="F93" s="122"/>
      <c r="G93" s="56"/>
      <c r="H93" s="89"/>
      <c r="I93" s="56"/>
      <c r="J93" s="36"/>
      <c r="K93" s="1"/>
      <c r="L93" s="1"/>
      <c r="M93" s="1"/>
      <c r="N93" s="56"/>
      <c r="O93" s="1"/>
      <c r="P93" s="1"/>
      <c r="Q93" s="29"/>
      <c r="R93" s="29"/>
      <c r="S93" s="73"/>
      <c r="T93" s="154"/>
      <c r="U93" s="43"/>
      <c r="V93" s="1"/>
    </row>
    <row r="94" spans="2:22" x14ac:dyDescent="0.3">
      <c r="B94" s="11">
        <v>88</v>
      </c>
      <c r="C94" s="11"/>
      <c r="D94" s="29"/>
      <c r="E94" s="29"/>
      <c r="F94" s="122"/>
      <c r="G94" s="56"/>
      <c r="H94" s="89"/>
      <c r="I94" s="56"/>
      <c r="J94" s="36"/>
      <c r="K94" s="1"/>
      <c r="L94" s="1"/>
      <c r="M94" s="1"/>
      <c r="N94" s="56"/>
      <c r="O94" s="1"/>
      <c r="P94" s="1"/>
      <c r="Q94" s="29"/>
      <c r="R94" s="29"/>
      <c r="S94" s="73"/>
      <c r="T94" s="154"/>
      <c r="U94" s="43"/>
      <c r="V94" s="1"/>
    </row>
    <row r="95" spans="2:22" x14ac:dyDescent="0.3">
      <c r="B95" s="11">
        <v>89</v>
      </c>
      <c r="C95" s="11"/>
      <c r="D95" s="29"/>
      <c r="E95" s="29"/>
      <c r="F95" s="122"/>
      <c r="G95" s="56"/>
      <c r="H95" s="89"/>
      <c r="I95" s="56"/>
      <c r="J95" s="36"/>
      <c r="K95" s="1"/>
      <c r="L95" s="1"/>
      <c r="M95" s="1"/>
      <c r="N95" s="56"/>
      <c r="O95" s="1"/>
      <c r="P95" s="1"/>
      <c r="Q95" s="29"/>
      <c r="R95" s="29"/>
      <c r="S95" s="73"/>
      <c r="T95" s="154"/>
      <c r="U95" s="43"/>
      <c r="V95" s="1"/>
    </row>
    <row r="96" spans="2:22" x14ac:dyDescent="0.3">
      <c r="B96" s="11">
        <v>90</v>
      </c>
      <c r="C96" s="11"/>
      <c r="D96" s="29"/>
      <c r="E96" s="29"/>
      <c r="F96" s="122"/>
      <c r="G96" s="56"/>
      <c r="H96" s="89"/>
      <c r="I96" s="56"/>
      <c r="J96" s="36"/>
      <c r="K96" s="1"/>
      <c r="L96" s="1"/>
      <c r="M96" s="1"/>
      <c r="N96" s="56"/>
      <c r="O96" s="1"/>
      <c r="P96" s="1"/>
      <c r="Q96" s="29"/>
      <c r="R96" s="29"/>
      <c r="S96" s="73"/>
      <c r="T96" s="154"/>
      <c r="U96" s="43"/>
      <c r="V96" s="1"/>
    </row>
    <row r="97" spans="2:22" x14ac:dyDescent="0.3">
      <c r="B97" s="11">
        <v>91</v>
      </c>
      <c r="C97" s="11"/>
      <c r="D97" s="29"/>
      <c r="E97" s="29"/>
      <c r="F97" s="122"/>
      <c r="G97" s="56"/>
      <c r="H97" s="89"/>
      <c r="I97" s="56"/>
      <c r="J97" s="36"/>
      <c r="K97" s="1"/>
      <c r="L97" s="1"/>
      <c r="M97" s="1"/>
      <c r="N97" s="56"/>
      <c r="O97" s="1"/>
      <c r="P97" s="1"/>
      <c r="Q97" s="29"/>
      <c r="R97" s="29"/>
      <c r="S97" s="73"/>
      <c r="T97" s="154"/>
      <c r="U97" s="43"/>
      <c r="V97" s="1"/>
    </row>
    <row r="98" spans="2:22" x14ac:dyDescent="0.3">
      <c r="B98" s="11">
        <v>92</v>
      </c>
      <c r="C98" s="11"/>
      <c r="D98" s="29"/>
      <c r="E98" s="29"/>
      <c r="F98" s="122"/>
      <c r="G98" s="56"/>
      <c r="H98" s="89"/>
      <c r="I98" s="56"/>
      <c r="J98" s="36"/>
      <c r="K98" s="1"/>
      <c r="L98" s="1"/>
      <c r="M98" s="1"/>
      <c r="N98" s="56"/>
      <c r="O98" s="1"/>
      <c r="P98" s="1"/>
      <c r="Q98" s="29"/>
      <c r="R98" s="29"/>
      <c r="S98" s="73"/>
      <c r="T98" s="154"/>
      <c r="U98" s="43"/>
      <c r="V98" s="1"/>
    </row>
    <row r="99" spans="2:22" x14ac:dyDescent="0.3">
      <c r="B99" s="11">
        <v>93</v>
      </c>
      <c r="C99" s="11"/>
      <c r="D99" s="29"/>
      <c r="E99" s="29"/>
      <c r="F99" s="122"/>
      <c r="G99" s="56"/>
      <c r="H99" s="89"/>
      <c r="I99" s="56"/>
      <c r="J99" s="36"/>
      <c r="K99" s="1"/>
      <c r="L99" s="1"/>
      <c r="M99" s="1"/>
      <c r="N99" s="56"/>
      <c r="O99" s="1"/>
      <c r="P99" s="1"/>
      <c r="Q99" s="29"/>
      <c r="R99" s="29"/>
      <c r="S99" s="73"/>
      <c r="T99" s="154"/>
      <c r="U99" s="43"/>
      <c r="V99" s="1"/>
    </row>
    <row r="100" spans="2:22" x14ac:dyDescent="0.3">
      <c r="B100" s="11">
        <v>94</v>
      </c>
      <c r="C100" s="11"/>
      <c r="D100" s="29"/>
      <c r="E100" s="29"/>
      <c r="F100" s="122"/>
      <c r="G100" s="56"/>
      <c r="H100" s="89"/>
      <c r="I100" s="56"/>
      <c r="J100" s="36"/>
      <c r="K100" s="1"/>
      <c r="L100" s="1"/>
      <c r="M100" s="1"/>
      <c r="N100" s="56"/>
      <c r="O100" s="1"/>
      <c r="P100" s="1"/>
      <c r="Q100" s="29"/>
      <c r="R100" s="29"/>
      <c r="S100" s="73"/>
      <c r="T100" s="154"/>
      <c r="U100" s="43"/>
      <c r="V100" s="1"/>
    </row>
    <row r="101" spans="2:22" x14ac:dyDescent="0.3">
      <c r="B101" s="11">
        <v>95</v>
      </c>
      <c r="C101" s="11"/>
      <c r="D101" s="29"/>
      <c r="E101" s="29"/>
      <c r="F101" s="122"/>
      <c r="G101" s="56"/>
      <c r="H101" s="89"/>
      <c r="I101" s="56"/>
      <c r="J101" s="36"/>
      <c r="K101" s="1"/>
      <c r="L101" s="1"/>
      <c r="M101" s="1"/>
      <c r="N101" s="56"/>
      <c r="O101" s="1"/>
      <c r="P101" s="1"/>
      <c r="Q101" s="29"/>
      <c r="R101" s="29"/>
      <c r="S101" s="73"/>
      <c r="T101" s="154"/>
      <c r="U101" s="43"/>
      <c r="V101" s="1"/>
    </row>
    <row r="102" spans="2:22" x14ac:dyDescent="0.3">
      <c r="B102" s="11">
        <v>96</v>
      </c>
      <c r="C102" s="11"/>
      <c r="D102" s="29"/>
      <c r="E102" s="29"/>
      <c r="F102" s="122"/>
      <c r="G102" s="56"/>
      <c r="H102" s="89"/>
      <c r="I102" s="56"/>
      <c r="J102" s="36"/>
      <c r="K102" s="1"/>
      <c r="L102" s="1"/>
      <c r="M102" s="1"/>
      <c r="N102" s="56"/>
      <c r="O102" s="1"/>
      <c r="P102" s="1"/>
      <c r="Q102" s="29"/>
      <c r="R102" s="29"/>
      <c r="S102" s="29"/>
      <c r="T102" s="154"/>
      <c r="U102" s="43"/>
      <c r="V102" s="1"/>
    </row>
    <row r="103" spans="2:22" x14ac:dyDescent="0.3">
      <c r="B103" s="11">
        <v>97</v>
      </c>
      <c r="C103" s="11"/>
      <c r="D103" s="29"/>
      <c r="E103" s="29"/>
      <c r="F103" s="122"/>
      <c r="G103" s="56"/>
      <c r="H103" s="89"/>
      <c r="I103" s="56"/>
      <c r="J103" s="36"/>
      <c r="K103" s="1"/>
      <c r="L103" s="1"/>
      <c r="M103" s="1"/>
      <c r="N103" s="56"/>
      <c r="O103" s="1"/>
      <c r="P103" s="1"/>
      <c r="Q103" s="29"/>
      <c r="R103" s="29"/>
      <c r="S103" s="29"/>
      <c r="T103" s="154"/>
      <c r="U103" s="43"/>
      <c r="V103" s="1"/>
    </row>
    <row r="104" spans="2:22" x14ac:dyDescent="0.3">
      <c r="B104" s="11">
        <v>98</v>
      </c>
      <c r="C104" s="11"/>
      <c r="D104" s="29"/>
      <c r="E104" s="29"/>
      <c r="F104" s="122"/>
      <c r="G104" s="56"/>
      <c r="H104" s="89"/>
      <c r="I104" s="56"/>
      <c r="J104" s="36"/>
      <c r="K104" s="1"/>
      <c r="L104" s="1"/>
      <c r="M104" s="1"/>
      <c r="N104" s="56"/>
      <c r="O104" s="1"/>
      <c r="P104" s="1"/>
      <c r="Q104" s="29"/>
      <c r="R104" s="29"/>
      <c r="S104" s="73"/>
      <c r="T104" s="154"/>
      <c r="U104" s="43"/>
      <c r="V104" s="1"/>
    </row>
    <row r="105" spans="2:22" x14ac:dyDescent="0.3">
      <c r="B105" s="11">
        <v>99</v>
      </c>
      <c r="C105" s="11"/>
      <c r="D105" s="29"/>
      <c r="E105" s="29"/>
      <c r="F105" s="122"/>
      <c r="G105" s="56"/>
      <c r="H105" s="89"/>
      <c r="I105" s="56"/>
      <c r="J105" s="36"/>
      <c r="K105" s="1"/>
      <c r="L105" s="1"/>
      <c r="M105" s="1"/>
      <c r="N105" s="56"/>
      <c r="O105" s="1"/>
      <c r="P105" s="1"/>
      <c r="Q105" s="29"/>
      <c r="R105" s="29"/>
      <c r="S105" s="73"/>
      <c r="T105" s="154"/>
      <c r="U105" s="43"/>
      <c r="V105" s="1"/>
    </row>
    <row r="106" spans="2:22" x14ac:dyDescent="0.3">
      <c r="B106" s="11">
        <v>100</v>
      </c>
      <c r="C106" s="11"/>
      <c r="D106" s="29"/>
      <c r="E106" s="29"/>
      <c r="F106" s="122"/>
      <c r="G106" s="56"/>
      <c r="H106" s="89"/>
      <c r="I106" s="56"/>
      <c r="J106" s="36"/>
      <c r="K106" s="1"/>
      <c r="L106" s="1"/>
      <c r="M106" s="1"/>
      <c r="N106" s="56"/>
      <c r="O106" s="1"/>
      <c r="P106" s="1"/>
      <c r="Q106" s="29"/>
      <c r="R106" s="29"/>
      <c r="S106" s="73"/>
      <c r="T106" s="154"/>
      <c r="U106" s="43"/>
      <c r="V106" s="1"/>
    </row>
    <row r="107" spans="2:22" x14ac:dyDescent="0.3">
      <c r="B107" s="270"/>
      <c r="C107" s="270"/>
      <c r="D107" s="271"/>
      <c r="E107" s="186"/>
      <c r="F107" s="120"/>
      <c r="G107" s="56"/>
      <c r="H107" s="318"/>
      <c r="I107" s="273"/>
      <c r="J107" s="272"/>
      <c r="K107" s="273"/>
      <c r="L107" s="273"/>
      <c r="M107" s="274"/>
      <c r="N107" s="273"/>
      <c r="O107" s="274"/>
      <c r="P107" s="274"/>
      <c r="Q107" s="275"/>
      <c r="R107" s="275"/>
      <c r="S107" s="275"/>
      <c r="T107" s="276"/>
      <c r="U107" s="277"/>
      <c r="V107" s="1"/>
    </row>
    <row r="108" spans="2:22" x14ac:dyDescent="0.3">
      <c r="E108" s="111" t="s">
        <v>173</v>
      </c>
      <c r="F108" s="90"/>
      <c r="G108" s="319">
        <f>SUBTOTAL(9,G7:G107)</f>
        <v>0</v>
      </c>
      <c r="H108" s="22"/>
      <c r="I108" s="22"/>
      <c r="J108" s="19"/>
      <c r="K108" s="19"/>
      <c r="L108" s="19"/>
      <c r="M108" s="19"/>
      <c r="N108" s="22"/>
      <c r="O108" s="76"/>
      <c r="P108" s="65"/>
      <c r="Q108" s="65"/>
      <c r="R108" s="77"/>
      <c r="S108" s="65"/>
      <c r="T108" s="77"/>
      <c r="U108" s="58"/>
      <c r="V108" s="65"/>
    </row>
    <row r="109" spans="2:22" x14ac:dyDescent="0.3">
      <c r="F109" s="49"/>
      <c r="O109" s="66"/>
      <c r="U109" s="38"/>
    </row>
    <row r="111" spans="2:22" ht="15" thickBot="1" x14ac:dyDescent="0.35">
      <c r="E111" s="112" t="s">
        <v>153</v>
      </c>
      <c r="G111" s="101">
        <f>SUM(G7:G107)</f>
        <v>0</v>
      </c>
      <c r="H111" s="320"/>
      <c r="I111" s="320"/>
      <c r="J111" s="78"/>
      <c r="K111" s="78"/>
      <c r="L111" s="78"/>
      <c r="M111" s="14"/>
      <c r="N111" s="3"/>
    </row>
    <row r="112" spans="2:22" ht="15" thickTop="1" x14ac:dyDescent="0.3">
      <c r="F112" s="49"/>
      <c r="O112" s="35"/>
      <c r="U112" s="3"/>
    </row>
    <row r="115" spans="5:13" x14ac:dyDescent="0.3">
      <c r="E115" s="425" t="s">
        <v>127</v>
      </c>
      <c r="F115" s="426"/>
      <c r="G115" s="427"/>
      <c r="J115" s="133" t="s">
        <v>128</v>
      </c>
      <c r="K115" s="134"/>
      <c r="L115" s="135"/>
    </row>
    <row r="116" spans="5:13" x14ac:dyDescent="0.3">
      <c r="E116" s="67" t="s">
        <v>129</v>
      </c>
      <c r="F116" s="92" t="s">
        <v>130</v>
      </c>
      <c r="G116" s="93" t="s">
        <v>131</v>
      </c>
      <c r="J116" s="16" t="s">
        <v>129</v>
      </c>
      <c r="K116" s="92" t="s">
        <v>130</v>
      </c>
      <c r="L116" s="93" t="s">
        <v>131</v>
      </c>
    </row>
    <row r="117" spans="5:13" x14ac:dyDescent="0.3">
      <c r="E117" s="113">
        <f>SUMIF($U$7:$U$106,E116,$I$7:$I$106)</f>
        <v>0</v>
      </c>
      <c r="F117" s="94">
        <f>SUMIF($U$7:$U$106,F116,$I$7:$I$106)</f>
        <v>0</v>
      </c>
      <c r="G117" s="94">
        <f>SUMIF($U$7:$U$106,G116,$I$7:$I$106)</f>
        <v>0</v>
      </c>
      <c r="H117" s="95">
        <f>SUM(E117:G117)</f>
        <v>0</v>
      </c>
      <c r="J117" s="94">
        <f>SUMIF($U$7:$U$106,J116,$H$7:$H$106)</f>
        <v>0</v>
      </c>
      <c r="K117" s="94">
        <f>SUMIF($U$7:$U$106,K116,$H$7:$H$106)</f>
        <v>0</v>
      </c>
      <c r="L117" s="94">
        <f>SUMIF($U$7:$U$106,L116,$H$7:$H$106)</f>
        <v>0</v>
      </c>
      <c r="M117" s="95">
        <f>SUM(J117:L117)</f>
        <v>0</v>
      </c>
    </row>
    <row r="118" spans="5:13" x14ac:dyDescent="0.3">
      <c r="F118"/>
      <c r="H118" s="97">
        <f>I111-H117</f>
        <v>0</v>
      </c>
      <c r="J118" s="32"/>
      <c r="K118" s="32"/>
      <c r="L118" s="98"/>
      <c r="M118" s="97">
        <f>H111-M117</f>
        <v>0</v>
      </c>
    </row>
    <row r="119" spans="5:13" x14ac:dyDescent="0.3">
      <c r="E119" s="114"/>
      <c r="F119" s="47"/>
      <c r="G119" s="47"/>
      <c r="J119" s="8"/>
      <c r="L119" s="8"/>
      <c r="M119"/>
    </row>
    <row r="120" spans="5:13" x14ac:dyDescent="0.3">
      <c r="G120" s="47"/>
      <c r="H120" s="47" t="s">
        <v>132</v>
      </c>
      <c r="I120" s="47">
        <f>G117</f>
        <v>0</v>
      </c>
      <c r="K120" s="68"/>
      <c r="L120" s="8"/>
      <c r="M120"/>
    </row>
    <row r="121" spans="5:13" ht="15" thickBot="1" x14ac:dyDescent="0.35">
      <c r="G121" s="47"/>
      <c r="H121" s="99" t="s">
        <v>133</v>
      </c>
      <c r="I121" s="99">
        <f>E117+F117+J117+K117+L117</f>
        <v>0</v>
      </c>
      <c r="K121" s="68"/>
      <c r="L121" s="8"/>
      <c r="M121"/>
    </row>
    <row r="122" spans="5:13" ht="15" thickTop="1" x14ac:dyDescent="0.3">
      <c r="G122" s="47"/>
      <c r="H122" s="47" t="s">
        <v>134</v>
      </c>
      <c r="I122" s="47">
        <f>SUM(I120:I121)</f>
        <v>0</v>
      </c>
      <c r="K122" s="68"/>
      <c r="L122" s="8"/>
      <c r="M122"/>
    </row>
    <row r="123" spans="5:13" x14ac:dyDescent="0.3">
      <c r="G123" s="47"/>
      <c r="I123" s="47"/>
      <c r="J123" s="97">
        <f>G111-I122</f>
        <v>0</v>
      </c>
      <c r="K123" s="68"/>
      <c r="L123" s="8"/>
      <c r="M123"/>
    </row>
    <row r="125" spans="5:13" x14ac:dyDescent="0.3">
      <c r="E125" s="174" t="s">
        <v>174</v>
      </c>
      <c r="F125" s="168" t="s">
        <v>166</v>
      </c>
      <c r="G125" s="39" t="s">
        <v>13</v>
      </c>
      <c r="H125" s="170" t="s">
        <v>125</v>
      </c>
      <c r="I125" s="39" t="s">
        <v>175</v>
      </c>
      <c r="J125" s="39" t="s">
        <v>176</v>
      </c>
      <c r="K125" s="39" t="s">
        <v>90</v>
      </c>
    </row>
    <row r="126" spans="5:13" x14ac:dyDescent="0.3">
      <c r="E126"/>
      <c r="F126" s="8"/>
      <c r="G126" s="52">
        <f t="shared" ref="G126:G134" si="0">SUMIFS($G$7:$G$107, $J$7:$J$107, E126, $D$7:$D$107, F126)</f>
        <v>0</v>
      </c>
      <c r="H126" s="175">
        <f t="shared" ref="H126:H134" si="1">SUMIFS($I$7:$I$107, $J$7:$J$107, E126, $D$7:$D$107, F126, $U$7:$U$107, "YES")</f>
        <v>0</v>
      </c>
      <c r="I126" s="57">
        <f>G126-H126</f>
        <v>0</v>
      </c>
      <c r="J126" s="8"/>
      <c r="K126" s="8"/>
    </row>
    <row r="127" spans="5:13" x14ac:dyDescent="0.3">
      <c r="E127"/>
      <c r="F127" s="8"/>
      <c r="G127" s="52">
        <f t="shared" si="0"/>
        <v>0</v>
      </c>
      <c r="H127" s="176">
        <f t="shared" si="1"/>
        <v>0</v>
      </c>
      <c r="I127" s="42">
        <f t="shared" ref="I127:I134" si="2">G127-H127</f>
        <v>0</v>
      </c>
      <c r="J127" s="8"/>
      <c r="K127" s="8"/>
    </row>
    <row r="128" spans="5:13" x14ac:dyDescent="0.3">
      <c r="E128"/>
      <c r="F128" s="8"/>
      <c r="G128" s="278">
        <f t="shared" si="0"/>
        <v>0</v>
      </c>
      <c r="H128" s="176">
        <f t="shared" si="1"/>
        <v>0</v>
      </c>
      <c r="I128" s="42">
        <f t="shared" si="2"/>
        <v>0</v>
      </c>
      <c r="J128" s="8"/>
      <c r="K128" s="8"/>
    </row>
    <row r="129" spans="5:11" x14ac:dyDescent="0.3">
      <c r="E129"/>
      <c r="F129" s="8"/>
      <c r="G129" s="278">
        <f t="shared" si="0"/>
        <v>0</v>
      </c>
      <c r="H129" s="176">
        <f t="shared" si="1"/>
        <v>0</v>
      </c>
      <c r="I129" s="42">
        <f t="shared" si="2"/>
        <v>0</v>
      </c>
      <c r="J129" s="8"/>
      <c r="K129" s="8"/>
    </row>
    <row r="130" spans="5:11" x14ac:dyDescent="0.3">
      <c r="E130"/>
      <c r="F130" s="8"/>
      <c r="G130" s="278">
        <f t="shared" si="0"/>
        <v>0</v>
      </c>
      <c r="H130" s="176">
        <f t="shared" si="1"/>
        <v>0</v>
      </c>
      <c r="I130" s="42">
        <f t="shared" si="2"/>
        <v>0</v>
      </c>
      <c r="J130" s="8"/>
      <c r="K130" s="8"/>
    </row>
    <row r="131" spans="5:11" x14ac:dyDescent="0.3">
      <c r="E131"/>
      <c r="F131" s="8"/>
      <c r="G131" s="278">
        <f t="shared" si="0"/>
        <v>0</v>
      </c>
      <c r="H131" s="176">
        <f t="shared" si="1"/>
        <v>0</v>
      </c>
      <c r="I131" s="42">
        <f t="shared" si="2"/>
        <v>0</v>
      </c>
      <c r="J131" s="8"/>
      <c r="K131" s="8"/>
    </row>
    <row r="132" spans="5:11" x14ac:dyDescent="0.3">
      <c r="E132"/>
      <c r="F132" s="8"/>
      <c r="G132" s="278">
        <f t="shared" si="0"/>
        <v>0</v>
      </c>
      <c r="H132" s="176">
        <f t="shared" si="1"/>
        <v>0</v>
      </c>
      <c r="I132" s="42">
        <f t="shared" si="2"/>
        <v>0</v>
      </c>
      <c r="J132" s="8"/>
      <c r="K132" s="8"/>
    </row>
    <row r="133" spans="5:11" x14ac:dyDescent="0.3">
      <c r="E133"/>
      <c r="F133" s="8"/>
      <c r="G133" s="278">
        <f t="shared" si="0"/>
        <v>0</v>
      </c>
      <c r="H133" s="176">
        <f t="shared" si="1"/>
        <v>0</v>
      </c>
      <c r="I133" s="42">
        <f t="shared" si="2"/>
        <v>0</v>
      </c>
      <c r="J133" s="8"/>
      <c r="K133" s="8"/>
    </row>
    <row r="134" spans="5:11" ht="15" thickBot="1" x14ac:dyDescent="0.35">
      <c r="E134" s="179"/>
      <c r="F134" s="172"/>
      <c r="G134" s="177">
        <f t="shared" si="0"/>
        <v>0</v>
      </c>
      <c r="H134" s="178">
        <f t="shared" si="1"/>
        <v>0</v>
      </c>
      <c r="I134" s="173">
        <f t="shared" si="2"/>
        <v>0</v>
      </c>
      <c r="J134" s="172"/>
      <c r="K134" s="172"/>
    </row>
    <row r="135" spans="5:11" ht="15" thickTop="1" x14ac:dyDescent="0.3">
      <c r="E135"/>
      <c r="F135" t="s">
        <v>13</v>
      </c>
      <c r="G135" s="42">
        <f>SUM(G126:G134)</f>
        <v>0</v>
      </c>
      <c r="H135" s="171">
        <f>SUM(H126:H134)</f>
        <v>0</v>
      </c>
      <c r="I135" s="42">
        <f>SUM(I126:I134)</f>
        <v>0</v>
      </c>
      <c r="J135" s="8"/>
    </row>
    <row r="136" spans="5:11" x14ac:dyDescent="0.3">
      <c r="F136"/>
      <c r="G136" s="97">
        <f>G135-G111</f>
        <v>0</v>
      </c>
      <c r="H136" s="97">
        <f>H135-I120</f>
        <v>0</v>
      </c>
      <c r="I136" s="97">
        <f>I135-I121</f>
        <v>0</v>
      </c>
      <c r="J136" s="8"/>
    </row>
  </sheetData>
  <dataConsolidate/>
  <customSheetViews>
    <customSheetView guid="{14C8854E-48EC-4FF0-8495-678A66A79974}" scale="80" fitToPage="1" filter="1" showAutoFilter="1" hiddenColumns="1">
      <pane xSplit="2" ySplit="6" topLeftCell="C414" activePane="bottomRight" state="frozen"/>
      <selection pane="bottomRight" activeCell="U221" sqref="U221"/>
      <pageMargins left="0" right="0" top="0" bottom="0" header="0" footer="0"/>
      <pageSetup scale="57" orientation="portrait" r:id="rId1"/>
      <autoFilter ref="B6:V439" xr:uid="{ED48E9C2-FC81-4E77-87ED-86B1F3CE844E}">
        <filterColumn colId="8">
          <filters>
            <filter val="yes"/>
          </filters>
        </filterColumn>
        <filterColumn colId="19">
          <filters>
            <filter val="yes"/>
          </filters>
        </filterColumn>
      </autoFilter>
    </customSheetView>
    <customSheetView guid="{064F1E00-4E44-40D8-9D84-C13C3FC17883}" scale="80" fitToPage="1" filter="1" showAutoFilter="1" hiddenColumns="1">
      <pane xSplit="2" ySplit="6" topLeftCell="C414" activePane="bottomRight" state="frozen"/>
      <selection pane="bottomRight" activeCell="U221" sqref="U221"/>
      <pageMargins left="0" right="0" top="0" bottom="0" header="0" footer="0"/>
      <pageSetup scale="57" orientation="portrait" r:id="rId2"/>
      <autoFilter ref="B6:V439" xr:uid="{CD527CEF-E8B4-4BCE-8585-6123000A3A3F}">
        <filterColumn colId="8">
          <filters>
            <filter val="yes"/>
          </filters>
        </filterColumn>
        <filterColumn colId="19">
          <filters>
            <filter val="yes"/>
          </filters>
        </filterColumn>
      </autoFilter>
    </customSheetView>
  </customSheetViews>
  <mergeCells count="2">
    <mergeCell ref="E115:G115"/>
    <mergeCell ref="B1:W1"/>
  </mergeCells>
  <conditionalFormatting sqref="E116">
    <cfRule type="cellIs" dxfId="39" priority="21" operator="equal">
      <formula>"NO-OOS"</formula>
    </cfRule>
    <cfRule type="cellIs" dxfId="38" priority="22" operator="equal">
      <formula>"NO-CO"</formula>
    </cfRule>
    <cfRule type="cellIs" dxfId="37" priority="23" operator="equal">
      <formula>"YES"</formula>
    </cfRule>
    <cfRule type="cellIs" dxfId="36" priority="24" operator="equal">
      <formula>"NO"</formula>
    </cfRule>
  </conditionalFormatting>
  <conditionalFormatting sqref="J116">
    <cfRule type="cellIs" dxfId="35" priority="16" operator="equal">
      <formula>"NO-OOS"</formula>
    </cfRule>
    <cfRule type="cellIs" dxfId="34" priority="17" operator="equal">
      <formula>"NO-CO"</formula>
    </cfRule>
    <cfRule type="cellIs" dxfId="33" priority="18" operator="equal">
      <formula>"YES"</formula>
    </cfRule>
    <cfRule type="cellIs" dxfId="32" priority="19" operator="equal">
      <formula>"NO"</formula>
    </cfRule>
  </conditionalFormatting>
  <conditionalFormatting sqref="U7:U107">
    <cfRule type="cellIs" dxfId="31" priority="1" operator="equal">
      <formula>"NO-OOS"</formula>
    </cfRule>
    <cfRule type="cellIs" dxfId="30" priority="2" operator="equal">
      <formula>"NO-TX"</formula>
    </cfRule>
  </conditionalFormatting>
  <conditionalFormatting sqref="U7:U108">
    <cfRule type="cellIs" dxfId="29" priority="3" operator="equal">
      <formula>"YES"</formula>
    </cfRule>
  </conditionalFormatting>
  <conditionalFormatting sqref="U108">
    <cfRule type="cellIs" dxfId="28" priority="547" operator="equal">
      <formula>"NO"</formula>
    </cfRule>
  </conditionalFormatting>
  <dataValidations xWindow="624" yWindow="305" count="2">
    <dataValidation type="list" allowBlank="1" showInputMessage="1" showErrorMessage="1" sqref="E116 J116" xr:uid="{00000000-0002-0000-0400-000003000000}"/>
    <dataValidation type="list" allowBlank="1" showInputMessage="1" showErrorMessage="1" sqref="V2:V5" xr:uid="{00000000-0002-0000-0400-000006000000}"/>
  </dataValidations>
  <pageMargins left="0.7" right="0.7" top="0.75" bottom="0.75" header="0.3" footer="0.3"/>
  <pageSetup scale="57" orientation="portrait" r:id="rId3"/>
  <extLst>
    <ext xmlns:x14="http://schemas.microsoft.com/office/spreadsheetml/2009/9/main" uri="{CCE6A557-97BC-4b89-ADB6-D9C93CAAB3DF}">
      <x14:dataValidations xmlns:xm="http://schemas.microsoft.com/office/excel/2006/main" xWindow="624" yWindow="305" count="5">
        <x14:dataValidation type="list" allowBlank="1" showInputMessage="1" showErrorMessage="1" xr:uid="{00000000-0002-0000-0400-000000000000}">
          <x14:formula1>
            <xm:f>Legend!$C$2:$C$4</xm:f>
          </x14:formula1>
          <xm:sqref>U108</xm:sqref>
        </x14:dataValidation>
        <x14:dataValidation type="list" allowBlank="1" showInputMessage="1" showErrorMessage="1" xr:uid="{00000000-0002-0000-0400-000004000000}">
          <x14:formula1>
            <xm:f>Legend!$A$2:$A$7</xm:f>
          </x14:formula1>
          <xm:sqref>L119:L123 M115:M118 K124 K136:K1048576 K6:K114</xm:sqref>
        </x14:dataValidation>
        <x14:dataValidation type="list" allowBlank="1" showInputMessage="1" showErrorMessage="1" xr:uid="{00000000-0002-0000-0400-000005000000}">
          <x14:formula1>
            <xm:f>Legend!$H$2:$H$11</xm:f>
          </x14:formula1>
          <xm:sqref>M115:M123 L124:L1048576 L6:L114</xm:sqref>
        </x14:dataValidation>
        <x14:dataValidation type="list" allowBlank="1" showInputMessage="1" showErrorMessage="1" prompt="Select a category that most closely matches" xr:uid="{00000000-0002-0000-0400-000001000000}">
          <x14:formula1>
            <xm:f>Legend!$F$2:$F$5</xm:f>
          </x14:formula1>
          <xm:sqref>N7:N107</xm:sqref>
        </x14:dataValidation>
        <x14:dataValidation type="list" allowBlank="1" showInputMessage="1" showErrorMessage="1" xr:uid="{00000000-0002-0000-0400-000002000000}">
          <x14:formula1>
            <xm:f>Legend!$E$2:$E$4</xm:f>
          </x14:formula1>
          <xm:sqref>U7:U107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C2FF9-205B-44E0-A67B-B3FF1FDEFD77}">
  <sheetPr>
    <tabColor theme="8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P8" sqref="P8"/>
    </sheetView>
  </sheetViews>
  <sheetFormatPr defaultColWidth="8.88671875" defaultRowHeight="14.4" x14ac:dyDescent="0.3"/>
  <cols>
    <col min="1" max="1" width="2.5546875" customWidth="1"/>
    <col min="2" max="2" width="8.88671875" style="9"/>
    <col min="3" max="3" width="16.5546875" style="109" customWidth="1"/>
    <col min="4" max="4" width="22" style="8" bestFit="1" customWidth="1"/>
    <col min="5" max="5" width="16.44140625" style="27" customWidth="1"/>
    <col min="6" max="6" width="20.109375" style="47" customWidth="1"/>
    <col min="7" max="7" width="18.109375" style="47" customWidth="1"/>
    <col min="8" max="8" width="18.5546875" style="47" customWidth="1"/>
    <col min="9" max="9" width="37" style="68" bestFit="1" customWidth="1"/>
    <col min="10" max="10" width="17.33203125" style="8" customWidth="1"/>
    <col min="11" max="11" width="12.6640625" style="8" customWidth="1"/>
    <col min="12" max="12" width="18.5546875" style="8" customWidth="1"/>
    <col min="13" max="13" width="19.5546875" style="8" customWidth="1"/>
    <col min="14" max="14" width="19.109375" style="8" customWidth="1"/>
    <col min="15" max="15" width="13.88671875" style="8" customWidth="1"/>
    <col min="16" max="16" width="51" style="32" customWidth="1"/>
    <col min="17" max="17" width="28.33203125" style="8" customWidth="1"/>
    <col min="18" max="18" width="18.109375" style="8" customWidth="1"/>
    <col min="19" max="19" width="9.33203125" style="8" customWidth="1"/>
    <col min="20" max="20" width="8.33203125" style="8" customWidth="1"/>
    <col min="21" max="21" width="19.33203125" style="8" customWidth="1"/>
    <col min="22" max="22" width="15.5546875" customWidth="1"/>
    <col min="23" max="23" width="55" style="32" customWidth="1"/>
    <col min="24" max="24" width="23.109375" style="32" customWidth="1"/>
  </cols>
  <sheetData>
    <row r="1" spans="2:27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  <c r="Y1" s="428"/>
      <c r="Z1" s="428"/>
    </row>
    <row r="2" spans="2:27" ht="15.6" x14ac:dyDescent="0.3">
      <c r="B2" s="116"/>
      <c r="C2" s="116"/>
      <c r="D2" s="116"/>
      <c r="E2" s="2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31"/>
      <c r="R2" s="116"/>
      <c r="S2" s="116"/>
      <c r="T2" s="116"/>
      <c r="U2" s="116"/>
      <c r="V2" s="31"/>
      <c r="W2" s="31"/>
      <c r="X2" s="31"/>
      <c r="Y2" s="116"/>
      <c r="Z2" s="31"/>
    </row>
    <row r="3" spans="2:27" x14ac:dyDescent="0.3">
      <c r="C3" s="9"/>
      <c r="D3" s="15"/>
      <c r="E3" s="23"/>
      <c r="F3"/>
      <c r="G3"/>
      <c r="H3"/>
      <c r="I3"/>
      <c r="P3"/>
      <c r="Q3" s="32"/>
      <c r="V3" s="32"/>
      <c r="Z3" s="32"/>
    </row>
    <row r="4" spans="2:27" ht="18" x14ac:dyDescent="0.35">
      <c r="C4" s="9"/>
      <c r="D4" s="15"/>
      <c r="E4" s="4"/>
      <c r="F4"/>
      <c r="G4"/>
      <c r="H4"/>
      <c r="I4"/>
      <c r="L4" s="115"/>
      <c r="M4" s="181"/>
      <c r="N4" s="181"/>
      <c r="P4" s="4"/>
      <c r="Q4" s="4"/>
      <c r="R4" s="115"/>
      <c r="S4" s="115"/>
      <c r="T4" s="115"/>
      <c r="U4" s="115"/>
      <c r="V4" s="4"/>
      <c r="W4" s="4"/>
      <c r="X4" s="4"/>
      <c r="Y4" s="4"/>
      <c r="Z4" s="4"/>
      <c r="AA4" s="4"/>
    </row>
    <row r="5" spans="2:27" ht="18" x14ac:dyDescent="0.35">
      <c r="C5" s="9"/>
      <c r="D5" s="15"/>
      <c r="E5" s="4"/>
      <c r="F5"/>
      <c r="G5"/>
      <c r="H5"/>
      <c r="I5"/>
      <c r="L5" s="115"/>
      <c r="M5" s="181"/>
      <c r="N5" s="181"/>
      <c r="P5" s="4"/>
      <c r="Q5" s="4"/>
      <c r="R5" s="115"/>
      <c r="S5" s="115"/>
      <c r="T5" s="115"/>
      <c r="U5" s="115"/>
      <c r="V5" s="4"/>
      <c r="W5" s="4"/>
      <c r="X5" s="4"/>
      <c r="Y5" s="4"/>
      <c r="Z5" s="4"/>
      <c r="AA5" s="4"/>
    </row>
    <row r="7" spans="2:27" x14ac:dyDescent="0.3">
      <c r="D7" s="220" t="s">
        <v>184</v>
      </c>
      <c r="E7" s="184" t="s">
        <v>184</v>
      </c>
      <c r="H7" s="221" t="s">
        <v>184</v>
      </c>
      <c r="I7" s="222" t="s">
        <v>184</v>
      </c>
      <c r="K7" s="220" t="s">
        <v>184</v>
      </c>
      <c r="L7" s="220" t="s">
        <v>184</v>
      </c>
    </row>
    <row r="8" spans="2:27" s="7" customFormat="1" ht="18.75" customHeight="1" x14ac:dyDescent="0.3">
      <c r="B8" s="10" t="s">
        <v>85</v>
      </c>
      <c r="C8" s="81" t="s">
        <v>137</v>
      </c>
      <c r="D8" s="12" t="s">
        <v>124</v>
      </c>
      <c r="E8" s="26" t="s">
        <v>86</v>
      </c>
      <c r="F8" s="50" t="s">
        <v>154</v>
      </c>
      <c r="G8" s="53" t="s">
        <v>133</v>
      </c>
      <c r="H8" s="50" t="s">
        <v>155</v>
      </c>
      <c r="I8" s="69" t="s">
        <v>156</v>
      </c>
      <c r="J8" s="12" t="s">
        <v>144</v>
      </c>
      <c r="K8" s="12" t="s">
        <v>145</v>
      </c>
      <c r="L8" s="12" t="s">
        <v>157</v>
      </c>
      <c r="M8" s="12" t="s">
        <v>146</v>
      </c>
      <c r="N8" s="12" t="s">
        <v>111</v>
      </c>
      <c r="O8" s="12" t="s">
        <v>147</v>
      </c>
      <c r="P8" s="12" t="s">
        <v>148</v>
      </c>
      <c r="Q8" s="12" t="s">
        <v>149</v>
      </c>
      <c r="R8" s="12" t="s">
        <v>150</v>
      </c>
      <c r="S8" s="12" t="s">
        <v>116</v>
      </c>
      <c r="T8" s="12" t="s">
        <v>117</v>
      </c>
      <c r="U8" s="12" t="s">
        <v>151</v>
      </c>
      <c r="V8" s="12" t="s">
        <v>113</v>
      </c>
      <c r="W8" s="33" t="s">
        <v>118</v>
      </c>
      <c r="X8" s="12" t="s">
        <v>198</v>
      </c>
    </row>
    <row r="9" spans="2:27" x14ac:dyDescent="0.3">
      <c r="B9" s="11">
        <v>1</v>
      </c>
      <c r="C9" s="158"/>
      <c r="D9"/>
      <c r="E9" s="120"/>
      <c r="F9" s="46">
        <v>0</v>
      </c>
      <c r="G9" s="54">
        <v>0</v>
      </c>
      <c r="H9" s="46">
        <f t="shared" ref="H9:H11" si="0">F9-G9</f>
        <v>0</v>
      </c>
      <c r="I9" s="36"/>
      <c r="J9" s="29"/>
      <c r="K9" s="29"/>
      <c r="L9" s="152"/>
      <c r="M9" s="153"/>
      <c r="N9" s="29"/>
      <c r="O9" s="29"/>
      <c r="P9" s="36"/>
      <c r="Q9" s="36"/>
      <c r="R9" s="29"/>
      <c r="S9" s="29"/>
      <c r="T9" s="29"/>
      <c r="U9" s="154"/>
      <c r="V9" s="16"/>
      <c r="W9" s="36"/>
      <c r="X9" s="29"/>
    </row>
    <row r="10" spans="2:27" ht="15" customHeight="1" x14ac:dyDescent="0.3">
      <c r="B10" s="11">
        <v>2</v>
      </c>
      <c r="C10" s="158"/>
      <c r="D10" s="190"/>
      <c r="E10" s="120"/>
      <c r="F10" s="46">
        <v>0</v>
      </c>
      <c r="G10" s="54">
        <v>0</v>
      </c>
      <c r="H10" s="46">
        <f t="shared" si="0"/>
        <v>0</v>
      </c>
      <c r="I10" s="36"/>
      <c r="J10" s="29"/>
      <c r="K10" s="29"/>
      <c r="L10" s="152"/>
      <c r="M10" s="153"/>
      <c r="N10" s="29"/>
      <c r="O10" s="29"/>
      <c r="P10" s="36"/>
      <c r="Q10" s="36"/>
      <c r="R10" s="29"/>
      <c r="S10" s="29"/>
      <c r="T10" s="29"/>
      <c r="U10" s="154"/>
      <c r="V10" s="16"/>
      <c r="W10" s="36"/>
      <c r="X10" s="29"/>
    </row>
    <row r="11" spans="2:27" ht="15" customHeight="1" x14ac:dyDescent="0.3">
      <c r="B11" s="11">
        <v>3</v>
      </c>
      <c r="C11" s="158"/>
      <c r="D11" s="189"/>
      <c r="E11" s="120"/>
      <c r="F11" s="46">
        <v>0</v>
      </c>
      <c r="G11" s="54">
        <v>0</v>
      </c>
      <c r="H11" s="46">
        <f t="shared" si="0"/>
        <v>0</v>
      </c>
      <c r="I11" s="36"/>
      <c r="J11" s="29"/>
      <c r="K11" s="29"/>
      <c r="L11" s="152"/>
      <c r="M11" s="153"/>
      <c r="N11" s="29"/>
      <c r="O11" s="29"/>
      <c r="P11" s="36"/>
      <c r="Q11" s="36"/>
      <c r="R11" s="29"/>
      <c r="S11" s="29"/>
      <c r="T11" s="29"/>
      <c r="U11" s="154"/>
      <c r="V11" s="16"/>
      <c r="W11" s="36"/>
      <c r="X11" s="29"/>
    </row>
    <row r="12" spans="2:27" x14ac:dyDescent="0.3">
      <c r="B12" s="11">
        <v>4</v>
      </c>
      <c r="C12" s="158"/>
      <c r="D12" s="86"/>
      <c r="E12" s="120"/>
      <c r="F12" s="46">
        <v>0</v>
      </c>
      <c r="G12" s="54">
        <v>0</v>
      </c>
      <c r="H12" s="46">
        <f t="shared" ref="H12:H29" si="1">F12-G12</f>
        <v>0</v>
      </c>
      <c r="I12" s="36"/>
      <c r="J12" s="29"/>
      <c r="K12" s="29"/>
      <c r="L12" s="152"/>
      <c r="M12" s="153"/>
      <c r="N12" s="29"/>
      <c r="O12" s="29"/>
      <c r="P12" s="36"/>
      <c r="Q12" s="36"/>
      <c r="R12" s="29"/>
      <c r="S12" s="29"/>
      <c r="T12" s="29"/>
      <c r="U12" s="154"/>
      <c r="V12" s="16"/>
      <c r="W12" s="36"/>
      <c r="X12" s="36"/>
    </row>
    <row r="13" spans="2:27" ht="15" customHeight="1" x14ac:dyDescent="0.3">
      <c r="B13" s="11">
        <v>5</v>
      </c>
      <c r="C13" s="158"/>
      <c r="D13" s="86"/>
      <c r="E13" s="120"/>
      <c r="F13" s="46">
        <v>0</v>
      </c>
      <c r="G13" s="54">
        <v>0</v>
      </c>
      <c r="H13" s="46">
        <f t="shared" si="1"/>
        <v>0</v>
      </c>
      <c r="I13" s="36"/>
      <c r="J13" s="29"/>
      <c r="K13" s="29"/>
      <c r="L13" s="152"/>
      <c r="M13" s="153"/>
      <c r="N13" s="29"/>
      <c r="O13" s="29"/>
      <c r="P13" s="36"/>
      <c r="Q13" s="36"/>
      <c r="R13" s="29"/>
      <c r="S13" s="29"/>
      <c r="T13" s="29"/>
      <c r="U13" s="154"/>
      <c r="V13" s="16"/>
      <c r="W13" s="36"/>
      <c r="X13" s="36"/>
    </row>
    <row r="14" spans="2:27" x14ac:dyDescent="0.3">
      <c r="B14" s="11">
        <v>6</v>
      </c>
      <c r="C14" s="158"/>
      <c r="D14" s="84"/>
      <c r="E14" s="120"/>
      <c r="F14" s="46">
        <v>0</v>
      </c>
      <c r="G14" s="54">
        <v>0</v>
      </c>
      <c r="H14" s="46">
        <f t="shared" si="1"/>
        <v>0</v>
      </c>
      <c r="I14" s="36"/>
      <c r="J14" s="29"/>
      <c r="K14" s="29"/>
      <c r="L14" s="152"/>
      <c r="M14" s="153"/>
      <c r="N14" s="29"/>
      <c r="O14" s="29"/>
      <c r="P14" s="36"/>
      <c r="Q14" s="36"/>
      <c r="R14" s="29"/>
      <c r="S14" s="29"/>
      <c r="T14" s="29"/>
      <c r="U14" s="154"/>
      <c r="V14" s="16"/>
      <c r="W14" s="36"/>
      <c r="X14" s="36"/>
    </row>
    <row r="15" spans="2:27" x14ac:dyDescent="0.3">
      <c r="B15" s="11">
        <v>7</v>
      </c>
      <c r="C15" s="158"/>
      <c r="D15" s="84"/>
      <c r="E15" s="120"/>
      <c r="F15" s="46">
        <v>0</v>
      </c>
      <c r="G15" s="54">
        <v>0</v>
      </c>
      <c r="H15" s="46">
        <f t="shared" si="1"/>
        <v>0</v>
      </c>
      <c r="I15" s="36"/>
      <c r="J15" s="29"/>
      <c r="K15" s="29"/>
      <c r="L15" s="152"/>
      <c r="M15" s="153"/>
      <c r="N15" s="29"/>
      <c r="O15" s="29"/>
      <c r="P15" s="36"/>
      <c r="Q15" s="36"/>
      <c r="R15" s="29"/>
      <c r="S15" s="29"/>
      <c r="T15" s="29"/>
      <c r="U15" s="154"/>
      <c r="V15" s="16"/>
      <c r="W15" s="36"/>
      <c r="X15" s="36"/>
    </row>
    <row r="16" spans="2:27" ht="15" customHeight="1" x14ac:dyDescent="0.3">
      <c r="B16" s="11">
        <v>8</v>
      </c>
      <c r="C16" s="158"/>
      <c r="D16" s="85"/>
      <c r="E16" s="120"/>
      <c r="F16" s="46">
        <v>0</v>
      </c>
      <c r="G16" s="54">
        <v>0</v>
      </c>
      <c r="H16" s="46">
        <f t="shared" si="1"/>
        <v>0</v>
      </c>
      <c r="I16" s="36"/>
      <c r="J16" s="29"/>
      <c r="K16" s="29"/>
      <c r="L16" s="152"/>
      <c r="M16" s="153"/>
      <c r="N16" s="29"/>
      <c r="O16" s="29"/>
      <c r="P16" s="36"/>
      <c r="Q16" s="36"/>
      <c r="R16" s="29"/>
      <c r="S16" s="29"/>
      <c r="T16" s="29"/>
      <c r="U16" s="154"/>
      <c r="V16" s="16"/>
      <c r="W16" s="36"/>
      <c r="X16" s="36"/>
    </row>
    <row r="17" spans="2:24" x14ac:dyDescent="0.3">
      <c r="B17" s="11">
        <v>9</v>
      </c>
      <c r="C17" s="158"/>
      <c r="D17" s="85"/>
      <c r="E17" s="120"/>
      <c r="F17" s="46">
        <v>0</v>
      </c>
      <c r="G17" s="54">
        <v>0</v>
      </c>
      <c r="H17" s="46">
        <f t="shared" si="1"/>
        <v>0</v>
      </c>
      <c r="I17" s="36"/>
      <c r="J17" s="29"/>
      <c r="K17" s="29"/>
      <c r="L17" s="152"/>
      <c r="M17" s="153"/>
      <c r="N17" s="29"/>
      <c r="O17" s="29"/>
      <c r="P17" s="36"/>
      <c r="Q17" s="36"/>
      <c r="R17" s="29"/>
      <c r="S17" s="29"/>
      <c r="T17" s="29"/>
      <c r="U17" s="154"/>
      <c r="V17" s="16"/>
      <c r="W17" s="36"/>
      <c r="X17" s="36"/>
    </row>
    <row r="18" spans="2:24" x14ac:dyDescent="0.3">
      <c r="B18" s="11">
        <v>10</v>
      </c>
      <c r="C18" s="158"/>
      <c r="D18" s="85"/>
      <c r="E18" s="120"/>
      <c r="F18" s="46">
        <v>0</v>
      </c>
      <c r="G18" s="54">
        <v>0</v>
      </c>
      <c r="H18" s="46">
        <f t="shared" si="1"/>
        <v>0</v>
      </c>
      <c r="I18" s="36"/>
      <c r="J18" s="29"/>
      <c r="K18" s="29"/>
      <c r="L18" s="152"/>
      <c r="M18" s="153"/>
      <c r="N18" s="29"/>
      <c r="O18" s="29"/>
      <c r="P18" s="36"/>
      <c r="Q18" s="36"/>
      <c r="R18" s="29"/>
      <c r="S18" s="29"/>
      <c r="T18" s="73"/>
      <c r="U18" s="154"/>
      <c r="V18" s="16"/>
      <c r="W18" s="36"/>
      <c r="X18" s="36"/>
    </row>
    <row r="19" spans="2:24" ht="15" customHeight="1" x14ac:dyDescent="0.3">
      <c r="B19" s="11">
        <v>11</v>
      </c>
      <c r="C19" s="158"/>
      <c r="D19" s="85"/>
      <c r="E19" s="120"/>
      <c r="F19" s="46">
        <v>0</v>
      </c>
      <c r="G19" s="54">
        <v>0</v>
      </c>
      <c r="H19" s="46">
        <f t="shared" si="1"/>
        <v>0</v>
      </c>
      <c r="I19" s="36"/>
      <c r="J19" s="29"/>
      <c r="K19" s="29"/>
      <c r="L19" s="152"/>
      <c r="M19" s="153"/>
      <c r="N19" s="29"/>
      <c r="O19" s="29"/>
      <c r="P19" s="36"/>
      <c r="Q19" s="36"/>
      <c r="R19" s="29"/>
      <c r="S19" s="29"/>
      <c r="T19" s="73"/>
      <c r="U19" s="154"/>
      <c r="V19" s="16"/>
      <c r="W19" s="36"/>
      <c r="X19" s="36"/>
    </row>
    <row r="20" spans="2:24" ht="15" customHeight="1" x14ac:dyDescent="0.3">
      <c r="B20" s="11">
        <v>12</v>
      </c>
      <c r="C20" s="158"/>
      <c r="D20" s="72"/>
      <c r="E20" s="120"/>
      <c r="F20" s="46">
        <v>0</v>
      </c>
      <c r="G20" s="54">
        <v>0</v>
      </c>
      <c r="H20" s="46">
        <f t="shared" si="1"/>
        <v>0</v>
      </c>
      <c r="I20" s="36"/>
      <c r="J20" s="29"/>
      <c r="K20" s="29"/>
      <c r="L20" s="152"/>
      <c r="M20" s="153"/>
      <c r="N20" s="29"/>
      <c r="O20" s="29"/>
      <c r="P20" s="36"/>
      <c r="Q20" s="36"/>
      <c r="R20" s="29"/>
      <c r="S20" s="29"/>
      <c r="T20" s="73"/>
      <c r="U20" s="154"/>
      <c r="V20" s="16"/>
      <c r="W20" s="36"/>
      <c r="X20" s="36"/>
    </row>
    <row r="21" spans="2:24" ht="15" customHeight="1" x14ac:dyDescent="0.3">
      <c r="B21" s="11">
        <v>13</v>
      </c>
      <c r="C21" s="158"/>
      <c r="D21" s="85"/>
      <c r="E21" s="120"/>
      <c r="F21" s="46">
        <v>0</v>
      </c>
      <c r="G21" s="54">
        <v>0</v>
      </c>
      <c r="H21" s="46">
        <f t="shared" si="1"/>
        <v>0</v>
      </c>
      <c r="I21" s="36"/>
      <c r="J21" s="29"/>
      <c r="K21" s="29"/>
      <c r="L21" s="152"/>
      <c r="M21" s="153"/>
      <c r="N21" s="29"/>
      <c r="O21" s="29"/>
      <c r="P21" s="36"/>
      <c r="Q21" s="36"/>
      <c r="R21" s="29"/>
      <c r="S21" s="29"/>
      <c r="T21" s="73"/>
      <c r="U21" s="154"/>
      <c r="V21" s="16"/>
      <c r="W21" s="36"/>
      <c r="X21" s="36"/>
    </row>
    <row r="22" spans="2:24" ht="15" customHeight="1" x14ac:dyDescent="0.3">
      <c r="B22" s="11">
        <v>14</v>
      </c>
      <c r="C22" s="158"/>
      <c r="D22" s="85"/>
      <c r="E22" s="120"/>
      <c r="F22" s="46">
        <v>0</v>
      </c>
      <c r="G22" s="54">
        <v>0</v>
      </c>
      <c r="H22" s="46">
        <f t="shared" si="1"/>
        <v>0</v>
      </c>
      <c r="I22" s="36"/>
      <c r="J22" s="29"/>
      <c r="K22" s="29"/>
      <c r="L22" s="152"/>
      <c r="M22" s="153"/>
      <c r="N22" s="29"/>
      <c r="O22" s="29"/>
      <c r="P22" s="36"/>
      <c r="Q22" s="36"/>
      <c r="R22" s="29"/>
      <c r="S22" s="29"/>
      <c r="T22" s="73"/>
      <c r="U22" s="154"/>
      <c r="V22" s="16"/>
      <c r="W22" s="36"/>
      <c r="X22" s="36"/>
    </row>
    <row r="23" spans="2:24" ht="15" customHeight="1" x14ac:dyDescent="0.3">
      <c r="B23" s="11">
        <v>15</v>
      </c>
      <c r="C23" s="158"/>
      <c r="D23" s="85"/>
      <c r="E23" s="120"/>
      <c r="F23" s="46">
        <v>0</v>
      </c>
      <c r="G23" s="54">
        <v>0</v>
      </c>
      <c r="H23" s="46">
        <f t="shared" si="1"/>
        <v>0</v>
      </c>
      <c r="I23" s="36"/>
      <c r="J23" s="29"/>
      <c r="K23" s="29"/>
      <c r="L23" s="152"/>
      <c r="M23" s="153"/>
      <c r="N23" s="29"/>
      <c r="O23" s="29"/>
      <c r="P23" s="36"/>
      <c r="Q23" s="36"/>
      <c r="R23" s="29"/>
      <c r="S23" s="29"/>
      <c r="T23" s="73"/>
      <c r="U23" s="154"/>
      <c r="V23" s="16"/>
      <c r="W23" s="36"/>
      <c r="X23" s="36"/>
    </row>
    <row r="24" spans="2:24" ht="15" customHeight="1" x14ac:dyDescent="0.3">
      <c r="B24" s="11">
        <v>16</v>
      </c>
      <c r="C24" s="158"/>
      <c r="D24" s="85"/>
      <c r="E24" s="120"/>
      <c r="F24" s="46">
        <v>0</v>
      </c>
      <c r="G24" s="54">
        <v>0</v>
      </c>
      <c r="H24" s="46">
        <f t="shared" si="1"/>
        <v>0</v>
      </c>
      <c r="I24" s="36"/>
      <c r="J24" s="29"/>
      <c r="K24" s="29"/>
      <c r="L24" s="152"/>
      <c r="M24" s="153"/>
      <c r="N24" s="29"/>
      <c r="O24" s="29"/>
      <c r="P24" s="36"/>
      <c r="Q24" s="36"/>
      <c r="R24" s="29"/>
      <c r="S24" s="29"/>
      <c r="T24" s="73"/>
      <c r="U24" s="154"/>
      <c r="V24" s="16"/>
      <c r="W24" s="36"/>
      <c r="X24" s="36"/>
    </row>
    <row r="25" spans="2:24" ht="15" customHeight="1" x14ac:dyDescent="0.3">
      <c r="B25" s="11">
        <v>17</v>
      </c>
      <c r="C25" s="158"/>
      <c r="D25" s="85"/>
      <c r="E25" s="120"/>
      <c r="F25" s="46">
        <v>0</v>
      </c>
      <c r="G25" s="54">
        <v>0</v>
      </c>
      <c r="H25" s="46">
        <f t="shared" si="1"/>
        <v>0</v>
      </c>
      <c r="I25" s="36"/>
      <c r="J25" s="29"/>
      <c r="K25" s="29"/>
      <c r="L25" s="152"/>
      <c r="M25" s="153"/>
      <c r="N25" s="29"/>
      <c r="O25" s="29"/>
      <c r="P25" s="36"/>
      <c r="Q25" s="36"/>
      <c r="R25" s="29"/>
      <c r="S25" s="29"/>
      <c r="T25" s="73"/>
      <c r="U25" s="154"/>
      <c r="V25" s="16"/>
      <c r="W25" s="36"/>
      <c r="X25" s="36"/>
    </row>
    <row r="26" spans="2:24" ht="15" customHeight="1" x14ac:dyDescent="0.3">
      <c r="B26" s="11">
        <v>18</v>
      </c>
      <c r="C26" s="158"/>
      <c r="D26" s="85"/>
      <c r="E26" s="120"/>
      <c r="F26" s="46">
        <v>0</v>
      </c>
      <c r="G26" s="54">
        <v>0</v>
      </c>
      <c r="H26" s="46">
        <f t="shared" si="1"/>
        <v>0</v>
      </c>
      <c r="I26" s="36"/>
      <c r="J26" s="29"/>
      <c r="K26" s="29"/>
      <c r="L26" s="152"/>
      <c r="M26" s="153"/>
      <c r="N26" s="29"/>
      <c r="O26" s="29"/>
      <c r="P26" s="36"/>
      <c r="Q26" s="36"/>
      <c r="R26" s="29"/>
      <c r="S26" s="29"/>
      <c r="T26" s="73"/>
      <c r="U26" s="154"/>
      <c r="V26" s="16"/>
      <c r="W26" s="36"/>
      <c r="X26" s="36"/>
    </row>
    <row r="27" spans="2:24" ht="15" customHeight="1" x14ac:dyDescent="0.3">
      <c r="B27" s="11">
        <v>19</v>
      </c>
      <c r="C27" s="158"/>
      <c r="D27" s="85"/>
      <c r="E27" s="120"/>
      <c r="F27" s="46">
        <v>0</v>
      </c>
      <c r="G27" s="54">
        <v>0</v>
      </c>
      <c r="H27" s="46">
        <f t="shared" si="1"/>
        <v>0</v>
      </c>
      <c r="I27" s="36"/>
      <c r="J27" s="29"/>
      <c r="K27" s="29"/>
      <c r="L27" s="152"/>
      <c r="M27" s="153"/>
      <c r="N27" s="29"/>
      <c r="O27" s="29"/>
      <c r="P27" s="36"/>
      <c r="Q27" s="36"/>
      <c r="R27" s="29"/>
      <c r="S27" s="29"/>
      <c r="T27" s="73"/>
      <c r="U27" s="154"/>
      <c r="V27" s="16"/>
      <c r="W27" s="36"/>
      <c r="X27" s="36"/>
    </row>
    <row r="28" spans="2:24" ht="15" customHeight="1" x14ac:dyDescent="0.3">
      <c r="B28" s="11">
        <v>20</v>
      </c>
      <c r="C28" s="158"/>
      <c r="D28" s="85"/>
      <c r="E28" s="120"/>
      <c r="F28" s="46">
        <v>0</v>
      </c>
      <c r="G28" s="54">
        <v>0</v>
      </c>
      <c r="H28" s="46">
        <f t="shared" ref="H28" si="2">F28-G28</f>
        <v>0</v>
      </c>
      <c r="I28" s="36"/>
      <c r="J28" s="29"/>
      <c r="K28" s="29"/>
      <c r="L28" s="152"/>
      <c r="M28" s="153"/>
      <c r="N28" s="29"/>
      <c r="O28" s="29"/>
      <c r="P28" s="36"/>
      <c r="Q28" s="36"/>
      <c r="R28" s="29"/>
      <c r="S28" s="29"/>
      <c r="T28" s="73"/>
      <c r="U28" s="154"/>
      <c r="V28" s="16"/>
      <c r="W28" s="36"/>
      <c r="X28" s="36"/>
    </row>
    <row r="29" spans="2:24" x14ac:dyDescent="0.3">
      <c r="B29" s="11"/>
      <c r="C29" s="108"/>
      <c r="D29" s="16"/>
      <c r="E29" s="121"/>
      <c r="F29" s="46">
        <v>0</v>
      </c>
      <c r="G29" s="54">
        <v>0</v>
      </c>
      <c r="H29" s="46">
        <f t="shared" si="1"/>
        <v>0</v>
      </c>
      <c r="I29" s="36"/>
      <c r="J29" s="29"/>
      <c r="K29" s="29"/>
      <c r="L29" s="29"/>
      <c r="M29" s="153"/>
      <c r="N29" s="29"/>
      <c r="O29" s="29"/>
      <c r="P29" s="36"/>
      <c r="Q29" s="36"/>
      <c r="R29" s="29"/>
      <c r="S29" s="29"/>
      <c r="T29" s="29"/>
      <c r="U29" s="154"/>
      <c r="V29" s="16"/>
      <c r="W29" s="36"/>
      <c r="X29" s="36"/>
    </row>
    <row r="30" spans="2:24" x14ac:dyDescent="0.3">
      <c r="C30" s="104"/>
      <c r="D30" s="61"/>
      <c r="E30" s="80"/>
      <c r="F30" s="79">
        <f>SUBTOTAL(9,F9:F29)</f>
        <v>0</v>
      </c>
      <c r="G30" s="51">
        <f>SUBTOTAL(9,G9:G29)</f>
        <v>0</v>
      </c>
      <c r="H30" s="51">
        <f>SUBTOTAL(9,H9:H29)</f>
        <v>0</v>
      </c>
      <c r="I30" s="70"/>
      <c r="J30" s="17"/>
      <c r="K30" s="30">
        <f>SUBTOTAL(2,K9:K29)</f>
        <v>0</v>
      </c>
      <c r="L30" s="19"/>
      <c r="M30" s="18"/>
      <c r="N30" s="19"/>
      <c r="O30" s="19"/>
      <c r="P30" s="34"/>
      <c r="Q30" s="19"/>
      <c r="R30" s="19"/>
      <c r="S30" s="19"/>
      <c r="T30" s="19"/>
      <c r="U30" s="19"/>
      <c r="V30" s="22"/>
      <c r="W30" s="37"/>
      <c r="X30" s="37"/>
    </row>
    <row r="31" spans="2:24" x14ac:dyDescent="0.3">
      <c r="F31" s="52"/>
      <c r="G31" s="52"/>
      <c r="H31" s="52"/>
    </row>
    <row r="32" spans="2:24" x14ac:dyDescent="0.3">
      <c r="F32" s="52"/>
      <c r="G32" s="52"/>
      <c r="H32" s="52"/>
    </row>
    <row r="33" spans="3:22" ht="15" thickBot="1" x14ac:dyDescent="0.35">
      <c r="C33" s="105"/>
      <c r="D33" s="20"/>
      <c r="E33" s="28"/>
      <c r="F33" s="74">
        <f>SUM(F9:F29)</f>
        <v>0</v>
      </c>
      <c r="G33" s="74">
        <f>SUM(G9:G29)</f>
        <v>0</v>
      </c>
      <c r="H33" s="74">
        <f>SUM(H9:H29)</f>
        <v>0</v>
      </c>
      <c r="I33" s="75"/>
      <c r="J33" s="14"/>
      <c r="L33" s="14"/>
      <c r="M33" s="14"/>
      <c r="N33" s="14"/>
      <c r="O33" s="14"/>
      <c r="P33" s="35"/>
      <c r="Q33" s="14"/>
      <c r="R33" s="14"/>
      <c r="S33" s="14"/>
      <c r="T33" s="14"/>
      <c r="U33" s="14"/>
      <c r="V33" s="3"/>
    </row>
    <row r="34" spans="3:22" ht="15" thickTop="1" x14ac:dyDescent="0.3">
      <c r="M34" s="14"/>
    </row>
    <row r="37" spans="3:22" x14ac:dyDescent="0.3">
      <c r="D37" s="425" t="s">
        <v>127</v>
      </c>
      <c r="E37" s="426"/>
      <c r="F37" s="427"/>
      <c r="G37" s="8"/>
      <c r="J37" s="425" t="s">
        <v>128</v>
      </c>
      <c r="K37" s="426"/>
      <c r="L37" s="427"/>
    </row>
    <row r="38" spans="3:22" x14ac:dyDescent="0.3">
      <c r="D38" s="16" t="s">
        <v>129</v>
      </c>
      <c r="E38" s="92" t="s">
        <v>130</v>
      </c>
      <c r="F38" s="93" t="s">
        <v>131</v>
      </c>
      <c r="G38" s="91"/>
      <c r="J38" s="16" t="s">
        <v>129</v>
      </c>
      <c r="K38" s="92" t="s">
        <v>130</v>
      </c>
      <c r="L38" s="93" t="s">
        <v>131</v>
      </c>
    </row>
    <row r="39" spans="3:22" x14ac:dyDescent="0.3">
      <c r="D39" s="94">
        <f>SUMIF($V$9:$V$29,D$38,$H$9:$H$29)</f>
        <v>0</v>
      </c>
      <c r="E39" s="94">
        <f>SUMIF($V$9:$V$29,E$38,$H$9:$H$29)</f>
        <v>0</v>
      </c>
      <c r="F39" s="94">
        <f>SUMIF($V$9:$V$29,F$38,$H$9:$H$29)</f>
        <v>0</v>
      </c>
      <c r="G39" s="95">
        <f>SUM(D39:F39)</f>
        <v>0</v>
      </c>
      <c r="J39" s="94">
        <f>SUMIF($V$9:$V$27,J$38,$G$9:$G$27)</f>
        <v>0</v>
      </c>
      <c r="K39" s="94">
        <f>SUMIF($V$9:$V$27,K$38,$G$9:$G$27)</f>
        <v>0</v>
      </c>
      <c r="L39" s="94">
        <f>SUMIF($V$9:$V$27,L$38,$G$9:$G$27)</f>
        <v>0</v>
      </c>
      <c r="M39" s="118">
        <f>SUM(J39:L39)</f>
        <v>0</v>
      </c>
    </row>
    <row r="40" spans="3:22" x14ac:dyDescent="0.3">
      <c r="E40"/>
      <c r="F40"/>
      <c r="G40" s="97">
        <f>H33-G39</f>
        <v>0</v>
      </c>
      <c r="J40" s="32"/>
      <c r="L40" s="149"/>
      <c r="M40" s="97">
        <f>G33-M39</f>
        <v>0</v>
      </c>
    </row>
    <row r="41" spans="3:22" x14ac:dyDescent="0.3">
      <c r="D41" s="47"/>
      <c r="E41" s="47"/>
      <c r="G41" s="68"/>
      <c r="I41"/>
    </row>
    <row r="42" spans="3:22" x14ac:dyDescent="0.3">
      <c r="G42" s="123" t="s">
        <v>132</v>
      </c>
      <c r="H42" s="47">
        <f>F39</f>
        <v>0</v>
      </c>
      <c r="I42" s="47"/>
      <c r="J42" s="119"/>
    </row>
    <row r="43" spans="3:22" ht="15" thickBot="1" x14ac:dyDescent="0.35">
      <c r="G43" s="124" t="s">
        <v>133</v>
      </c>
      <c r="H43" s="99">
        <f>D39+E39+J39+K39+L39</f>
        <v>0</v>
      </c>
      <c r="I43" s="47"/>
      <c r="J43" s="119"/>
    </row>
    <row r="44" spans="3:22" ht="15" thickTop="1" x14ac:dyDescent="0.3">
      <c r="G44" s="123" t="s">
        <v>134</v>
      </c>
      <c r="H44" s="47">
        <f>SUM(H42:H43)</f>
        <v>0</v>
      </c>
      <c r="I44" s="47"/>
      <c r="J44" s="119"/>
    </row>
    <row r="45" spans="3:22" x14ac:dyDescent="0.3">
      <c r="H45" s="97">
        <f>F33-H44</f>
        <v>0</v>
      </c>
      <c r="I45" s="47"/>
    </row>
    <row r="46" spans="3:22" x14ac:dyDescent="0.3">
      <c r="H46" s="97"/>
      <c r="I46" s="47"/>
    </row>
    <row r="48" spans="3:22" x14ac:dyDescent="0.3">
      <c r="G48" s="169" t="s">
        <v>144</v>
      </c>
      <c r="H48" s="169" t="s">
        <v>13</v>
      </c>
      <c r="I48" s="223" t="s">
        <v>28</v>
      </c>
      <c r="J48" s="39" t="s">
        <v>84</v>
      </c>
    </row>
    <row r="49" spans="7:10" x14ac:dyDescent="0.3">
      <c r="G49" s="47" t="s">
        <v>30</v>
      </c>
      <c r="H49" s="47">
        <f>SUMIF($J$9:$J$29,G49,$F$9:$F$29)</f>
        <v>0</v>
      </c>
      <c r="I49" s="224">
        <f>SUMIFS($H$9:$H$29,$J$9:$J$29,G49,$V$9:$V$29,"YES")</f>
        <v>0</v>
      </c>
      <c r="J49" s="146">
        <f>H49-I49</f>
        <v>0</v>
      </c>
    </row>
    <row r="50" spans="7:10" x14ac:dyDescent="0.3">
      <c r="G50" s="47" t="s">
        <v>31</v>
      </c>
      <c r="H50" s="47">
        <f>SUMIF($J$9:$J$29,G50,$F$9:$F$29)</f>
        <v>0</v>
      </c>
      <c r="I50" s="224">
        <f>SUMIFS($H$9:$H$29,$J$9:$J$29,G50,$V$9:$V$29,"YES")</f>
        <v>0</v>
      </c>
      <c r="J50" s="146">
        <f t="shared" ref="J50:J51" si="3">H50-I50</f>
        <v>0</v>
      </c>
    </row>
    <row r="51" spans="7:10" ht="15" thickBot="1" x14ac:dyDescent="0.35">
      <c r="G51" s="288" t="s">
        <v>163</v>
      </c>
      <c r="H51" s="99">
        <f>SUMIF($J$9:$J$29,G51,$F$9:$F$29)</f>
        <v>0</v>
      </c>
      <c r="I51" s="225">
        <f>SUMIFS($H$9:$H$29,$J$9:$J$29,G51,$V$9:$V$29,"YES")</f>
        <v>0</v>
      </c>
      <c r="J51" s="226">
        <f t="shared" si="3"/>
        <v>0</v>
      </c>
    </row>
    <row r="52" spans="7:10" ht="15" thickTop="1" x14ac:dyDescent="0.3">
      <c r="H52" s="47">
        <f>SUM(H49:H51)</f>
        <v>0</v>
      </c>
      <c r="I52" s="227">
        <f>SUM(I49:I51)</f>
        <v>0</v>
      </c>
      <c r="J52" s="47">
        <f>SUM(J49:J51)</f>
        <v>0</v>
      </c>
    </row>
    <row r="53" spans="7:10" x14ac:dyDescent="0.3">
      <c r="H53" s="96">
        <f>H52-H44</f>
        <v>0</v>
      </c>
      <c r="I53" s="96">
        <f>I52-H42</f>
        <v>0</v>
      </c>
      <c r="J53" s="96">
        <f>J52-H43</f>
        <v>0</v>
      </c>
    </row>
  </sheetData>
  <autoFilter ref="B8:X29" xr:uid="{2B5BFAD9-C4D9-44D6-BEDC-4166A2B88E9F}"/>
  <dataConsolidate/>
  <mergeCells count="3">
    <mergeCell ref="B1:Z1"/>
    <mergeCell ref="D37:F37"/>
    <mergeCell ref="J37:L37"/>
  </mergeCells>
  <conditionalFormatting sqref="D38">
    <cfRule type="cellIs" dxfId="27" priority="12" operator="equal">
      <formula>"NO-OOS"</formula>
    </cfRule>
    <cfRule type="cellIs" dxfId="26" priority="13" operator="equal">
      <formula>"NO-CO"</formula>
    </cfRule>
    <cfRule type="cellIs" dxfId="25" priority="14" operator="equal">
      <formula>"YES"</formula>
    </cfRule>
    <cfRule type="cellIs" dxfId="24" priority="15" operator="equal">
      <formula>"NO"</formula>
    </cfRule>
  </conditionalFormatting>
  <conditionalFormatting sqref="J38">
    <cfRule type="cellIs" dxfId="23" priority="7" operator="equal">
      <formula>"NO-OOS"</formula>
    </cfRule>
    <cfRule type="cellIs" dxfId="22" priority="8" operator="equal">
      <formula>"NO-CO"</formula>
    </cfRule>
    <cfRule type="cellIs" dxfId="21" priority="9" operator="equal">
      <formula>"YES"</formula>
    </cfRule>
    <cfRule type="cellIs" dxfId="20" priority="10" operator="equal">
      <formula>"NO"</formula>
    </cfRule>
  </conditionalFormatting>
  <conditionalFormatting sqref="M9:M29">
    <cfRule type="cellIs" dxfId="19" priority="4" operator="equal">
      <formula>"N/A"</formula>
    </cfRule>
    <cfRule type="cellIs" dxfId="18" priority="5" operator="equal">
      <formula>"YES"</formula>
    </cfRule>
    <cfRule type="cellIs" dxfId="17" priority="6" operator="equal">
      <formula>"NO"</formula>
    </cfRule>
  </conditionalFormatting>
  <conditionalFormatting sqref="V9:V29">
    <cfRule type="cellIs" dxfId="16" priority="1" operator="equal">
      <formula>"NO-OOS"</formula>
    </cfRule>
    <cfRule type="cellIs" dxfId="15" priority="2" operator="equal">
      <formula>"NO-TX"</formula>
    </cfRule>
    <cfRule type="cellIs" dxfId="14" priority="3" operator="equal">
      <formula>"YES"</formula>
    </cfRule>
  </conditionalFormatting>
  <hyperlinks>
    <hyperlink ref="F33" location="'Comm Summary'!A1" display="'Comm Summary'!A1" xr:uid="{EE82AD88-4A11-44CA-A685-4E9B9BC9B68C}"/>
  </hyperlinks>
  <pageMargins left="0.45" right="0.45" top="0.75" bottom="0.75" header="0.3" footer="0.3"/>
  <pageSetup scale="2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CBB3EBA-3292-48AB-BF79-D9F6FD9506E7}">
          <x14:formula1>
            <xm:f>Legend!$E$2:$E$4</xm:f>
          </x14:formula1>
          <xm:sqref>V9:V29</xm:sqref>
        </x14:dataValidation>
        <x14:dataValidation type="list" allowBlank="1" showInputMessage="1" showErrorMessage="1" xr:uid="{C6655B5C-1903-40B9-AA09-4B31983579AF}">
          <x14:formula1>
            <xm:f>Legend!$C$2:$C$4</xm:f>
          </x14:formula1>
          <xm:sqref>M9:M29</xm:sqref>
        </x14:dataValidation>
        <x14:dataValidation type="list" allowBlank="1" showInputMessage="1" showErrorMessage="1" xr:uid="{5D65C03D-826B-49AC-8FCD-045FACEEC8A7}">
          <x14:formula1>
            <xm:f>Legend!$F$2:$F$5</xm:f>
          </x14:formula1>
          <xm:sqref>O9:O29</xm:sqref>
        </x14:dataValidation>
        <x14:dataValidation type="list" allowBlank="1" showInputMessage="1" showErrorMessage="1" xr:uid="{66F42891-AB36-4562-A25F-FBC67794D4F3}">
          <x14:formula1>
            <xm:f>Legend!$H$2:$H$11</xm:f>
          </x14:formula1>
          <xm:sqref>N9:N29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2B05B-8BE3-4803-A86A-77A6ADEB98BF}">
  <sheetPr>
    <tabColor theme="8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O6" sqref="O6"/>
    </sheetView>
  </sheetViews>
  <sheetFormatPr defaultColWidth="8.88671875" defaultRowHeight="14.4" x14ac:dyDescent="0.3"/>
  <cols>
    <col min="1" max="1" width="2.5546875" customWidth="1"/>
    <col min="2" max="2" width="8.88671875" style="9"/>
    <col min="3" max="3" width="16.5546875" style="109" customWidth="1"/>
    <col min="4" max="4" width="22" style="8" bestFit="1" customWidth="1"/>
    <col min="5" max="5" width="16.44140625" style="27" customWidth="1"/>
    <col min="6" max="6" width="20.109375" style="47" customWidth="1"/>
    <col min="7" max="7" width="18.109375" style="47" customWidth="1"/>
    <col min="8" max="8" width="18.5546875" style="47" customWidth="1"/>
    <col min="9" max="9" width="37" style="68" bestFit="1" customWidth="1"/>
    <col min="10" max="10" width="17.33203125" style="8" customWidth="1"/>
    <col min="11" max="11" width="12.6640625" style="8" customWidth="1"/>
    <col min="12" max="12" width="18.5546875" style="8" customWidth="1"/>
    <col min="13" max="13" width="19.5546875" style="8" customWidth="1"/>
    <col min="14" max="14" width="19.109375" style="8" customWidth="1"/>
    <col min="15" max="15" width="13.88671875" style="8" customWidth="1"/>
    <col min="16" max="16" width="51" style="32" customWidth="1"/>
    <col min="17" max="17" width="28.33203125" style="8" customWidth="1"/>
    <col min="18" max="18" width="18.109375" style="8" customWidth="1"/>
    <col min="19" max="19" width="9.33203125" style="8" customWidth="1"/>
    <col min="20" max="20" width="8.33203125" style="8" customWidth="1"/>
    <col min="21" max="21" width="19.33203125" style="8" customWidth="1"/>
    <col min="22" max="22" width="15.5546875" customWidth="1"/>
    <col min="23" max="23" width="55" style="32" customWidth="1"/>
    <col min="24" max="24" width="23.109375" style="32" customWidth="1"/>
  </cols>
  <sheetData>
    <row r="1" spans="2:27" ht="15.6" x14ac:dyDescent="0.3"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  <c r="Y1" s="428"/>
      <c r="Z1" s="428"/>
    </row>
    <row r="2" spans="2:27" ht="15.6" x14ac:dyDescent="0.3">
      <c r="B2" s="116"/>
      <c r="C2" s="116"/>
      <c r="D2" s="116"/>
      <c r="E2" s="2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31"/>
      <c r="R2" s="116"/>
      <c r="S2" s="116"/>
      <c r="T2" s="116"/>
      <c r="U2" s="116"/>
      <c r="V2" s="31"/>
      <c r="W2" s="31"/>
      <c r="X2" s="31"/>
      <c r="Y2" s="116"/>
      <c r="Z2" s="31"/>
    </row>
    <row r="3" spans="2:27" x14ac:dyDescent="0.3">
      <c r="C3" s="9"/>
      <c r="D3" s="15"/>
      <c r="E3" s="23"/>
      <c r="F3"/>
      <c r="G3"/>
      <c r="H3"/>
      <c r="I3"/>
      <c r="P3"/>
      <c r="Q3" s="32"/>
      <c r="V3" s="32"/>
      <c r="Z3" s="32"/>
    </row>
    <row r="4" spans="2:27" ht="18" x14ac:dyDescent="0.35">
      <c r="C4" s="9"/>
      <c r="D4" s="15"/>
      <c r="E4" s="4"/>
      <c r="F4"/>
      <c r="G4"/>
      <c r="H4"/>
      <c r="I4"/>
      <c r="L4" s="115"/>
      <c r="M4" s="181"/>
      <c r="N4" s="181"/>
      <c r="P4" s="4"/>
      <c r="Q4" s="4"/>
      <c r="R4" s="115"/>
      <c r="S4" s="115"/>
      <c r="T4" s="115"/>
      <c r="U4" s="115"/>
      <c r="V4" s="4"/>
      <c r="W4" s="4"/>
      <c r="X4" s="4"/>
      <c r="Y4" s="4"/>
      <c r="Z4" s="4"/>
      <c r="AA4" s="4"/>
    </row>
    <row r="5" spans="2:27" ht="18" x14ac:dyDescent="0.35">
      <c r="C5" s="9"/>
      <c r="D5" s="15"/>
      <c r="E5" s="4"/>
      <c r="F5"/>
      <c r="G5"/>
      <c r="H5"/>
      <c r="I5"/>
      <c r="L5" s="115"/>
      <c r="M5" s="181"/>
      <c r="N5" s="181"/>
      <c r="P5" s="4"/>
      <c r="Q5" s="4"/>
      <c r="R5" s="115"/>
      <c r="S5" s="115"/>
      <c r="T5" s="115"/>
      <c r="U5" s="115"/>
      <c r="V5" s="4"/>
      <c r="W5" s="4"/>
      <c r="X5" s="4"/>
      <c r="Y5" s="4"/>
      <c r="Z5" s="4"/>
      <c r="AA5" s="4"/>
    </row>
    <row r="7" spans="2:27" x14ac:dyDescent="0.3">
      <c r="D7" s="220" t="s">
        <v>184</v>
      </c>
      <c r="E7" s="184" t="s">
        <v>184</v>
      </c>
      <c r="H7" s="221" t="s">
        <v>184</v>
      </c>
      <c r="I7" s="222" t="s">
        <v>184</v>
      </c>
      <c r="K7" s="220" t="s">
        <v>184</v>
      </c>
      <c r="L7" s="220" t="s">
        <v>184</v>
      </c>
    </row>
    <row r="8" spans="2:27" s="7" customFormat="1" ht="18.75" customHeight="1" x14ac:dyDescent="0.3">
      <c r="B8" s="10" t="s">
        <v>85</v>
      </c>
      <c r="C8" s="81" t="s">
        <v>137</v>
      </c>
      <c r="D8" s="12" t="s">
        <v>124</v>
      </c>
      <c r="E8" s="26" t="s">
        <v>86</v>
      </c>
      <c r="F8" s="50" t="s">
        <v>154</v>
      </c>
      <c r="G8" s="53" t="s">
        <v>133</v>
      </c>
      <c r="H8" s="50" t="s">
        <v>155</v>
      </c>
      <c r="I8" s="69" t="s">
        <v>156</v>
      </c>
      <c r="J8" s="12" t="s">
        <v>144</v>
      </c>
      <c r="K8" s="12" t="s">
        <v>145</v>
      </c>
      <c r="L8" s="12" t="s">
        <v>157</v>
      </c>
      <c r="M8" s="12" t="s">
        <v>146</v>
      </c>
      <c r="N8" s="12" t="s">
        <v>111</v>
      </c>
      <c r="O8" s="12" t="s">
        <v>147</v>
      </c>
      <c r="P8" s="12" t="s">
        <v>148</v>
      </c>
      <c r="Q8" s="12" t="s">
        <v>149</v>
      </c>
      <c r="R8" s="12" t="s">
        <v>150</v>
      </c>
      <c r="S8" s="12" t="s">
        <v>116</v>
      </c>
      <c r="T8" s="12" t="s">
        <v>117</v>
      </c>
      <c r="U8" s="12" t="s">
        <v>151</v>
      </c>
      <c r="V8" s="12" t="s">
        <v>113</v>
      </c>
      <c r="W8" s="33" t="s">
        <v>118</v>
      </c>
      <c r="X8" s="12" t="s">
        <v>198</v>
      </c>
    </row>
    <row r="9" spans="2:27" x14ac:dyDescent="0.3">
      <c r="B9" s="11">
        <v>1</v>
      </c>
      <c r="C9" s="158"/>
      <c r="D9"/>
      <c r="E9" s="120"/>
      <c r="F9" s="46">
        <v>0</v>
      </c>
      <c r="G9" s="54">
        <v>0</v>
      </c>
      <c r="H9" s="46">
        <f t="shared" ref="H9:H29" si="0">F9-G9</f>
        <v>0</v>
      </c>
      <c r="I9" s="36"/>
      <c r="J9" s="29"/>
      <c r="K9" s="29"/>
      <c r="L9" s="152"/>
      <c r="M9" s="153"/>
      <c r="N9" s="29"/>
      <c r="O9" s="29"/>
      <c r="P9" s="36"/>
      <c r="Q9" s="36"/>
      <c r="R9" s="29"/>
      <c r="S9" s="29"/>
      <c r="T9" s="29"/>
      <c r="U9" s="154"/>
      <c r="V9" s="16"/>
      <c r="W9" s="36"/>
      <c r="X9" s="29"/>
    </row>
    <row r="10" spans="2:27" ht="15" customHeight="1" x14ac:dyDescent="0.3">
      <c r="B10" s="11">
        <v>2</v>
      </c>
      <c r="C10" s="158"/>
      <c r="D10" s="190"/>
      <c r="E10" s="120"/>
      <c r="F10" s="46">
        <v>0</v>
      </c>
      <c r="G10" s="54">
        <v>0</v>
      </c>
      <c r="H10" s="46">
        <f t="shared" si="0"/>
        <v>0</v>
      </c>
      <c r="I10" s="36"/>
      <c r="J10" s="29"/>
      <c r="K10" s="29"/>
      <c r="L10" s="152"/>
      <c r="M10" s="153"/>
      <c r="N10" s="29"/>
      <c r="O10" s="29"/>
      <c r="P10" s="36"/>
      <c r="Q10" s="36"/>
      <c r="R10" s="29"/>
      <c r="S10" s="29"/>
      <c r="T10" s="29"/>
      <c r="U10" s="154"/>
      <c r="V10" s="16"/>
      <c r="W10" s="36"/>
      <c r="X10" s="29"/>
    </row>
    <row r="11" spans="2:27" ht="15" customHeight="1" x14ac:dyDescent="0.3">
      <c r="B11" s="11">
        <v>3</v>
      </c>
      <c r="C11" s="158"/>
      <c r="D11" s="189"/>
      <c r="E11" s="120"/>
      <c r="F11" s="46">
        <v>0</v>
      </c>
      <c r="G11" s="54">
        <v>0</v>
      </c>
      <c r="H11" s="46">
        <f t="shared" si="0"/>
        <v>0</v>
      </c>
      <c r="I11" s="36"/>
      <c r="J11" s="29"/>
      <c r="K11" s="29"/>
      <c r="L11" s="152"/>
      <c r="M11" s="153"/>
      <c r="N11" s="29"/>
      <c r="O11" s="29"/>
      <c r="P11" s="36"/>
      <c r="Q11" s="36"/>
      <c r="R11" s="29"/>
      <c r="S11" s="29"/>
      <c r="T11" s="29"/>
      <c r="U11" s="154"/>
      <c r="V11" s="16"/>
      <c r="W11" s="36"/>
      <c r="X11" s="29"/>
    </row>
    <row r="12" spans="2:27" x14ac:dyDescent="0.3">
      <c r="B12" s="11">
        <v>4</v>
      </c>
      <c r="C12" s="158"/>
      <c r="D12" s="86"/>
      <c r="E12" s="120"/>
      <c r="F12" s="46">
        <v>0</v>
      </c>
      <c r="G12" s="54">
        <v>0</v>
      </c>
      <c r="H12" s="46">
        <f t="shared" si="0"/>
        <v>0</v>
      </c>
      <c r="I12" s="36"/>
      <c r="J12" s="29"/>
      <c r="K12" s="29"/>
      <c r="L12" s="152"/>
      <c r="M12" s="153"/>
      <c r="N12" s="29"/>
      <c r="O12" s="29"/>
      <c r="P12" s="36"/>
      <c r="Q12" s="36"/>
      <c r="R12" s="29"/>
      <c r="S12" s="29"/>
      <c r="T12" s="29"/>
      <c r="U12" s="154"/>
      <c r="V12" s="16"/>
      <c r="W12" s="36"/>
      <c r="X12" s="36"/>
    </row>
    <row r="13" spans="2:27" ht="15" customHeight="1" x14ac:dyDescent="0.3">
      <c r="B13" s="11">
        <v>5</v>
      </c>
      <c r="C13" s="158"/>
      <c r="D13" s="86"/>
      <c r="E13" s="120"/>
      <c r="F13" s="46">
        <v>0</v>
      </c>
      <c r="G13" s="54">
        <v>0</v>
      </c>
      <c r="H13" s="46">
        <f t="shared" si="0"/>
        <v>0</v>
      </c>
      <c r="I13" s="36"/>
      <c r="J13" s="29"/>
      <c r="K13" s="29"/>
      <c r="L13" s="152"/>
      <c r="M13" s="153"/>
      <c r="N13" s="29"/>
      <c r="O13" s="29"/>
      <c r="P13" s="36"/>
      <c r="Q13" s="36"/>
      <c r="R13" s="29"/>
      <c r="S13" s="29"/>
      <c r="T13" s="29"/>
      <c r="U13" s="154"/>
      <c r="V13" s="16"/>
      <c r="W13" s="36"/>
      <c r="X13" s="36"/>
    </row>
    <row r="14" spans="2:27" x14ac:dyDescent="0.3">
      <c r="B14" s="11">
        <v>6</v>
      </c>
      <c r="C14" s="158"/>
      <c r="D14" s="84"/>
      <c r="E14" s="120"/>
      <c r="F14" s="46">
        <v>0</v>
      </c>
      <c r="G14" s="54">
        <v>0</v>
      </c>
      <c r="H14" s="46">
        <f t="shared" si="0"/>
        <v>0</v>
      </c>
      <c r="I14" s="36"/>
      <c r="J14" s="29"/>
      <c r="K14" s="29"/>
      <c r="L14" s="152"/>
      <c r="M14" s="153"/>
      <c r="N14" s="29"/>
      <c r="O14" s="29"/>
      <c r="P14" s="36"/>
      <c r="Q14" s="36"/>
      <c r="R14" s="29"/>
      <c r="S14" s="29"/>
      <c r="T14" s="29"/>
      <c r="U14" s="154"/>
      <c r="V14" s="16"/>
      <c r="W14" s="36"/>
      <c r="X14" s="36"/>
    </row>
    <row r="15" spans="2:27" x14ac:dyDescent="0.3">
      <c r="B15" s="11">
        <v>7</v>
      </c>
      <c r="C15" s="158"/>
      <c r="D15" s="84"/>
      <c r="E15" s="120"/>
      <c r="F15" s="46">
        <v>0</v>
      </c>
      <c r="G15" s="54">
        <v>0</v>
      </c>
      <c r="H15" s="46">
        <f t="shared" si="0"/>
        <v>0</v>
      </c>
      <c r="I15" s="36"/>
      <c r="J15" s="29"/>
      <c r="K15" s="29"/>
      <c r="L15" s="152"/>
      <c r="M15" s="153"/>
      <c r="N15" s="29"/>
      <c r="O15" s="29"/>
      <c r="P15" s="36"/>
      <c r="Q15" s="36"/>
      <c r="R15" s="29"/>
      <c r="S15" s="29"/>
      <c r="T15" s="29"/>
      <c r="U15" s="154"/>
      <c r="V15" s="16"/>
      <c r="W15" s="36"/>
      <c r="X15" s="36"/>
    </row>
    <row r="16" spans="2:27" ht="15" customHeight="1" x14ac:dyDescent="0.3">
      <c r="B16" s="11">
        <v>8</v>
      </c>
      <c r="C16" s="158"/>
      <c r="D16" s="85"/>
      <c r="E16" s="120"/>
      <c r="F16" s="46">
        <v>0</v>
      </c>
      <c r="G16" s="54">
        <v>0</v>
      </c>
      <c r="H16" s="46">
        <f t="shared" si="0"/>
        <v>0</v>
      </c>
      <c r="I16" s="36"/>
      <c r="J16" s="29"/>
      <c r="K16" s="29"/>
      <c r="L16" s="152"/>
      <c r="M16" s="153"/>
      <c r="N16" s="29"/>
      <c r="O16" s="29"/>
      <c r="P16" s="36"/>
      <c r="Q16" s="36"/>
      <c r="R16" s="29"/>
      <c r="S16" s="29"/>
      <c r="T16" s="29"/>
      <c r="U16" s="154"/>
      <c r="V16" s="16"/>
      <c r="W16" s="36"/>
      <c r="X16" s="36"/>
    </row>
    <row r="17" spans="2:24" x14ac:dyDescent="0.3">
      <c r="B17" s="11">
        <v>9</v>
      </c>
      <c r="C17" s="158"/>
      <c r="D17" s="85"/>
      <c r="E17" s="120"/>
      <c r="F17" s="46">
        <v>0</v>
      </c>
      <c r="G17" s="54">
        <v>0</v>
      </c>
      <c r="H17" s="46">
        <f t="shared" si="0"/>
        <v>0</v>
      </c>
      <c r="I17" s="36"/>
      <c r="J17" s="29"/>
      <c r="K17" s="29"/>
      <c r="L17" s="152"/>
      <c r="M17" s="153"/>
      <c r="N17" s="29"/>
      <c r="O17" s="29"/>
      <c r="P17" s="36"/>
      <c r="Q17" s="36"/>
      <c r="R17" s="29"/>
      <c r="S17" s="29"/>
      <c r="T17" s="29"/>
      <c r="U17" s="154"/>
      <c r="V17" s="16"/>
      <c r="W17" s="36"/>
      <c r="X17" s="36"/>
    </row>
    <row r="18" spans="2:24" x14ac:dyDescent="0.3">
      <c r="B18" s="11">
        <v>10</v>
      </c>
      <c r="C18" s="158"/>
      <c r="D18" s="85"/>
      <c r="E18" s="120"/>
      <c r="F18" s="46">
        <v>0</v>
      </c>
      <c r="G18" s="54">
        <v>0</v>
      </c>
      <c r="H18" s="46">
        <f t="shared" si="0"/>
        <v>0</v>
      </c>
      <c r="I18" s="36"/>
      <c r="J18" s="29"/>
      <c r="K18" s="29"/>
      <c r="L18" s="152"/>
      <c r="M18" s="153"/>
      <c r="N18" s="29"/>
      <c r="O18" s="29"/>
      <c r="P18" s="36"/>
      <c r="Q18" s="36"/>
      <c r="R18" s="29"/>
      <c r="S18" s="29"/>
      <c r="T18" s="73"/>
      <c r="U18" s="154"/>
      <c r="V18" s="16"/>
      <c r="W18" s="36"/>
      <c r="X18" s="36"/>
    </row>
    <row r="19" spans="2:24" ht="15" customHeight="1" x14ac:dyDescent="0.3">
      <c r="B19" s="11">
        <v>11</v>
      </c>
      <c r="C19" s="158"/>
      <c r="D19" s="85"/>
      <c r="E19" s="120"/>
      <c r="F19" s="46">
        <v>0</v>
      </c>
      <c r="G19" s="54">
        <v>0</v>
      </c>
      <c r="H19" s="46">
        <f t="shared" si="0"/>
        <v>0</v>
      </c>
      <c r="I19" s="36"/>
      <c r="J19" s="29"/>
      <c r="K19" s="29"/>
      <c r="L19" s="152"/>
      <c r="M19" s="153"/>
      <c r="N19" s="29"/>
      <c r="O19" s="29"/>
      <c r="P19" s="36"/>
      <c r="Q19" s="36"/>
      <c r="R19" s="29"/>
      <c r="S19" s="29"/>
      <c r="T19" s="73"/>
      <c r="U19" s="154"/>
      <c r="V19" s="16"/>
      <c r="W19" s="36"/>
      <c r="X19" s="36"/>
    </row>
    <row r="20" spans="2:24" ht="15" customHeight="1" x14ac:dyDescent="0.3">
      <c r="B20" s="11">
        <v>12</v>
      </c>
      <c r="C20" s="158"/>
      <c r="D20" s="72"/>
      <c r="E20" s="120"/>
      <c r="F20" s="46">
        <v>0</v>
      </c>
      <c r="G20" s="54">
        <v>0</v>
      </c>
      <c r="H20" s="46">
        <f t="shared" si="0"/>
        <v>0</v>
      </c>
      <c r="I20" s="36"/>
      <c r="J20" s="29"/>
      <c r="K20" s="29"/>
      <c r="L20" s="152"/>
      <c r="M20" s="153"/>
      <c r="N20" s="29"/>
      <c r="O20" s="29"/>
      <c r="P20" s="36"/>
      <c r="Q20" s="36"/>
      <c r="R20" s="29"/>
      <c r="S20" s="29"/>
      <c r="T20" s="73"/>
      <c r="U20" s="154"/>
      <c r="V20" s="16"/>
      <c r="W20" s="36"/>
      <c r="X20" s="36"/>
    </row>
    <row r="21" spans="2:24" ht="15" customHeight="1" x14ac:dyDescent="0.3">
      <c r="B21" s="11">
        <v>13</v>
      </c>
      <c r="C21" s="158"/>
      <c r="D21" s="85"/>
      <c r="E21" s="120"/>
      <c r="F21" s="46">
        <v>0</v>
      </c>
      <c r="G21" s="54">
        <v>0</v>
      </c>
      <c r="H21" s="46">
        <f t="shared" si="0"/>
        <v>0</v>
      </c>
      <c r="I21" s="36"/>
      <c r="J21" s="29"/>
      <c r="K21" s="29"/>
      <c r="L21" s="152"/>
      <c r="M21" s="153"/>
      <c r="N21" s="29"/>
      <c r="O21" s="29"/>
      <c r="P21" s="36"/>
      <c r="Q21" s="36"/>
      <c r="R21" s="29"/>
      <c r="S21" s="29"/>
      <c r="T21" s="73"/>
      <c r="U21" s="154"/>
      <c r="V21" s="16"/>
      <c r="W21" s="36"/>
      <c r="X21" s="36"/>
    </row>
    <row r="22" spans="2:24" ht="15" customHeight="1" x14ac:dyDescent="0.3">
      <c r="B22" s="11">
        <v>14</v>
      </c>
      <c r="C22" s="158"/>
      <c r="D22" s="85"/>
      <c r="E22" s="120"/>
      <c r="F22" s="46">
        <v>0</v>
      </c>
      <c r="G22" s="54">
        <v>0</v>
      </c>
      <c r="H22" s="46">
        <f t="shared" si="0"/>
        <v>0</v>
      </c>
      <c r="I22" s="36"/>
      <c r="J22" s="29"/>
      <c r="K22" s="29"/>
      <c r="L22" s="152"/>
      <c r="M22" s="153"/>
      <c r="N22" s="29"/>
      <c r="O22" s="29"/>
      <c r="P22" s="36"/>
      <c r="Q22" s="36"/>
      <c r="R22" s="29"/>
      <c r="S22" s="29"/>
      <c r="T22" s="73"/>
      <c r="U22" s="154"/>
      <c r="V22" s="16"/>
      <c r="W22" s="36"/>
      <c r="X22" s="36"/>
    </row>
    <row r="23" spans="2:24" ht="15" customHeight="1" x14ac:dyDescent="0.3">
      <c r="B23" s="11">
        <v>15</v>
      </c>
      <c r="C23" s="158"/>
      <c r="D23" s="85"/>
      <c r="E23" s="120"/>
      <c r="F23" s="46">
        <v>0</v>
      </c>
      <c r="G23" s="54">
        <v>0</v>
      </c>
      <c r="H23" s="46">
        <f t="shared" si="0"/>
        <v>0</v>
      </c>
      <c r="I23" s="36"/>
      <c r="J23" s="29"/>
      <c r="K23" s="29"/>
      <c r="L23" s="152"/>
      <c r="M23" s="153"/>
      <c r="N23" s="29"/>
      <c r="O23" s="29"/>
      <c r="P23" s="36"/>
      <c r="Q23" s="36"/>
      <c r="R23" s="29"/>
      <c r="S23" s="29"/>
      <c r="T23" s="73"/>
      <c r="U23" s="154"/>
      <c r="V23" s="16"/>
      <c r="W23" s="36"/>
      <c r="X23" s="36"/>
    </row>
    <row r="24" spans="2:24" ht="15" customHeight="1" x14ac:dyDescent="0.3">
      <c r="B24" s="11">
        <v>16</v>
      </c>
      <c r="C24" s="158"/>
      <c r="D24" s="85"/>
      <c r="E24" s="120"/>
      <c r="F24" s="46">
        <v>0</v>
      </c>
      <c r="G24" s="54">
        <v>0</v>
      </c>
      <c r="H24" s="46">
        <f t="shared" si="0"/>
        <v>0</v>
      </c>
      <c r="I24" s="36"/>
      <c r="J24" s="29"/>
      <c r="K24" s="29"/>
      <c r="L24" s="152"/>
      <c r="M24" s="153"/>
      <c r="N24" s="29"/>
      <c r="O24" s="29"/>
      <c r="P24" s="36"/>
      <c r="Q24" s="36"/>
      <c r="R24" s="29"/>
      <c r="S24" s="29"/>
      <c r="T24" s="73"/>
      <c r="U24" s="154"/>
      <c r="V24" s="16"/>
      <c r="W24" s="36"/>
      <c r="X24" s="36"/>
    </row>
    <row r="25" spans="2:24" ht="15" customHeight="1" x14ac:dyDescent="0.3">
      <c r="B25" s="11">
        <v>17</v>
      </c>
      <c r="C25" s="158"/>
      <c r="D25" s="85"/>
      <c r="E25" s="120"/>
      <c r="F25" s="46">
        <v>0</v>
      </c>
      <c r="G25" s="54">
        <v>0</v>
      </c>
      <c r="H25" s="46">
        <f t="shared" si="0"/>
        <v>0</v>
      </c>
      <c r="I25" s="36"/>
      <c r="J25" s="29"/>
      <c r="K25" s="29"/>
      <c r="L25" s="152"/>
      <c r="M25" s="153"/>
      <c r="N25" s="29"/>
      <c r="O25" s="29"/>
      <c r="P25" s="36"/>
      <c r="Q25" s="36"/>
      <c r="R25" s="29"/>
      <c r="S25" s="29"/>
      <c r="T25" s="73"/>
      <c r="U25" s="154"/>
      <c r="V25" s="16"/>
      <c r="W25" s="36"/>
      <c r="X25" s="36"/>
    </row>
    <row r="26" spans="2:24" ht="15" customHeight="1" x14ac:dyDescent="0.3">
      <c r="B26" s="11">
        <v>18</v>
      </c>
      <c r="C26" s="158"/>
      <c r="D26" s="85"/>
      <c r="E26" s="120"/>
      <c r="F26" s="46">
        <v>0</v>
      </c>
      <c r="G26" s="54">
        <v>0</v>
      </c>
      <c r="H26" s="46">
        <f t="shared" si="0"/>
        <v>0</v>
      </c>
      <c r="I26" s="36"/>
      <c r="J26" s="29"/>
      <c r="K26" s="29"/>
      <c r="L26" s="152"/>
      <c r="M26" s="153"/>
      <c r="N26" s="29"/>
      <c r="O26" s="29"/>
      <c r="P26" s="36"/>
      <c r="Q26" s="36"/>
      <c r="R26" s="29"/>
      <c r="S26" s="29"/>
      <c r="T26" s="73"/>
      <c r="U26" s="154"/>
      <c r="V26" s="16"/>
      <c r="W26" s="36"/>
      <c r="X26" s="36"/>
    </row>
    <row r="27" spans="2:24" ht="15" customHeight="1" x14ac:dyDescent="0.3">
      <c r="B27" s="11">
        <v>19</v>
      </c>
      <c r="C27" s="158"/>
      <c r="D27" s="85"/>
      <c r="E27" s="120"/>
      <c r="F27" s="46">
        <v>0</v>
      </c>
      <c r="G27" s="54">
        <v>0</v>
      </c>
      <c r="H27" s="46">
        <f t="shared" si="0"/>
        <v>0</v>
      </c>
      <c r="I27" s="36"/>
      <c r="J27" s="29"/>
      <c r="K27" s="29"/>
      <c r="L27" s="152"/>
      <c r="M27" s="153"/>
      <c r="N27" s="29"/>
      <c r="O27" s="29"/>
      <c r="P27" s="36"/>
      <c r="Q27" s="36"/>
      <c r="R27" s="29"/>
      <c r="S27" s="29"/>
      <c r="T27" s="73"/>
      <c r="U27" s="154"/>
      <c r="V27" s="16"/>
      <c r="W27" s="36"/>
      <c r="X27" s="36"/>
    </row>
    <row r="28" spans="2:24" ht="15" customHeight="1" x14ac:dyDescent="0.3">
      <c r="B28" s="11">
        <v>20</v>
      </c>
      <c r="C28" s="158"/>
      <c r="D28" s="85"/>
      <c r="E28" s="120"/>
      <c r="F28" s="46">
        <v>0</v>
      </c>
      <c r="G28" s="54">
        <v>0</v>
      </c>
      <c r="H28" s="46">
        <f t="shared" si="0"/>
        <v>0</v>
      </c>
      <c r="I28" s="36"/>
      <c r="J28" s="29"/>
      <c r="K28" s="29"/>
      <c r="L28" s="152"/>
      <c r="M28" s="153"/>
      <c r="N28" s="29"/>
      <c r="O28" s="29"/>
      <c r="P28" s="36"/>
      <c r="Q28" s="36"/>
      <c r="R28" s="29"/>
      <c r="S28" s="29"/>
      <c r="T28" s="73"/>
      <c r="U28" s="154"/>
      <c r="V28" s="16"/>
      <c r="W28" s="36"/>
      <c r="X28" s="36"/>
    </row>
    <row r="29" spans="2:24" x14ac:dyDescent="0.3">
      <c r="B29" s="11"/>
      <c r="C29" s="108"/>
      <c r="D29" s="16"/>
      <c r="E29" s="121"/>
      <c r="F29" s="46">
        <v>0</v>
      </c>
      <c r="G29" s="54">
        <v>0</v>
      </c>
      <c r="H29" s="46">
        <f t="shared" si="0"/>
        <v>0</v>
      </c>
      <c r="I29" s="36"/>
      <c r="J29" s="29"/>
      <c r="K29" s="29"/>
      <c r="L29" s="29"/>
      <c r="M29" s="153"/>
      <c r="N29" s="29"/>
      <c r="O29" s="29"/>
      <c r="P29" s="36"/>
      <c r="Q29" s="36"/>
      <c r="R29" s="29"/>
      <c r="S29" s="29"/>
      <c r="T29" s="29"/>
      <c r="U29" s="154"/>
      <c r="V29" s="16"/>
      <c r="W29" s="36"/>
      <c r="X29" s="36"/>
    </row>
    <row r="30" spans="2:24" x14ac:dyDescent="0.3">
      <c r="C30" s="104"/>
      <c r="D30" s="61"/>
      <c r="E30" s="80"/>
      <c r="F30" s="79">
        <f>SUBTOTAL(9,F9:F29)</f>
        <v>0</v>
      </c>
      <c r="G30" s="51">
        <f>SUBTOTAL(9,G9:G29)</f>
        <v>0</v>
      </c>
      <c r="H30" s="51">
        <f>SUBTOTAL(9,H9:H29)</f>
        <v>0</v>
      </c>
      <c r="I30" s="70"/>
      <c r="J30" s="17"/>
      <c r="K30" s="30">
        <f>SUBTOTAL(2,K9:K29)</f>
        <v>0</v>
      </c>
      <c r="L30" s="19"/>
      <c r="M30" s="18"/>
      <c r="N30" s="19"/>
      <c r="O30" s="19"/>
      <c r="P30" s="34"/>
      <c r="Q30" s="19"/>
      <c r="R30" s="19"/>
      <c r="S30" s="19"/>
      <c r="T30" s="19"/>
      <c r="U30" s="19"/>
      <c r="V30" s="22"/>
      <c r="W30" s="37"/>
      <c r="X30" s="37"/>
    </row>
    <row r="31" spans="2:24" x14ac:dyDescent="0.3">
      <c r="F31" s="52"/>
      <c r="G31" s="52"/>
      <c r="H31" s="52"/>
    </row>
    <row r="32" spans="2:24" x14ac:dyDescent="0.3">
      <c r="F32" s="52"/>
      <c r="G32" s="52"/>
      <c r="H32" s="52"/>
    </row>
    <row r="33" spans="3:22" ht="15" thickBot="1" x14ac:dyDescent="0.35">
      <c r="C33" s="105"/>
      <c r="D33" s="20"/>
      <c r="E33" s="28"/>
      <c r="F33" s="74">
        <f>SUM(F9:F29)</f>
        <v>0</v>
      </c>
      <c r="G33" s="74">
        <f>SUM(G9:G29)</f>
        <v>0</v>
      </c>
      <c r="H33" s="74">
        <f>SUM(H9:H29)</f>
        <v>0</v>
      </c>
      <c r="I33" s="75"/>
      <c r="J33" s="14"/>
      <c r="L33" s="14"/>
      <c r="M33" s="14"/>
      <c r="N33" s="14"/>
      <c r="O33" s="14"/>
      <c r="P33" s="35"/>
      <c r="Q33" s="14"/>
      <c r="R33" s="14"/>
      <c r="S33" s="14"/>
      <c r="T33" s="14"/>
      <c r="U33" s="14"/>
      <c r="V33" s="3"/>
    </row>
    <row r="34" spans="3:22" ht="15" thickTop="1" x14ac:dyDescent="0.3">
      <c r="M34" s="14"/>
    </row>
    <row r="37" spans="3:22" x14ac:dyDescent="0.3">
      <c r="D37" s="425" t="s">
        <v>127</v>
      </c>
      <c r="E37" s="426"/>
      <c r="F37" s="427"/>
      <c r="G37" s="8"/>
      <c r="J37" s="425" t="s">
        <v>128</v>
      </c>
      <c r="K37" s="426"/>
      <c r="L37" s="427"/>
    </row>
    <row r="38" spans="3:22" x14ac:dyDescent="0.3">
      <c r="D38" s="16" t="s">
        <v>129</v>
      </c>
      <c r="E38" s="92" t="s">
        <v>130</v>
      </c>
      <c r="F38" s="93" t="s">
        <v>131</v>
      </c>
      <c r="G38" s="91"/>
      <c r="J38" s="16" t="s">
        <v>129</v>
      </c>
      <c r="K38" s="92" t="s">
        <v>130</v>
      </c>
      <c r="L38" s="93" t="s">
        <v>131</v>
      </c>
    </row>
    <row r="39" spans="3:22" x14ac:dyDescent="0.3">
      <c r="D39" s="94">
        <f>SUMIF($V$9:$V$29,D$38,$H$9:$H$29)</f>
        <v>0</v>
      </c>
      <c r="E39" s="94">
        <f>SUMIF($V$9:$V$29,E$38,$H$9:$H$29)</f>
        <v>0</v>
      </c>
      <c r="F39" s="94">
        <f>SUMIF($V$9:$V$29,F$38,$H$9:$H$29)</f>
        <v>0</v>
      </c>
      <c r="G39" s="95">
        <f>SUM(D39:F39)</f>
        <v>0</v>
      </c>
      <c r="J39" s="94">
        <f>SUMIF($V$9:$V$27,J$38,$G$9:$G$27)</f>
        <v>0</v>
      </c>
      <c r="K39" s="94">
        <f>SUMIF($V$9:$V$27,K$38,$G$9:$G$27)</f>
        <v>0</v>
      </c>
      <c r="L39" s="94">
        <f>SUMIF($V$9:$V$27,L$38,$G$9:$G$27)</f>
        <v>0</v>
      </c>
      <c r="M39" s="118">
        <f>SUM(J39:L39)</f>
        <v>0</v>
      </c>
    </row>
    <row r="40" spans="3:22" x14ac:dyDescent="0.3">
      <c r="E40"/>
      <c r="F40"/>
      <c r="G40" s="97">
        <f>H33-G39</f>
        <v>0</v>
      </c>
      <c r="J40" s="32"/>
      <c r="L40" s="149"/>
      <c r="M40" s="97">
        <f>G33-M39</f>
        <v>0</v>
      </c>
    </row>
    <row r="41" spans="3:22" x14ac:dyDescent="0.3">
      <c r="D41" s="47"/>
      <c r="E41" s="47"/>
      <c r="G41" s="68"/>
      <c r="I41"/>
    </row>
    <row r="42" spans="3:22" x14ac:dyDescent="0.3">
      <c r="G42" s="123" t="s">
        <v>132</v>
      </c>
      <c r="H42" s="47">
        <f>F39</f>
        <v>0</v>
      </c>
      <c r="I42" s="47"/>
      <c r="J42" s="119"/>
    </row>
    <row r="43" spans="3:22" ht="15" thickBot="1" x14ac:dyDescent="0.35">
      <c r="G43" s="124" t="s">
        <v>133</v>
      </c>
      <c r="H43" s="99">
        <f>D39+E39+J39+K39+L39</f>
        <v>0</v>
      </c>
      <c r="I43" s="47"/>
      <c r="J43" s="119"/>
    </row>
    <row r="44" spans="3:22" ht="15" thickTop="1" x14ac:dyDescent="0.3">
      <c r="G44" s="123" t="s">
        <v>134</v>
      </c>
      <c r="H44" s="47">
        <f>SUM(H42:H43)</f>
        <v>0</v>
      </c>
      <c r="I44" s="47"/>
      <c r="J44" s="119"/>
    </row>
    <row r="45" spans="3:22" x14ac:dyDescent="0.3">
      <c r="H45" s="97">
        <f>F33-H44</f>
        <v>0</v>
      </c>
      <c r="I45" s="47"/>
    </row>
    <row r="46" spans="3:22" x14ac:dyDescent="0.3">
      <c r="H46" s="97"/>
      <c r="I46" s="47"/>
    </row>
    <row r="48" spans="3:22" x14ac:dyDescent="0.3">
      <c r="G48" s="169" t="s">
        <v>144</v>
      </c>
      <c r="H48" s="169" t="s">
        <v>13</v>
      </c>
      <c r="I48" s="223" t="s">
        <v>28</v>
      </c>
      <c r="J48" s="39" t="s">
        <v>84</v>
      </c>
    </row>
    <row r="49" spans="7:10" x14ac:dyDescent="0.3">
      <c r="G49" s="47" t="s">
        <v>30</v>
      </c>
      <c r="H49" s="47">
        <f>SUMIF($J$9:$J$29,G49,$F$9:$F$29)</f>
        <v>0</v>
      </c>
      <c r="I49" s="224">
        <f>SUMIFS($H$9:$H$29,$J$9:$J$29,G49,$V$9:$V$29,"YES")</f>
        <v>0</v>
      </c>
      <c r="J49" s="146">
        <f>H49-I49</f>
        <v>0</v>
      </c>
    </row>
    <row r="50" spans="7:10" x14ac:dyDescent="0.3">
      <c r="G50" s="47" t="s">
        <v>31</v>
      </c>
      <c r="H50" s="47">
        <f>SUMIF($J$9:$J$29,G50,$F$9:$F$29)</f>
        <v>0</v>
      </c>
      <c r="I50" s="224">
        <f>SUMIFS($H$9:$H$29,$J$9:$J$29,G50,$V$9:$V$29,"YES")</f>
        <v>0</v>
      </c>
      <c r="J50" s="146">
        <f t="shared" ref="J50:J51" si="1">H50-I50</f>
        <v>0</v>
      </c>
    </row>
    <row r="51" spans="7:10" ht="15" thickBot="1" x14ac:dyDescent="0.35">
      <c r="G51" s="288" t="s">
        <v>163</v>
      </c>
      <c r="H51" s="99">
        <f>SUMIF($J$9:$J$29,G51,$F$9:$F$29)</f>
        <v>0</v>
      </c>
      <c r="I51" s="225">
        <f>SUMIFS($H$9:$H$29,$J$9:$J$29,G51,$V$9:$V$29,"YES")</f>
        <v>0</v>
      </c>
      <c r="J51" s="226">
        <f t="shared" si="1"/>
        <v>0</v>
      </c>
    </row>
    <row r="52" spans="7:10" ht="15" thickTop="1" x14ac:dyDescent="0.3">
      <c r="H52" s="47">
        <f>SUM(H49:H51)</f>
        <v>0</v>
      </c>
      <c r="I52" s="227">
        <f>SUM(I49:I51)</f>
        <v>0</v>
      </c>
      <c r="J52" s="47">
        <f>SUM(J49:J51)</f>
        <v>0</v>
      </c>
    </row>
    <row r="53" spans="7:10" x14ac:dyDescent="0.3">
      <c r="H53" s="96">
        <f>H52-H44</f>
        <v>0</v>
      </c>
      <c r="I53" s="96">
        <f>I52-H42</f>
        <v>0</v>
      </c>
      <c r="J53" s="96">
        <f>J52-H43</f>
        <v>0</v>
      </c>
    </row>
  </sheetData>
  <autoFilter ref="B8:X29" xr:uid="{2B5BFAD9-C4D9-44D6-BEDC-4166A2B88E9F}"/>
  <dataConsolidate/>
  <mergeCells count="3">
    <mergeCell ref="B1:Z1"/>
    <mergeCell ref="D37:F37"/>
    <mergeCell ref="J37:L37"/>
  </mergeCells>
  <conditionalFormatting sqref="D38">
    <cfRule type="cellIs" dxfId="13" priority="11" operator="equal">
      <formula>"NO-OOS"</formula>
    </cfRule>
    <cfRule type="cellIs" dxfId="12" priority="12" operator="equal">
      <formula>"NO-CO"</formula>
    </cfRule>
    <cfRule type="cellIs" dxfId="11" priority="13" operator="equal">
      <formula>"YES"</formula>
    </cfRule>
    <cfRule type="cellIs" dxfId="10" priority="14" operator="equal">
      <formula>"NO"</formula>
    </cfRule>
  </conditionalFormatting>
  <conditionalFormatting sqref="J38">
    <cfRule type="cellIs" dxfId="9" priority="7" operator="equal">
      <formula>"NO-OOS"</formula>
    </cfRule>
    <cfRule type="cellIs" dxfId="8" priority="8" operator="equal">
      <formula>"NO-CO"</formula>
    </cfRule>
    <cfRule type="cellIs" dxfId="7" priority="9" operator="equal">
      <formula>"YES"</formula>
    </cfRule>
    <cfRule type="cellIs" dxfId="6" priority="10" operator="equal">
      <formula>"NO"</formula>
    </cfRule>
  </conditionalFormatting>
  <conditionalFormatting sqref="M9:M29">
    <cfRule type="cellIs" dxfId="5" priority="4" operator="equal">
      <formula>"N/A"</formula>
    </cfRule>
    <cfRule type="cellIs" dxfId="4" priority="5" operator="equal">
      <formula>"YES"</formula>
    </cfRule>
    <cfRule type="cellIs" dxfId="3" priority="6" operator="equal">
      <formula>"NO"</formula>
    </cfRule>
  </conditionalFormatting>
  <conditionalFormatting sqref="V9:V29">
    <cfRule type="cellIs" dxfId="2" priority="1" operator="equal">
      <formula>"NO-OOS"</formula>
    </cfRule>
    <cfRule type="cellIs" dxfId="1" priority="2" operator="equal">
      <formula>"NO-TX"</formula>
    </cfRule>
    <cfRule type="cellIs" dxfId="0" priority="3" operator="equal">
      <formula>"YES"</formula>
    </cfRule>
  </conditionalFormatting>
  <hyperlinks>
    <hyperlink ref="F33" location="'Comm Summary'!A1" display="'Comm Summary'!A1" xr:uid="{8EE38118-06D7-4271-AC40-07B87D0E2BF2}"/>
  </hyperlinks>
  <pageMargins left="0.45" right="0.45" top="0.75" bottom="0.75" header="0.3" footer="0.3"/>
  <pageSetup scale="2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AFFDAC3-4F64-4E21-9B5B-E0A68D2F8C3B}">
          <x14:formula1>
            <xm:f>Legend!$H$2:$H$11</xm:f>
          </x14:formula1>
          <xm:sqref>N9:N29</xm:sqref>
        </x14:dataValidation>
        <x14:dataValidation type="list" allowBlank="1" showInputMessage="1" showErrorMessage="1" xr:uid="{E5EF7449-1484-4326-8920-E1E4C1E20916}">
          <x14:formula1>
            <xm:f>Legend!$F$2:$F$5</xm:f>
          </x14:formula1>
          <xm:sqref>O9:O29</xm:sqref>
        </x14:dataValidation>
        <x14:dataValidation type="list" allowBlank="1" showInputMessage="1" showErrorMessage="1" xr:uid="{87C1D9DB-5A80-4ACF-A0DD-B2DF213B6501}">
          <x14:formula1>
            <xm:f>Legend!$C$2:$C$4</xm:f>
          </x14:formula1>
          <xm:sqref>M9:M29</xm:sqref>
        </x14:dataValidation>
        <x14:dataValidation type="list" allowBlank="1" showInputMessage="1" showErrorMessage="1" xr:uid="{1C9F8058-16ED-4927-9A2C-5BF35A143C32}">
          <x14:formula1>
            <xm:f>Legend!$E$2:$E$4</xm:f>
          </x14:formula1>
          <xm:sqref>V9:V29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1"/>
  </sheetPr>
  <dimension ref="A1:AB12"/>
  <sheetViews>
    <sheetView workbookViewId="0">
      <selection activeCell="H3" sqref="H3"/>
    </sheetView>
  </sheetViews>
  <sheetFormatPr defaultRowHeight="14.4" x14ac:dyDescent="0.3"/>
  <cols>
    <col min="1" max="1" width="16" bestFit="1" customWidth="1"/>
    <col min="4" max="4" width="11.88671875" customWidth="1"/>
    <col min="7" max="7" width="20.33203125" customWidth="1"/>
    <col min="8" max="8" width="27.5546875" bestFit="1" customWidth="1"/>
    <col min="9" max="9" width="27.5546875" style="8" customWidth="1"/>
    <col min="22" max="22" width="28.6640625" bestFit="1" customWidth="1"/>
    <col min="28" max="28" width="16.6640625" customWidth="1"/>
  </cols>
  <sheetData>
    <row r="1" spans="1:28" s="21" customFormat="1" x14ac:dyDescent="0.3">
      <c r="A1" s="21" t="s">
        <v>204</v>
      </c>
      <c r="B1" s="21" t="s">
        <v>205</v>
      </c>
      <c r="C1" s="21" t="s">
        <v>206</v>
      </c>
      <c r="D1" s="21" t="s">
        <v>207</v>
      </c>
      <c r="E1" s="21" t="s">
        <v>181</v>
      </c>
      <c r="F1" s="21" t="s">
        <v>148</v>
      </c>
      <c r="G1" s="21" t="s">
        <v>208</v>
      </c>
      <c r="H1" s="21" t="s">
        <v>111</v>
      </c>
      <c r="I1" s="39" t="s">
        <v>187</v>
      </c>
      <c r="AB1" s="39" t="s">
        <v>180</v>
      </c>
    </row>
    <row r="2" spans="1:28" x14ac:dyDescent="0.3">
      <c r="A2" t="s">
        <v>30</v>
      </c>
      <c r="B2" t="s">
        <v>4</v>
      </c>
      <c r="C2" t="s">
        <v>131</v>
      </c>
      <c r="D2" t="s">
        <v>131</v>
      </c>
      <c r="E2" t="s">
        <v>131</v>
      </c>
      <c r="F2" t="s">
        <v>209</v>
      </c>
      <c r="G2" t="s">
        <v>210</v>
      </c>
      <c r="H2" s="32" t="s">
        <v>0</v>
      </c>
      <c r="I2" s="8" t="s">
        <v>211</v>
      </c>
      <c r="V2" s="8" t="s">
        <v>131</v>
      </c>
      <c r="AB2" s="8" t="s">
        <v>212</v>
      </c>
    </row>
    <row r="3" spans="1:28" x14ac:dyDescent="0.3">
      <c r="A3" t="s">
        <v>213</v>
      </c>
      <c r="B3" t="s">
        <v>214</v>
      </c>
      <c r="C3" t="s">
        <v>215</v>
      </c>
      <c r="D3" t="s">
        <v>215</v>
      </c>
      <c r="E3" t="s">
        <v>130</v>
      </c>
      <c r="F3" t="s">
        <v>216</v>
      </c>
      <c r="G3" t="s">
        <v>217</v>
      </c>
      <c r="H3">
        <f>Overview!C13</f>
        <v>0</v>
      </c>
      <c r="I3" s="8" t="s">
        <v>218</v>
      </c>
      <c r="V3" s="8" t="s">
        <v>215</v>
      </c>
      <c r="AB3" s="8" t="s">
        <v>219</v>
      </c>
    </row>
    <row r="4" spans="1:28" x14ac:dyDescent="0.3">
      <c r="A4" t="s">
        <v>31</v>
      </c>
      <c r="B4" t="s">
        <v>4</v>
      </c>
      <c r="C4" t="s">
        <v>81</v>
      </c>
      <c r="D4" t="s">
        <v>220</v>
      </c>
      <c r="E4" t="s">
        <v>129</v>
      </c>
      <c r="F4" t="s">
        <v>221</v>
      </c>
      <c r="G4" t="s">
        <v>222</v>
      </c>
      <c r="H4" s="32">
        <f>Overview!C16</f>
        <v>0</v>
      </c>
      <c r="I4" s="8" t="s">
        <v>224</v>
      </c>
      <c r="V4" s="8" t="s">
        <v>223</v>
      </c>
      <c r="AB4" s="8" t="s">
        <v>225</v>
      </c>
    </row>
    <row r="5" spans="1:28" x14ac:dyDescent="0.3">
      <c r="A5" t="s">
        <v>36</v>
      </c>
      <c r="D5" t="s">
        <v>226</v>
      </c>
      <c r="F5" t="s">
        <v>45</v>
      </c>
      <c r="G5" t="s">
        <v>227</v>
      </c>
      <c r="H5" s="32">
        <f>Overview!C17</f>
        <v>0</v>
      </c>
      <c r="I5" s="8">
        <v>0</v>
      </c>
      <c r="V5" s="8" t="s">
        <v>228</v>
      </c>
      <c r="AB5" s="8" t="s">
        <v>229</v>
      </c>
    </row>
    <row r="6" spans="1:28" x14ac:dyDescent="0.3">
      <c r="A6" t="s">
        <v>230</v>
      </c>
      <c r="H6" s="32">
        <f>Overview!C18</f>
        <v>0</v>
      </c>
      <c r="AB6" s="8" t="s">
        <v>231</v>
      </c>
    </row>
    <row r="7" spans="1:28" x14ac:dyDescent="0.3">
      <c r="A7" t="s">
        <v>232</v>
      </c>
      <c r="H7" s="32">
        <f>Overview!C19</f>
        <v>0</v>
      </c>
      <c r="AB7" s="8" t="s">
        <v>233</v>
      </c>
    </row>
    <row r="8" spans="1:28" x14ac:dyDescent="0.3">
      <c r="A8" t="s">
        <v>234</v>
      </c>
      <c r="H8" s="32">
        <f>Overview!C20</f>
        <v>0</v>
      </c>
      <c r="AB8" s="8" t="s">
        <v>235</v>
      </c>
    </row>
    <row r="9" spans="1:28" x14ac:dyDescent="0.3">
      <c r="A9" t="s">
        <v>163</v>
      </c>
      <c r="H9" s="32">
        <f>Overview!C21</f>
        <v>0</v>
      </c>
    </row>
    <row r="10" spans="1:28" x14ac:dyDescent="0.3">
      <c r="H10" s="32">
        <f>Overview!C22</f>
        <v>0</v>
      </c>
    </row>
    <row r="11" spans="1:28" x14ac:dyDescent="0.3">
      <c r="H11" s="32">
        <f>Overview!C23</f>
        <v>0</v>
      </c>
    </row>
    <row r="12" spans="1:28" x14ac:dyDescent="0.3">
      <c r="H12" s="32"/>
    </row>
  </sheetData>
  <customSheetViews>
    <customSheetView guid="{14C8854E-48EC-4FF0-8495-678A66A79974}">
      <selection activeCell="J33" sqref="J33"/>
      <pageMargins left="0" right="0" top="0" bottom="0" header="0" footer="0"/>
    </customSheetView>
    <customSheetView guid="{064F1E00-4E44-40D8-9D84-C13C3FC17883}">
      <selection activeCell="A7" sqref="A7"/>
      <pageMargins left="0" right="0" top="0" bottom="0" header="0" footer="0"/>
    </customSheetView>
  </customSheetView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FDC3BA5D871A4D8A0024FD9CCD6DAF" ma:contentTypeVersion="13" ma:contentTypeDescription="Create a new document." ma:contentTypeScope="" ma:versionID="3dc0f9611e8d8971bb6f6d3909d91176">
  <xsd:schema xmlns:xsd="http://www.w3.org/2001/XMLSchema" xmlns:xs="http://www.w3.org/2001/XMLSchema" xmlns:p="http://schemas.microsoft.com/office/2006/metadata/properties" xmlns:ns2="76a59bb2-c683-447d-99ce-9d6742243c7a" xmlns:ns3="85925d68-4395-4619-9ed4-82205d641ac6" targetNamespace="http://schemas.microsoft.com/office/2006/metadata/properties" ma:root="true" ma:fieldsID="879d730c3564486fffba75c1ff244696" ns2:_="" ns3:_="">
    <xsd:import namespace="76a59bb2-c683-447d-99ce-9d6742243c7a"/>
    <xsd:import namespace="85925d68-4395-4619-9ed4-82205d641a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a59bb2-c683-447d-99ce-9d6742243c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be8b6ea-d13c-4d71-97d6-b0474eec2a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4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925d68-4395-4619-9ed4-82205d641a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f8c53a0-0709-4ee0-a262-eb124a7b322b}" ma:internalName="TaxCatchAll" ma:showField="CatchAllData" ma:web="85925d68-4395-4619-9ed4-82205d641a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925d68-4395-4619-9ed4-82205d641ac6" xsi:nil="true"/>
    <lcf76f155ced4ddcb4097134ff3c332f xmlns="76a59bb2-c683-447d-99ce-9d6742243c7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96DF187-798E-49BC-876C-A374E5B82C5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8DDD1A4-0794-413A-B74E-AB4D2C491C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a59bb2-c683-447d-99ce-9d6742243c7a"/>
    <ds:schemaRef ds:uri="85925d68-4395-4619-9ed4-82205d641a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8C3498-9A18-4AF1-B6FC-D7111859BBA4}">
  <ds:schemaRefs>
    <ds:schemaRef ds:uri="http://schemas.microsoft.com/office/2006/metadata/properties"/>
    <ds:schemaRef ds:uri="http://schemas.microsoft.com/office/infopath/2007/PartnerControls"/>
    <ds:schemaRef ds:uri="85925d68-4395-4619-9ed4-82205d641ac6"/>
    <ds:schemaRef ds:uri="76a59bb2-c683-447d-99ce-9d6742243c7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Checklist</vt:lpstr>
      <vt:lpstr>Locations</vt:lpstr>
      <vt:lpstr>Cast &amp; Crew List</vt:lpstr>
      <vt:lpstr>Crew Payroll</vt:lpstr>
      <vt:lpstr>Crew - Indepen. Contractors</vt:lpstr>
      <vt:lpstr>Talent Payroll</vt:lpstr>
      <vt:lpstr>Talent - Indep. Contract</vt:lpstr>
      <vt:lpstr>AP (POs + Reimbursement)</vt:lpstr>
      <vt:lpstr>Petty Cash</vt:lpstr>
      <vt:lpstr>Agency Vendor Exps</vt:lpstr>
      <vt:lpstr>Post Production</vt:lpstr>
      <vt:lpstr>Legend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Tina Dankova</dc:creator>
  <cp:keywords/>
  <dc:description/>
  <cp:lastModifiedBy>Ellie Myhand</cp:lastModifiedBy>
  <cp:revision/>
  <dcterms:created xsi:type="dcterms:W3CDTF">2013-07-17T19:19:18Z</dcterms:created>
  <dcterms:modified xsi:type="dcterms:W3CDTF">2026-06-03T17:54:34Z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0x0101006AFDC3BA5D871A4D8A0024FD9CCD6DAF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GUID">
    <vt:lpwstr>0d493ac3-61b0-4197-ba83-137a2f7459b8</vt:lpwstr>
  </property>
  <property fmtid="{D5CDD505-2E9C-101B-9397-08002B2CF9AE}" pid="10" name="xd_Signature">
    <vt:bool>false</vt:bool>
  </property>
  <property fmtid="{D5CDD505-2E9C-101B-9397-08002B2CF9AE}" pid="11" name="lcf76f155ced4ddcb4097134ff3c332f">
    <vt:lpwstr/>
  </property>
  <property fmtid="{D5CDD505-2E9C-101B-9397-08002B2CF9AE}" pid="12" name="TaxCatchAll">
    <vt:lpwstr/>
  </property>
</Properties>
</file>