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cus808.sharepoint.com/sites/DataEntryAutomation/Shared Documents/New Automation Documents/Templates/"/>
    </mc:Choice>
  </mc:AlternateContent>
  <xr:revisionPtr revIDLastSave="18" documentId="11_F04EF44A1142426DCE9F4511414016BFA20E4AD1" xr6:coauthVersionLast="47" xr6:coauthVersionMax="47" xr10:uidLastSave="{C5A90798-1D72-4250-8B23-D7712328D52A}"/>
  <bookViews>
    <workbookView xWindow="-11856" yWindow="12852" windowWidth="23256" windowHeight="13896" tabRatio="851" activeTab="3" xr2:uid="{00000000-000D-0000-FFFF-FFFF00000000}"/>
  </bookViews>
  <sheets>
    <sheet name="Overview" sheetId="1" r:id="rId1"/>
    <sheet name="Checklist" sheetId="2" r:id="rId2"/>
    <sheet name="Locations" sheetId="3" r:id="rId3"/>
    <sheet name="Cast &amp; Crew List" sheetId="4" r:id="rId4"/>
    <sheet name="Crew Payroll" sheetId="5" r:id="rId5"/>
    <sheet name="Crew - Indepen. Contractors" sheetId="6" r:id="rId6"/>
    <sheet name="Talent Payroll" sheetId="7" r:id="rId7"/>
    <sheet name="Talent - Indep. Contract" sheetId="8" r:id="rId8"/>
    <sheet name="AP (POs + Reimbursement)" sheetId="9" r:id="rId9"/>
    <sheet name="Petty Cash" sheetId="10" r:id="rId10"/>
    <sheet name="Agency Vendor Exps" sheetId="11" r:id="rId11"/>
    <sheet name="Post Production" sheetId="12" r:id="rId12"/>
    <sheet name="Legend" sheetId="13" r:id="rId13"/>
  </sheets>
  <definedNames>
    <definedName name="_xlnm._FilterDatabase" localSheetId="10" hidden="1">'Agency Vendor Exps'!$B$8:$X$29</definedName>
    <definedName name="_xlnm._FilterDatabase" localSheetId="8" hidden="1">'AP (POs + Reimbursement)'!$C$6:$W$58</definedName>
    <definedName name="_xlnm._FilterDatabase" localSheetId="9" hidden="1">'Petty Cash'!$B$6:$V$439</definedName>
    <definedName name="_xlnm._FilterDatabase" localSheetId="11" hidden="1">'Post Production'!$B$8:$X$29</definedName>
    <definedName name="_xlnm._FilterDatabase" localSheetId="7" hidden="1">'Talent - Indep. Contract'!$B$7:$AB$38</definedName>
    <definedName name="_xlnm._FilterDatabase" localSheetId="6" hidden="1">'Talent Payroll'!$B$8:$AI$41</definedName>
    <definedName name="OLE_LINK1">#REF!</definedName>
    <definedName name="Z_064F1E00_4E44_40D8_9D84_C13C3FC17883_.wvu.Cols" localSheetId="4" hidden="1">'Crew Payroll'!#REF!</definedName>
    <definedName name="Z_064F1E00_4E44_40D8_9D84_C13C3FC17883_.wvu.Cols" localSheetId="9" hidden="1">'Petty Cash'!#REF!,'Petty Cash'!#REF!</definedName>
    <definedName name="Z_064F1E00_4E44_40D8_9D84_C13C3FC17883_.wvu.FilterData" localSheetId="10" hidden="1">'Agency Vendor Exps'!$B$8:$W$27</definedName>
    <definedName name="Z_064F1E00_4E44_40D8_9D84_C13C3FC17883_.wvu.FilterData" localSheetId="8" hidden="1">'AP (POs + Reimbursement)'!$B$8:$W$43</definedName>
    <definedName name="Z_064F1E00_4E44_40D8_9D84_C13C3FC17883_.wvu.FilterData" localSheetId="5" hidden="1">'Crew - Indepen. Contractors'!$B$8:$AB$34</definedName>
    <definedName name="Z_064F1E00_4E44_40D8_9D84_C13C3FC17883_.wvu.FilterData" localSheetId="4" hidden="1">'Crew Payroll'!$B$8:$AO$56</definedName>
    <definedName name="Z_064F1E00_4E44_40D8_9D84_C13C3FC17883_.wvu.FilterData" localSheetId="9" hidden="1">'Petty Cash'!$B$6:$V$106</definedName>
    <definedName name="Z_064F1E00_4E44_40D8_9D84_C13C3FC17883_.wvu.FilterData" localSheetId="11" hidden="1">'Post Production'!$B$8:$W$27</definedName>
    <definedName name="Z_064F1E00_4E44_40D8_9D84_C13C3FC17883_.wvu.FilterData" localSheetId="7" hidden="1">'Talent - Indep. Contract'!$B$7:$AB$33</definedName>
    <definedName name="Z_064F1E00_4E44_40D8_9D84_C13C3FC17883_.wvu.FilterData" localSheetId="6" hidden="1">'Talent Payroll'!$B$8:$AI$39</definedName>
    <definedName name="Z_14C8854E_48EC_4FF0_8495_678A66A79974_.wvu.Cols" localSheetId="4" hidden="1">'Crew Payroll'!#REF!</definedName>
    <definedName name="Z_14C8854E_48EC_4FF0_8495_678A66A79974_.wvu.Cols" localSheetId="9" hidden="1">'Petty Cash'!#REF!,'Petty Cash'!#REF!</definedName>
    <definedName name="Z_14C8854E_48EC_4FF0_8495_678A66A79974_.wvu.FilterData" localSheetId="10" hidden="1">'Agency Vendor Exps'!$B$8:$W$27</definedName>
    <definedName name="Z_14C8854E_48EC_4FF0_8495_678A66A79974_.wvu.FilterData" localSheetId="8" hidden="1">'AP (POs + Reimbursement)'!$B$8:$W$43</definedName>
    <definedName name="Z_14C8854E_48EC_4FF0_8495_678A66A79974_.wvu.FilterData" localSheetId="5" hidden="1">'Crew - Indepen. Contractors'!$B$8:$AB$34</definedName>
    <definedName name="Z_14C8854E_48EC_4FF0_8495_678A66A79974_.wvu.FilterData" localSheetId="4" hidden="1">'Crew Payroll'!$B$8:$AO$56</definedName>
    <definedName name="Z_14C8854E_48EC_4FF0_8495_678A66A79974_.wvu.FilterData" localSheetId="9" hidden="1">'Petty Cash'!$B$6:$V$106</definedName>
    <definedName name="Z_14C8854E_48EC_4FF0_8495_678A66A79974_.wvu.FilterData" localSheetId="11" hidden="1">'Post Production'!$B$8:$W$27</definedName>
    <definedName name="Z_14C8854E_48EC_4FF0_8495_678A66A79974_.wvu.FilterData" localSheetId="7" hidden="1">'Talent - Indep. Contract'!$B$7:$AB$33</definedName>
    <definedName name="Z_14C8854E_48EC_4FF0_8495_678A66A79974_.wvu.FilterData" localSheetId="6" hidden="1">'Talent Payroll'!$B$8:$AI$39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5" l="1"/>
  <c r="AB58" i="5" s="1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C25" i="5" s="1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Z38" i="5" s="1"/>
  <c r="AB39" i="5"/>
  <c r="AB40" i="5"/>
  <c r="AB41" i="5"/>
  <c r="AC41" i="5" s="1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C54" i="5" s="1"/>
  <c r="AB9" i="5"/>
  <c r="H11" i="13"/>
  <c r="H10" i="13"/>
  <c r="H9" i="13"/>
  <c r="H8" i="13"/>
  <c r="H7" i="13"/>
  <c r="H6" i="13"/>
  <c r="H5" i="13"/>
  <c r="H4" i="13"/>
  <c r="H3" i="13"/>
  <c r="I52" i="12"/>
  <c r="I53" i="12" s="1"/>
  <c r="I51" i="12"/>
  <c r="H51" i="12"/>
  <c r="J51" i="12" s="1"/>
  <c r="I50" i="12"/>
  <c r="H50" i="12"/>
  <c r="J50" i="12" s="1"/>
  <c r="J49" i="12"/>
  <c r="J52" i="12" s="1"/>
  <c r="I49" i="12"/>
  <c r="H49" i="12"/>
  <c r="H52" i="12" s="1"/>
  <c r="H42" i="12"/>
  <c r="L39" i="12"/>
  <c r="K39" i="12"/>
  <c r="J39" i="12"/>
  <c r="M39" i="12" s="1"/>
  <c r="M40" i="12" s="1"/>
  <c r="F39" i="12"/>
  <c r="E39" i="12"/>
  <c r="D39" i="12"/>
  <c r="G33" i="12"/>
  <c r="F33" i="12"/>
  <c r="K30" i="12"/>
  <c r="G30" i="12"/>
  <c r="F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I51" i="11"/>
  <c r="H51" i="11"/>
  <c r="J51" i="11" s="1"/>
  <c r="I50" i="11"/>
  <c r="I52" i="11" s="1"/>
  <c r="H50" i="11"/>
  <c r="J50" i="11" s="1"/>
  <c r="I49" i="11"/>
  <c r="H49" i="11"/>
  <c r="H52" i="11" s="1"/>
  <c r="L39" i="11"/>
  <c r="K39" i="11"/>
  <c r="J39" i="11"/>
  <c r="M39" i="11" s="1"/>
  <c r="M40" i="11" s="1"/>
  <c r="G39" i="11"/>
  <c r="F39" i="11"/>
  <c r="H42" i="11" s="1"/>
  <c r="E39" i="11"/>
  <c r="H43" i="11" s="1"/>
  <c r="D39" i="11"/>
  <c r="G33" i="11"/>
  <c r="F33" i="11"/>
  <c r="K30" i="11"/>
  <c r="G30" i="11"/>
  <c r="F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134" i="10"/>
  <c r="G134" i="10"/>
  <c r="I134" i="10" s="1"/>
  <c r="H133" i="10"/>
  <c r="I133" i="10" s="1"/>
  <c r="G133" i="10"/>
  <c r="H132" i="10"/>
  <c r="G132" i="10"/>
  <c r="I132" i="10" s="1"/>
  <c r="H131" i="10"/>
  <c r="G131" i="10"/>
  <c r="I130" i="10"/>
  <c r="H130" i="10"/>
  <c r="G130" i="10"/>
  <c r="H129" i="10"/>
  <c r="G129" i="10"/>
  <c r="I129" i="10" s="1"/>
  <c r="H128" i="10"/>
  <c r="G128" i="10"/>
  <c r="I128" i="10" s="1"/>
  <c r="H127" i="10"/>
  <c r="G127" i="10"/>
  <c r="I127" i="10" s="1"/>
  <c r="H126" i="10"/>
  <c r="G126" i="10"/>
  <c r="L117" i="10"/>
  <c r="K117" i="10"/>
  <c r="J117" i="10"/>
  <c r="M117" i="10" s="1"/>
  <c r="M118" i="10" s="1"/>
  <c r="G117" i="10"/>
  <c r="I120" i="10" s="1"/>
  <c r="K18" i="1" s="1"/>
  <c r="M18" i="1" s="1"/>
  <c r="F117" i="10"/>
  <c r="E117" i="10"/>
  <c r="H117" i="10" s="1"/>
  <c r="H118" i="10" s="1"/>
  <c r="G111" i="10"/>
  <c r="H18" i="1" s="1"/>
  <c r="G108" i="10"/>
  <c r="I111" i="9"/>
  <c r="I109" i="9"/>
  <c r="H109" i="9"/>
  <c r="J109" i="9" s="1"/>
  <c r="J108" i="9"/>
  <c r="I108" i="9"/>
  <c r="H108" i="9"/>
  <c r="I107" i="9"/>
  <c r="I110" i="9" s="1"/>
  <c r="H107" i="9"/>
  <c r="H110" i="9" s="1"/>
  <c r="H102" i="9"/>
  <c r="K98" i="9"/>
  <c r="J98" i="9"/>
  <c r="I98" i="9"/>
  <c r="L98" i="9" s="1"/>
  <c r="L99" i="9" s="1"/>
  <c r="G98" i="9"/>
  <c r="F98" i="9"/>
  <c r="H101" i="9" s="1"/>
  <c r="K16" i="1" s="1"/>
  <c r="K25" i="1" s="1"/>
  <c r="E98" i="9"/>
  <c r="D98" i="9"/>
  <c r="H92" i="9"/>
  <c r="G99" i="9" s="1"/>
  <c r="K89" i="9"/>
  <c r="H89" i="9"/>
  <c r="G89" i="9"/>
  <c r="F89" i="9"/>
  <c r="K48" i="8"/>
  <c r="L48" i="8" s="1"/>
  <c r="J48" i="8"/>
  <c r="I48" i="8"/>
  <c r="F48" i="8"/>
  <c r="I51" i="8" s="1"/>
  <c r="E48" i="8"/>
  <c r="D48" i="8"/>
  <c r="K42" i="8"/>
  <c r="J42" i="8"/>
  <c r="I42" i="8"/>
  <c r="H42" i="8"/>
  <c r="G42" i="8"/>
  <c r="Q39" i="8"/>
  <c r="K39" i="8"/>
  <c r="J39" i="8"/>
  <c r="I39" i="8"/>
  <c r="H39" i="8"/>
  <c r="G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42" i="8" s="1"/>
  <c r="L11" i="8"/>
  <c r="L10" i="8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L9" i="8"/>
  <c r="L8" i="8"/>
  <c r="J67" i="7"/>
  <c r="I67" i="7"/>
  <c r="H67" i="7"/>
  <c r="F67" i="7"/>
  <c r="J66" i="7"/>
  <c r="I66" i="7"/>
  <c r="H66" i="7"/>
  <c r="F66" i="7"/>
  <c r="K66" i="7" s="1"/>
  <c r="J65" i="7"/>
  <c r="I65" i="7"/>
  <c r="H65" i="7"/>
  <c r="F65" i="7"/>
  <c r="J64" i="7"/>
  <c r="I64" i="7"/>
  <c r="H64" i="7"/>
  <c r="F64" i="7"/>
  <c r="J63" i="7"/>
  <c r="I63" i="7"/>
  <c r="H63" i="7"/>
  <c r="F63" i="7"/>
  <c r="J62" i="7"/>
  <c r="I62" i="7"/>
  <c r="H62" i="7"/>
  <c r="F62" i="7"/>
  <c r="J61" i="7"/>
  <c r="I61" i="7"/>
  <c r="H61" i="7"/>
  <c r="F61" i="7"/>
  <c r="J60" i="7"/>
  <c r="I60" i="7"/>
  <c r="H60" i="7"/>
  <c r="F60" i="7"/>
  <c r="K60" i="7" s="1"/>
  <c r="J59" i="7"/>
  <c r="I59" i="7"/>
  <c r="H59" i="7"/>
  <c r="F59" i="7"/>
  <c r="J58" i="7"/>
  <c r="I58" i="7"/>
  <c r="H58" i="7"/>
  <c r="F58" i="7"/>
  <c r="K58" i="7" s="1"/>
  <c r="J57" i="7"/>
  <c r="I57" i="7"/>
  <c r="H57" i="7"/>
  <c r="F57" i="7"/>
  <c r="J56" i="7"/>
  <c r="I56" i="7"/>
  <c r="H56" i="7"/>
  <c r="F56" i="7"/>
  <c r="K56" i="7" s="1"/>
  <c r="J55" i="7"/>
  <c r="I55" i="7"/>
  <c r="H55" i="7"/>
  <c r="F55" i="7"/>
  <c r="J54" i="7"/>
  <c r="I54" i="7"/>
  <c r="H54" i="7"/>
  <c r="F54" i="7"/>
  <c r="J53" i="7"/>
  <c r="I53" i="7"/>
  <c r="H53" i="7"/>
  <c r="F53" i="7"/>
  <c r="K53" i="7" s="1"/>
  <c r="J52" i="7"/>
  <c r="I52" i="7"/>
  <c r="H52" i="7"/>
  <c r="F52" i="7"/>
  <c r="J51" i="7"/>
  <c r="I51" i="7"/>
  <c r="H51" i="7"/>
  <c r="F51" i="7"/>
  <c r="K51" i="7" s="1"/>
  <c r="J50" i="7"/>
  <c r="I50" i="7"/>
  <c r="H50" i="7"/>
  <c r="F50" i="7"/>
  <c r="W49" i="7"/>
  <c r="V49" i="7"/>
  <c r="U49" i="7"/>
  <c r="R49" i="7"/>
  <c r="Q49" i="7"/>
  <c r="S52" i="7" s="1"/>
  <c r="K21" i="1" s="1"/>
  <c r="P49" i="7"/>
  <c r="O49" i="7"/>
  <c r="S49" i="7" s="1"/>
  <c r="J49" i="7"/>
  <c r="I49" i="7"/>
  <c r="H49" i="7"/>
  <c r="F49" i="7"/>
  <c r="K49" i="7" s="1"/>
  <c r="J48" i="7"/>
  <c r="I48" i="7"/>
  <c r="H48" i="7"/>
  <c r="F48" i="7"/>
  <c r="J47" i="7"/>
  <c r="I47" i="7"/>
  <c r="H47" i="7"/>
  <c r="F47" i="7"/>
  <c r="J46" i="7"/>
  <c r="I46" i="7"/>
  <c r="H46" i="7"/>
  <c r="F46" i="7"/>
  <c r="T43" i="7"/>
  <c r="S43" i="7"/>
  <c r="R43" i="7"/>
  <c r="Q43" i="7"/>
  <c r="O43" i="7"/>
  <c r="N43" i="7"/>
  <c r="M43" i="7"/>
  <c r="T40" i="7"/>
  <c r="S40" i="7"/>
  <c r="R40" i="7"/>
  <c r="Q40" i="7"/>
  <c r="O40" i="7"/>
  <c r="M40" i="7"/>
  <c r="V39" i="7"/>
  <c r="W39" i="7" s="1"/>
  <c r="U39" i="7"/>
  <c r="AL38" i="7"/>
  <c r="AK38" i="7"/>
  <c r="AM38" i="7" s="1"/>
  <c r="V38" i="7"/>
  <c r="U38" i="7"/>
  <c r="W38" i="7" s="1"/>
  <c r="AL37" i="7"/>
  <c r="AK37" i="7"/>
  <c r="V37" i="7"/>
  <c r="U37" i="7"/>
  <c r="W37" i="7" s="1"/>
  <c r="AL36" i="7"/>
  <c r="AK36" i="7"/>
  <c r="V36" i="7"/>
  <c r="U36" i="7"/>
  <c r="AL35" i="7"/>
  <c r="AK35" i="7"/>
  <c r="V35" i="7"/>
  <c r="U35" i="7"/>
  <c r="AL34" i="7"/>
  <c r="AK34" i="7"/>
  <c r="AM34" i="7" s="1"/>
  <c r="V34" i="7"/>
  <c r="U34" i="7"/>
  <c r="AL33" i="7"/>
  <c r="AK33" i="7"/>
  <c r="AM33" i="7" s="1"/>
  <c r="V33" i="7"/>
  <c r="U33" i="7"/>
  <c r="AL32" i="7"/>
  <c r="AK32" i="7"/>
  <c r="AM32" i="7" s="1"/>
  <c r="V32" i="7"/>
  <c r="W32" i="7" s="1"/>
  <c r="U32" i="7"/>
  <c r="AL31" i="7"/>
  <c r="AK31" i="7"/>
  <c r="AM31" i="7" s="1"/>
  <c r="V31" i="7"/>
  <c r="U31" i="7"/>
  <c r="W31" i="7" s="1"/>
  <c r="AL30" i="7"/>
  <c r="AK30" i="7"/>
  <c r="V30" i="7"/>
  <c r="U30" i="7"/>
  <c r="W30" i="7" s="1"/>
  <c r="AL29" i="7"/>
  <c r="AK29" i="7"/>
  <c r="V29" i="7"/>
  <c r="U29" i="7"/>
  <c r="W29" i="7" s="1"/>
  <c r="AL28" i="7"/>
  <c r="AK28" i="7"/>
  <c r="AM28" i="7" s="1"/>
  <c r="V28" i="7"/>
  <c r="U28" i="7"/>
  <c r="AL27" i="7"/>
  <c r="AK27" i="7"/>
  <c r="AM27" i="7" s="1"/>
  <c r="V27" i="7"/>
  <c r="U27" i="7"/>
  <c r="AL26" i="7"/>
  <c r="AK26" i="7"/>
  <c r="AM26" i="7" s="1"/>
  <c r="V26" i="7"/>
  <c r="U26" i="7"/>
  <c r="W26" i="7" s="1"/>
  <c r="AL25" i="7"/>
  <c r="AK25" i="7"/>
  <c r="AM25" i="7" s="1"/>
  <c r="V25" i="7"/>
  <c r="U25" i="7"/>
  <c r="AL24" i="7"/>
  <c r="AK24" i="7"/>
  <c r="V24" i="7"/>
  <c r="U24" i="7"/>
  <c r="AL23" i="7"/>
  <c r="AK23" i="7"/>
  <c r="V23" i="7"/>
  <c r="U23" i="7"/>
  <c r="W23" i="7" s="1"/>
  <c r="AL22" i="7"/>
  <c r="AK22" i="7"/>
  <c r="V22" i="7"/>
  <c r="U22" i="7"/>
  <c r="W22" i="7" s="1"/>
  <c r="AL21" i="7"/>
  <c r="AK21" i="7"/>
  <c r="AM21" i="7" s="1"/>
  <c r="V21" i="7"/>
  <c r="U21" i="7"/>
  <c r="W21" i="7" s="1"/>
  <c r="AM20" i="7"/>
  <c r="AL20" i="7"/>
  <c r="AK20" i="7"/>
  <c r="V20" i="7"/>
  <c r="U20" i="7"/>
  <c r="AL19" i="7"/>
  <c r="AK19" i="7"/>
  <c r="AM19" i="7" s="1"/>
  <c r="V19" i="7"/>
  <c r="U19" i="7"/>
  <c r="W19" i="7" s="1"/>
  <c r="AL18" i="7"/>
  <c r="AK18" i="7"/>
  <c r="AM18" i="7" s="1"/>
  <c r="V18" i="7"/>
  <c r="U18" i="7"/>
  <c r="W18" i="7" s="1"/>
  <c r="AL17" i="7"/>
  <c r="AK17" i="7"/>
  <c r="V17" i="7"/>
  <c r="U17" i="7"/>
  <c r="AL16" i="7"/>
  <c r="AK16" i="7"/>
  <c r="V16" i="7"/>
  <c r="U16" i="7"/>
  <c r="W16" i="7" s="1"/>
  <c r="AL15" i="7"/>
  <c r="AK15" i="7"/>
  <c r="V15" i="7"/>
  <c r="U15" i="7"/>
  <c r="AL14" i="7"/>
  <c r="AK14" i="7"/>
  <c r="AM14" i="7" s="1"/>
  <c r="V14" i="7"/>
  <c r="U14" i="7"/>
  <c r="W14" i="7" s="1"/>
  <c r="AL13" i="7"/>
  <c r="AK13" i="7"/>
  <c r="V13" i="7"/>
  <c r="U13" i="7"/>
  <c r="AL12" i="7"/>
  <c r="AM12" i="7" s="1"/>
  <c r="AN12" i="7" s="1"/>
  <c r="AK12" i="7"/>
  <c r="V12" i="7"/>
  <c r="U12" i="7"/>
  <c r="W12" i="7" s="1"/>
  <c r="AL11" i="7"/>
  <c r="AK11" i="7"/>
  <c r="AM11" i="7" s="1"/>
  <c r="V11" i="7"/>
  <c r="U11" i="7"/>
  <c r="AL10" i="7"/>
  <c r="AK10" i="7"/>
  <c r="AM10" i="7" s="1"/>
  <c r="V10" i="7"/>
  <c r="U10" i="7"/>
  <c r="W10" i="7" s="1"/>
  <c r="AL9" i="7"/>
  <c r="AK9" i="7"/>
  <c r="AM9" i="7" s="1"/>
  <c r="V9" i="7"/>
  <c r="U9" i="7"/>
  <c r="L49" i="6"/>
  <c r="M49" i="6" s="1"/>
  <c r="M50" i="6" s="1"/>
  <c r="K49" i="6"/>
  <c r="J49" i="6"/>
  <c r="G49" i="6"/>
  <c r="I52" i="6" s="1"/>
  <c r="K20" i="1" s="1"/>
  <c r="F49" i="6"/>
  <c r="E49" i="6"/>
  <c r="D49" i="6"/>
  <c r="Q40" i="6"/>
  <c r="K40" i="6"/>
  <c r="J40" i="6"/>
  <c r="I40" i="6"/>
  <c r="H40" i="6"/>
  <c r="G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43" i="6" s="1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40" i="6" s="1"/>
  <c r="L8" i="4"/>
  <c r="E62" i="1" s="1"/>
  <c r="L7" i="4"/>
  <c r="L4" i="4"/>
  <c r="L5" i="4" s="1"/>
  <c r="E56" i="1"/>
  <c r="E55" i="1"/>
  <c r="E54" i="1"/>
  <c r="M35" i="1"/>
  <c r="K29" i="1"/>
  <c r="K23" i="1"/>
  <c r="M23" i="1" s="1"/>
  <c r="K22" i="1"/>
  <c r="K17" i="1"/>
  <c r="H17" i="1"/>
  <c r="H25" i="1" s="1"/>
  <c r="H16" i="1"/>
  <c r="I13" i="1"/>
  <c r="H13" i="1"/>
  <c r="AF64" i="5"/>
  <c r="AC64" i="5"/>
  <c r="AG64" i="5" s="1"/>
  <c r="AB64" i="5"/>
  <c r="Y64" i="5"/>
  <c r="AA67" i="5" s="1"/>
  <c r="K19" i="1" s="1"/>
  <c r="X64" i="5"/>
  <c r="W64" i="5"/>
  <c r="Z64" i="5" s="1"/>
  <c r="H63" i="5"/>
  <c r="G63" i="5"/>
  <c r="H62" i="5"/>
  <c r="G62" i="5"/>
  <c r="H61" i="5"/>
  <c r="I61" i="5" s="1"/>
  <c r="G61" i="5"/>
  <c r="H60" i="5"/>
  <c r="H64" i="5" s="1"/>
  <c r="G60" i="5"/>
  <c r="I60" i="5" s="1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AY54" i="5"/>
  <c r="AW54" i="5"/>
  <c r="AU54" i="5"/>
  <c r="AT54" i="5"/>
  <c r="AV54" i="5" s="1"/>
  <c r="AA54" i="5"/>
  <c r="AE54" i="5" s="1"/>
  <c r="AU53" i="5"/>
  <c r="AT53" i="5"/>
  <c r="AV53" i="5" s="1"/>
  <c r="AW53" i="5" s="1"/>
  <c r="AE53" i="5"/>
  <c r="AC53" i="5"/>
  <c r="AA53" i="5"/>
  <c r="AY53" i="5" s="1"/>
  <c r="AZ53" i="5" s="1"/>
  <c r="AU52" i="5"/>
  <c r="AT52" i="5"/>
  <c r="AV52" i="5" s="1"/>
  <c r="AA52" i="5"/>
  <c r="AE52" i="5" s="1"/>
  <c r="AW51" i="5"/>
  <c r="AV51" i="5"/>
  <c r="AU51" i="5"/>
  <c r="AT51" i="5"/>
  <c r="AA51" i="5"/>
  <c r="AU50" i="5"/>
  <c r="AT50" i="5"/>
  <c r="AV50" i="5" s="1"/>
  <c r="AA50" i="5"/>
  <c r="AU49" i="5"/>
  <c r="AT49" i="5"/>
  <c r="AV49" i="5" s="1"/>
  <c r="AE49" i="5"/>
  <c r="AC49" i="5"/>
  <c r="AA49" i="5"/>
  <c r="AU48" i="5"/>
  <c r="AT48" i="5"/>
  <c r="AE48" i="5"/>
  <c r="AA48" i="5"/>
  <c r="AV47" i="5"/>
  <c r="AY47" i="5" s="1"/>
  <c r="AZ47" i="5" s="1"/>
  <c r="AU47" i="5"/>
  <c r="AT47" i="5"/>
  <c r="AA47" i="5"/>
  <c r="AE47" i="5" s="1"/>
  <c r="AU46" i="5"/>
  <c r="AT46" i="5"/>
  <c r="AV46" i="5" s="1"/>
  <c r="AY46" i="5" s="1"/>
  <c r="AZ46" i="5" s="1"/>
  <c r="AA46" i="5"/>
  <c r="AE46" i="5" s="1"/>
  <c r="AU45" i="5"/>
  <c r="AT45" i="5"/>
  <c r="AV45" i="5" s="1"/>
  <c r="AW45" i="5" s="1"/>
  <c r="AE45" i="5"/>
  <c r="AC45" i="5"/>
  <c r="AA45" i="5"/>
  <c r="AY45" i="5" s="1"/>
  <c r="AZ45" i="5" s="1"/>
  <c r="AU44" i="5"/>
  <c r="AT44" i="5"/>
  <c r="AV44" i="5" s="1"/>
  <c r="AA44" i="5"/>
  <c r="AE44" i="5" s="1"/>
  <c r="AV43" i="5"/>
  <c r="AW43" i="5" s="1"/>
  <c r="AU43" i="5"/>
  <c r="AT43" i="5"/>
  <c r="AA43" i="5"/>
  <c r="AU42" i="5"/>
  <c r="AT42" i="5"/>
  <c r="AV42" i="5" s="1"/>
  <c r="AA42" i="5"/>
  <c r="AY42" i="5" s="1"/>
  <c r="AU41" i="5"/>
  <c r="AT41" i="5"/>
  <c r="AV41" i="5" s="1"/>
  <c r="AW41" i="5" s="1"/>
  <c r="AE41" i="5"/>
  <c r="AA41" i="5"/>
  <c r="AU40" i="5"/>
  <c r="AT40" i="5"/>
  <c r="AV40" i="5" s="1"/>
  <c r="AW40" i="5" s="1"/>
  <c r="AE40" i="5"/>
  <c r="AA40" i="5"/>
  <c r="AV39" i="5"/>
  <c r="AY39" i="5" s="1"/>
  <c r="AU39" i="5"/>
  <c r="AT39" i="5"/>
  <c r="AA39" i="5"/>
  <c r="AE39" i="5" s="1"/>
  <c r="AY38" i="5"/>
  <c r="AW38" i="5"/>
  <c r="AU38" i="5"/>
  <c r="AT38" i="5"/>
  <c r="AV38" i="5" s="1"/>
  <c r="AA38" i="5"/>
  <c r="AE38" i="5" s="1"/>
  <c r="AU37" i="5"/>
  <c r="AT37" i="5"/>
  <c r="AV37" i="5" s="1"/>
  <c r="AW37" i="5" s="1"/>
  <c r="AE37" i="5"/>
  <c r="AC37" i="5"/>
  <c r="AA37" i="5"/>
  <c r="AY37" i="5" s="1"/>
  <c r="AV36" i="5"/>
  <c r="AU36" i="5"/>
  <c r="AT36" i="5"/>
  <c r="AA36" i="5"/>
  <c r="AE36" i="5" s="1"/>
  <c r="AU35" i="5"/>
  <c r="AV35" i="5" s="1"/>
  <c r="AW35" i="5" s="1"/>
  <c r="AT35" i="5"/>
  <c r="AA35" i="5"/>
  <c r="AU34" i="5"/>
  <c r="AT34" i="5"/>
  <c r="AV34" i="5" s="1"/>
  <c r="AA34" i="5"/>
  <c r="AU33" i="5"/>
  <c r="AT33" i="5"/>
  <c r="AV33" i="5" s="1"/>
  <c r="AW33" i="5" s="1"/>
  <c r="AE33" i="5"/>
  <c r="AC33" i="5"/>
  <c r="AA33" i="5"/>
  <c r="AU32" i="5"/>
  <c r="AT32" i="5"/>
  <c r="AE32" i="5"/>
  <c r="AA32" i="5"/>
  <c r="AV31" i="5"/>
  <c r="AW31" i="5" s="1"/>
  <c r="AU31" i="5"/>
  <c r="AT31" i="5"/>
  <c r="AA31" i="5"/>
  <c r="AE31" i="5" s="1"/>
  <c r="AU30" i="5"/>
  <c r="AT30" i="5"/>
  <c r="AV30" i="5" s="1"/>
  <c r="AW30" i="5" s="1"/>
  <c r="AA30" i="5"/>
  <c r="AE30" i="5" s="1"/>
  <c r="AU29" i="5"/>
  <c r="AT29" i="5"/>
  <c r="AV29" i="5" s="1"/>
  <c r="AE29" i="5"/>
  <c r="AC29" i="5"/>
  <c r="AA29" i="5"/>
  <c r="AU28" i="5"/>
  <c r="AT28" i="5"/>
  <c r="AV28" i="5" s="1"/>
  <c r="AW28" i="5" s="1"/>
  <c r="AA28" i="5"/>
  <c r="AV27" i="5"/>
  <c r="AU27" i="5"/>
  <c r="AT27" i="5"/>
  <c r="AA27" i="5"/>
  <c r="AU26" i="5"/>
  <c r="AT26" i="5"/>
  <c r="AV26" i="5" s="1"/>
  <c r="AW26" i="5" s="1"/>
  <c r="AA26" i="5"/>
  <c r="AU25" i="5"/>
  <c r="AT25" i="5"/>
  <c r="AV25" i="5" s="1"/>
  <c r="AW25" i="5" s="1"/>
  <c r="AE25" i="5"/>
  <c r="AA25" i="5"/>
  <c r="AU24" i="5"/>
  <c r="AT24" i="5"/>
  <c r="AV24" i="5" s="1"/>
  <c r="AE24" i="5"/>
  <c r="AA24" i="5"/>
  <c r="AY23" i="5"/>
  <c r="AW23" i="5"/>
  <c r="AV23" i="5"/>
  <c r="AU23" i="5"/>
  <c r="AT23" i="5"/>
  <c r="AA23" i="5"/>
  <c r="AE23" i="5" s="1"/>
  <c r="AU22" i="5"/>
  <c r="AT22" i="5"/>
  <c r="AV22" i="5" s="1"/>
  <c r="AA22" i="5"/>
  <c r="AE22" i="5" s="1"/>
  <c r="AU21" i="5"/>
  <c r="AT21" i="5"/>
  <c r="AV21" i="5" s="1"/>
  <c r="AE21" i="5"/>
  <c r="AC21" i="5"/>
  <c r="AA21" i="5"/>
  <c r="AV20" i="5"/>
  <c r="AW20" i="5" s="1"/>
  <c r="AU20" i="5"/>
  <c r="AT20" i="5"/>
  <c r="AA20" i="5"/>
  <c r="AU19" i="5"/>
  <c r="AV19" i="5" s="1"/>
  <c r="AW19" i="5" s="1"/>
  <c r="AT19" i="5"/>
  <c r="AA19" i="5"/>
  <c r="AU18" i="5"/>
  <c r="AT18" i="5"/>
  <c r="AV18" i="5" s="1"/>
  <c r="AA18" i="5"/>
  <c r="AY18" i="5" s="1"/>
  <c r="AZ18" i="5" s="1"/>
  <c r="AU17" i="5"/>
  <c r="AT17" i="5"/>
  <c r="AV17" i="5" s="1"/>
  <c r="AW17" i="5" s="1"/>
  <c r="AE17" i="5"/>
  <c r="AC17" i="5"/>
  <c r="AA17" i="5"/>
  <c r="AY17" i="5" s="1"/>
  <c r="AZ17" i="5" s="1"/>
  <c r="AU16" i="5"/>
  <c r="AT16" i="5"/>
  <c r="AV16" i="5" s="1"/>
  <c r="AE16" i="5"/>
  <c r="AA16" i="5"/>
  <c r="AY15" i="5"/>
  <c r="AZ15" i="5" s="1"/>
  <c r="AW15" i="5"/>
  <c r="AV15" i="5"/>
  <c r="AU15" i="5"/>
  <c r="AT15" i="5"/>
  <c r="AA15" i="5"/>
  <c r="AE15" i="5" s="1"/>
  <c r="AU14" i="5"/>
  <c r="AT14" i="5"/>
  <c r="AV14" i="5" s="1"/>
  <c r="AW14" i="5" s="1"/>
  <c r="AA14" i="5"/>
  <c r="AE14" i="5" s="1"/>
  <c r="AU13" i="5"/>
  <c r="AT13" i="5"/>
  <c r="AV13" i="5" s="1"/>
  <c r="AW13" i="5" s="1"/>
  <c r="AE13" i="5"/>
  <c r="AA13" i="5"/>
  <c r="AU12" i="5"/>
  <c r="AT12" i="5"/>
  <c r="AV12" i="5" s="1"/>
  <c r="AW12" i="5" s="1"/>
  <c r="AA12" i="5"/>
  <c r="AU11" i="5"/>
  <c r="AU57" i="5" s="1"/>
  <c r="AT11" i="5"/>
  <c r="AA11" i="5"/>
  <c r="AU10" i="5"/>
  <c r="AT10" i="5"/>
  <c r="AV10" i="5" s="1"/>
  <c r="AW10" i="5" s="1"/>
  <c r="AA10" i="5"/>
  <c r="AU9" i="5"/>
  <c r="AT9" i="5"/>
  <c r="AE9" i="5"/>
  <c r="AC9" i="5"/>
  <c r="AA9" i="5"/>
  <c r="AM36" i="7" l="1"/>
  <c r="K50" i="7"/>
  <c r="AM29" i="7"/>
  <c r="W35" i="7"/>
  <c r="K54" i="7"/>
  <c r="AP21" i="7"/>
  <c r="AQ21" i="7" s="1"/>
  <c r="AN19" i="7"/>
  <c r="AM16" i="7"/>
  <c r="AP16" i="7" s="1"/>
  <c r="AQ16" i="7" s="1"/>
  <c r="W28" i="7"/>
  <c r="AN28" i="7"/>
  <c r="AM37" i="7"/>
  <c r="AM24" i="7"/>
  <c r="AP24" i="7" s="1"/>
  <c r="AQ24" i="7" s="1"/>
  <c r="K65" i="7"/>
  <c r="AP25" i="7"/>
  <c r="AQ25" i="7" s="1"/>
  <c r="K55" i="7"/>
  <c r="W15" i="7"/>
  <c r="AM15" i="7"/>
  <c r="AP15" i="7" s="1"/>
  <c r="AQ15" i="7" s="1"/>
  <c r="AM35" i="7"/>
  <c r="K63" i="7"/>
  <c r="AN18" i="7"/>
  <c r="AP35" i="7"/>
  <c r="AQ35" i="7" s="1"/>
  <c r="W24" i="7"/>
  <c r="W13" i="7"/>
  <c r="AM22" i="7"/>
  <c r="AN22" i="7" s="1"/>
  <c r="K64" i="7"/>
  <c r="K61" i="7"/>
  <c r="AN38" i="7"/>
  <c r="AP36" i="7"/>
  <c r="AQ36" i="7" s="1"/>
  <c r="AP12" i="7"/>
  <c r="AQ12" i="7" s="1"/>
  <c r="AN26" i="7"/>
  <c r="AM17" i="7"/>
  <c r="AP17" i="7" s="1"/>
  <c r="AQ17" i="7" s="1"/>
  <c r="AM23" i="7"/>
  <c r="AM30" i="7"/>
  <c r="AN31" i="7"/>
  <c r="AP28" i="7"/>
  <c r="AQ28" i="7" s="1"/>
  <c r="V40" i="7"/>
  <c r="AP19" i="7"/>
  <c r="AQ19" i="7" s="1"/>
  <c r="AN10" i="7"/>
  <c r="AM13" i="7"/>
  <c r="AN13" i="7" s="1"/>
  <c r="J68" i="7"/>
  <c r="K48" i="7"/>
  <c r="K57" i="7"/>
  <c r="AC38" i="5"/>
  <c r="AZ42" i="5"/>
  <c r="AC16" i="5"/>
  <c r="AZ23" i="5"/>
  <c r="AC32" i="5"/>
  <c r="AC24" i="5"/>
  <c r="AZ39" i="5"/>
  <c r="AZ37" i="5"/>
  <c r="I63" i="5"/>
  <c r="I62" i="5"/>
  <c r="I64" i="5" s="1"/>
  <c r="I65" i="5" s="1"/>
  <c r="AW44" i="5"/>
  <c r="AY44" i="5"/>
  <c r="AZ44" i="5" s="1"/>
  <c r="AW52" i="5"/>
  <c r="AY52" i="5"/>
  <c r="AZ52" i="5" s="1"/>
  <c r="AN30" i="7"/>
  <c r="AP30" i="7"/>
  <c r="AQ30" i="7" s="1"/>
  <c r="G49" i="8"/>
  <c r="AP37" i="7"/>
  <c r="AQ37" i="7" s="1"/>
  <c r="AN37" i="7"/>
  <c r="AN14" i="7"/>
  <c r="AP14" i="7"/>
  <c r="AQ14" i="7" s="1"/>
  <c r="M19" i="1"/>
  <c r="W11" i="7"/>
  <c r="AN11" i="7" s="1"/>
  <c r="AP11" i="7"/>
  <c r="AQ11" i="7" s="1"/>
  <c r="AE11" i="5"/>
  <c r="AC11" i="5"/>
  <c r="AE34" i="5"/>
  <c r="AC34" i="5"/>
  <c r="AB55" i="5"/>
  <c r="U40" i="7"/>
  <c r="AP9" i="7"/>
  <c r="AW29" i="5"/>
  <c r="AY29" i="5"/>
  <c r="AZ29" i="5" s="1"/>
  <c r="AY31" i="5"/>
  <c r="AZ31" i="5" s="1"/>
  <c r="AV11" i="5"/>
  <c r="AW11" i="5" s="1"/>
  <c r="AY34" i="5"/>
  <c r="AZ34" i="5" s="1"/>
  <c r="AW39" i="5"/>
  <c r="AW42" i="5"/>
  <c r="AE50" i="5"/>
  <c r="AC50" i="5"/>
  <c r="AP29" i="7"/>
  <c r="AQ29" i="7" s="1"/>
  <c r="AN29" i="7"/>
  <c r="K28" i="1"/>
  <c r="W33" i="7"/>
  <c r="AN33" i="7" s="1"/>
  <c r="AP33" i="7"/>
  <c r="AQ33" i="7" s="1"/>
  <c r="AY12" i="5"/>
  <c r="AZ12" i="5" s="1"/>
  <c r="AE35" i="5"/>
  <c r="AC35" i="5"/>
  <c r="AY35" i="5"/>
  <c r="AZ35" i="5" s="1"/>
  <c r="AY40" i="5"/>
  <c r="AZ40" i="5" s="1"/>
  <c r="AW47" i="5"/>
  <c r="AW50" i="5"/>
  <c r="AA69" i="5"/>
  <c r="AP18" i="7"/>
  <c r="AQ18" i="7" s="1"/>
  <c r="L49" i="8"/>
  <c r="H30" i="11"/>
  <c r="AE18" i="5"/>
  <c r="AC18" i="5"/>
  <c r="AP27" i="7"/>
  <c r="AQ27" i="7" s="1"/>
  <c r="W27" i="7"/>
  <c r="AN27" i="7" s="1"/>
  <c r="AV9" i="5"/>
  <c r="AT57" i="5"/>
  <c r="AT55" i="5"/>
  <c r="AY14" i="5"/>
  <c r="AZ14" i="5" s="1"/>
  <c r="AY25" i="5"/>
  <c r="AZ25" i="5" s="1"/>
  <c r="AC30" i="5"/>
  <c r="AV32" i="5"/>
  <c r="U43" i="7"/>
  <c r="H21" i="1" s="1"/>
  <c r="M21" i="1" s="1"/>
  <c r="AW36" i="5"/>
  <c r="AY36" i="5"/>
  <c r="AZ36" i="5" s="1"/>
  <c r="AA68" i="5"/>
  <c r="AU55" i="5"/>
  <c r="AY20" i="5"/>
  <c r="AZ20" i="5" s="1"/>
  <c r="AW22" i="5"/>
  <c r="AE43" i="5"/>
  <c r="AC43" i="5"/>
  <c r="AY43" i="5"/>
  <c r="AZ43" i="5" s="1"/>
  <c r="AY48" i="5"/>
  <c r="AZ48" i="5" s="1"/>
  <c r="AY50" i="5"/>
  <c r="AZ50" i="5" s="1"/>
  <c r="V43" i="7"/>
  <c r="I52" i="8"/>
  <c r="G48" i="8"/>
  <c r="AC14" i="5"/>
  <c r="AE27" i="5"/>
  <c r="AC27" i="5"/>
  <c r="AY27" i="5"/>
  <c r="AZ27" i="5" s="1"/>
  <c r="I53" i="6"/>
  <c r="I54" i="6" s="1"/>
  <c r="H49" i="6"/>
  <c r="H50" i="6" s="1"/>
  <c r="AN21" i="7"/>
  <c r="K46" i="7"/>
  <c r="F68" i="7"/>
  <c r="K62" i="7"/>
  <c r="G39" i="12"/>
  <c r="H43" i="12"/>
  <c r="J53" i="12" s="1"/>
  <c r="AC22" i="5"/>
  <c r="AY24" i="5"/>
  <c r="AZ24" i="5" s="1"/>
  <c r="AW24" i="5"/>
  <c r="AE10" i="5"/>
  <c r="AC10" i="5"/>
  <c r="AY28" i="5"/>
  <c r="AZ28" i="5" s="1"/>
  <c r="AE51" i="5"/>
  <c r="AC51" i="5"/>
  <c r="AY51" i="5"/>
  <c r="AZ51" i="5" s="1"/>
  <c r="AP10" i="7"/>
  <c r="AQ10" i="7" s="1"/>
  <c r="W25" i="7"/>
  <c r="AN25" i="7" s="1"/>
  <c r="W34" i="7"/>
  <c r="AN34" i="7" s="1"/>
  <c r="H68" i="7"/>
  <c r="S53" i="7"/>
  <c r="S54" i="7" s="1"/>
  <c r="I53" i="8"/>
  <c r="AW21" i="5"/>
  <c r="AY21" i="5"/>
  <c r="AZ21" i="5" s="1"/>
  <c r="AL43" i="7"/>
  <c r="AY22" i="5"/>
  <c r="AZ22" i="5" s="1"/>
  <c r="AW27" i="5"/>
  <c r="AY33" i="5"/>
  <c r="AZ33" i="5" s="1"/>
  <c r="AY13" i="5"/>
  <c r="AZ13" i="5" s="1"/>
  <c r="AY30" i="5"/>
  <c r="AZ30" i="5" s="1"/>
  <c r="AY41" i="5"/>
  <c r="AZ41" i="5" s="1"/>
  <c r="AC46" i="5"/>
  <c r="AV48" i="5"/>
  <c r="AW48" i="5" s="1"/>
  <c r="M16" i="1"/>
  <c r="AP31" i="7"/>
  <c r="AQ31" i="7" s="1"/>
  <c r="I68" i="7"/>
  <c r="K52" i="7"/>
  <c r="K59" i="7"/>
  <c r="H103" i="9"/>
  <c r="H104" i="9" s="1"/>
  <c r="I131" i="10"/>
  <c r="I53" i="11"/>
  <c r="AC13" i="5"/>
  <c r="H65" i="5"/>
  <c r="M17" i="1"/>
  <c r="W17" i="7"/>
  <c r="K67" i="7"/>
  <c r="AY10" i="5"/>
  <c r="AZ10" i="5" s="1"/>
  <c r="AW18" i="5"/>
  <c r="AE26" i="5"/>
  <c r="AC26" i="5"/>
  <c r="AW46" i="5"/>
  <c r="E63" i="1"/>
  <c r="E64" i="1" s="1"/>
  <c r="L9" i="4"/>
  <c r="AP34" i="7"/>
  <c r="AQ34" i="7" s="1"/>
  <c r="H45" i="11"/>
  <c r="AA55" i="5"/>
  <c r="AP20" i="7"/>
  <c r="AQ20" i="7" s="1"/>
  <c r="X49" i="7"/>
  <c r="G135" i="10"/>
  <c r="G136" i="10" s="1"/>
  <c r="I126" i="10"/>
  <c r="AY49" i="5"/>
  <c r="AZ49" i="5" s="1"/>
  <c r="AW49" i="5"/>
  <c r="AZ54" i="5"/>
  <c r="AA58" i="5"/>
  <c r="H19" i="1" s="1"/>
  <c r="K27" i="1"/>
  <c r="K30" i="1" s="1"/>
  <c r="K33" i="1" s="1"/>
  <c r="K35" i="1" s="1"/>
  <c r="AP38" i="7"/>
  <c r="AQ38" i="7" s="1"/>
  <c r="K47" i="7"/>
  <c r="L39" i="8"/>
  <c r="H135" i="10"/>
  <c r="H136" i="10" s="1"/>
  <c r="AY19" i="5"/>
  <c r="AZ19" i="5" s="1"/>
  <c r="AE19" i="5"/>
  <c r="AC19" i="5"/>
  <c r="AY26" i="5"/>
  <c r="AZ26" i="5" s="1"/>
  <c r="AW34" i="5"/>
  <c r="AE42" i="5"/>
  <c r="AC42" i="5"/>
  <c r="W9" i="7"/>
  <c r="AP23" i="7"/>
  <c r="AQ23" i="7" s="1"/>
  <c r="AN23" i="7"/>
  <c r="AP26" i="7"/>
  <c r="AQ26" i="7" s="1"/>
  <c r="I54" i="8"/>
  <c r="H44" i="11"/>
  <c r="H53" i="11" s="1"/>
  <c r="AY16" i="5"/>
  <c r="AZ16" i="5" s="1"/>
  <c r="AW16" i="5"/>
  <c r="AP32" i="7"/>
  <c r="AQ32" i="7" s="1"/>
  <c r="AN32" i="7"/>
  <c r="H33" i="12"/>
  <c r="G40" i="12" s="1"/>
  <c r="H30" i="12"/>
  <c r="AC12" i="5"/>
  <c r="AC20" i="5"/>
  <c r="AC28" i="5"/>
  <c r="AC36" i="5"/>
  <c r="AC44" i="5"/>
  <c r="AC52" i="5"/>
  <c r="H33" i="11"/>
  <c r="AE12" i="5"/>
  <c r="AE20" i="5"/>
  <c r="AE28" i="5"/>
  <c r="G64" i="5"/>
  <c r="I121" i="10"/>
  <c r="I122" i="10" s="1"/>
  <c r="J123" i="10" s="1"/>
  <c r="J49" i="11"/>
  <c r="J52" i="11" s="1"/>
  <c r="J53" i="11" s="1"/>
  <c r="AK43" i="7"/>
  <c r="W20" i="7"/>
  <c r="AN20" i="7" s="1"/>
  <c r="W36" i="7"/>
  <c r="AN36" i="7" s="1"/>
  <c r="J107" i="9"/>
  <c r="J110" i="9" s="1"/>
  <c r="J111" i="9" s="1"/>
  <c r="AC40" i="5"/>
  <c r="AC48" i="5"/>
  <c r="AC15" i="5"/>
  <c r="AC23" i="5"/>
  <c r="AC31" i="5"/>
  <c r="AC39" i="5"/>
  <c r="AC47" i="5"/>
  <c r="AN24" i="7" l="1"/>
  <c r="AN16" i="7"/>
  <c r="AN35" i="7"/>
  <c r="AN17" i="7"/>
  <c r="AP22" i="7"/>
  <c r="AQ22" i="7" s="1"/>
  <c r="AM43" i="7"/>
  <c r="S50" i="7" s="1"/>
  <c r="AN15" i="7"/>
  <c r="AP13" i="7"/>
  <c r="AQ13" i="7" s="1"/>
  <c r="I55" i="6"/>
  <c r="H20" i="1"/>
  <c r="M20" i="1" s="1"/>
  <c r="H44" i="12"/>
  <c r="AY32" i="5"/>
  <c r="AZ32" i="5" s="1"/>
  <c r="AW32" i="5"/>
  <c r="AA70" i="5"/>
  <c r="K68" i="7"/>
  <c r="K70" i="7" s="1"/>
  <c r="AC58" i="5"/>
  <c r="AQ9" i="7"/>
  <c r="W40" i="7"/>
  <c r="W43" i="7"/>
  <c r="G40" i="11"/>
  <c r="H22" i="1"/>
  <c r="M22" i="1" s="1"/>
  <c r="AV55" i="5"/>
  <c r="AW55" i="5" s="1"/>
  <c r="AW9" i="5"/>
  <c r="AV57" i="5"/>
  <c r="Z65" i="5" s="1"/>
  <c r="AY9" i="5"/>
  <c r="I135" i="10"/>
  <c r="I136" i="10" s="1"/>
  <c r="AC55" i="5"/>
  <c r="AY11" i="5"/>
  <c r="AZ11" i="5" s="1"/>
  <c r="H111" i="9"/>
  <c r="G65" i="5"/>
  <c r="AN9" i="7"/>
  <c r="M25" i="1"/>
  <c r="AP43" i="7" l="1"/>
  <c r="X50" i="7" s="1"/>
  <c r="H53" i="12"/>
  <c r="H45" i="12"/>
  <c r="AY55" i="5"/>
  <c r="AZ9" i="5"/>
  <c r="AY57" i="5"/>
  <c r="AG6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Ryan</author>
  </authors>
  <commentList>
    <comment ref="H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"Intent to Film"
</t>
        </r>
      </text>
    </comment>
    <comment ref="G1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CPA/ State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Zscient Tharra D. Paraiso</author>
    <author>Admin User</author>
  </authors>
  <commentList>
    <comment ref="H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Zscient Tharra D. Paraiso:
Pay date from payroll report, check number, last 4 digits of Social Security Number</t>
        </r>
      </text>
    </comment>
    <comment ref="AF8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Zscient Tharra D. Paraiso:
If applicable, should be placed before Submitted Amount Column</t>
        </r>
      </text>
    </comment>
    <comment ref="AT8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Admin User:
Includes Taxable, Non-Taxable &amp; Corp -- Vac/Holiday Pay is included as a benefit</t>
        </r>
      </text>
    </comment>
    <comment ref="AU8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Admin User:
includes, FICA, Medi, FUI, SUI &amp; PH&amp;W &amp; Hoiday/Vacation Pay</t>
        </r>
      </text>
    </comment>
  </commentList>
</comments>
</file>

<file path=xl/sharedStrings.xml><?xml version="1.0" encoding="utf-8"?>
<sst xmlns="http://schemas.openxmlformats.org/spreadsheetml/2006/main" count="608" uniqueCount="304">
  <si>
    <t>35% of paid crew must be Texas Residents</t>
  </si>
  <si>
    <t>W/C &amp; Handling Fees DNQ unless a local vendor was used</t>
  </si>
  <si>
    <t>***typically payroll companies are self-insured - as such DNQ</t>
  </si>
  <si>
    <t>If applicable</t>
  </si>
  <si>
    <t>Check# to Reference#</t>
  </si>
  <si>
    <t>CPA</t>
  </si>
  <si>
    <t>Ineligible</t>
  </si>
  <si>
    <t>ITEM #</t>
  </si>
  <si>
    <t>Production Report</t>
  </si>
  <si>
    <t>Invoice PDF</t>
  </si>
  <si>
    <t>Inv #</t>
  </si>
  <si>
    <t xml:space="preserve"> Invoice Date</t>
  </si>
  <si>
    <t>Pay Period (WE)</t>
  </si>
  <si>
    <t>Ref Number</t>
  </si>
  <si>
    <t>Crew Name (Last, First)</t>
  </si>
  <si>
    <t>Crew Position</t>
  </si>
  <si>
    <t>Valid DTR Form</t>
  </si>
  <si>
    <t>Work State</t>
  </si>
  <si>
    <t>Resident State</t>
  </si>
  <si>
    <t>Taxable Wages $</t>
  </si>
  <si>
    <t>Corporate $</t>
  </si>
  <si>
    <t>FICA</t>
  </si>
  <si>
    <t>Medi</t>
  </si>
  <si>
    <t>FUI</t>
  </si>
  <si>
    <t>SUI</t>
  </si>
  <si>
    <t>W/C</t>
  </si>
  <si>
    <t>PH&amp;W</t>
  </si>
  <si>
    <t>Vac/Hol</t>
  </si>
  <si>
    <t>Hand</t>
  </si>
  <si>
    <t>Non Taxable - Mileage</t>
  </si>
  <si>
    <t>Non Taxable - Kit Rental</t>
  </si>
  <si>
    <t>Non Taxable - Other Rental</t>
  </si>
  <si>
    <t>Total</t>
  </si>
  <si>
    <t>Ineligible $</t>
  </si>
  <si>
    <t>Submitted Amount</t>
  </si>
  <si>
    <t>Automation Total</t>
  </si>
  <si>
    <t>Automation Check</t>
  </si>
  <si>
    <t>Time Allocated</t>
  </si>
  <si>
    <t>Proof of Payment</t>
  </si>
  <si>
    <t>Payment Entity</t>
  </si>
  <si>
    <t>Loan Out</t>
  </si>
  <si>
    <t>Qualify?</t>
  </si>
  <si>
    <t>Home address</t>
  </si>
  <si>
    <t>City</t>
  </si>
  <si>
    <t>State</t>
  </si>
  <si>
    <t>Zip</t>
  </si>
  <si>
    <t>Notes:</t>
  </si>
  <si>
    <t>On Call Sheet</t>
  </si>
  <si>
    <t>Name on Call sheet</t>
  </si>
  <si>
    <t>GROSS</t>
  </si>
  <si>
    <t>BENEFITS (P, H &amp; W)</t>
  </si>
  <si>
    <t>TOTAL</t>
  </si>
  <si>
    <t>Invoice #</t>
  </si>
  <si>
    <t>Qualified Amount</t>
  </si>
  <si>
    <t>Unqualified Amount</t>
  </si>
  <si>
    <t>ELIGIBLE TOTAL</t>
  </si>
  <si>
    <t>INELIGIBLE TOTAL</t>
  </si>
  <si>
    <t>NO-OOS</t>
  </si>
  <si>
    <t>NO-TX</t>
  </si>
  <si>
    <t>YES</t>
  </si>
  <si>
    <t>Total Eligible</t>
  </si>
  <si>
    <t>Total Ineligible</t>
  </si>
  <si>
    <t>Total Expenses</t>
  </si>
  <si>
    <t>TPC</t>
  </si>
  <si>
    <t>Commercial Project Summary</t>
  </si>
  <si>
    <t>Project Description</t>
  </si>
  <si>
    <t>State:</t>
  </si>
  <si>
    <t>TX</t>
  </si>
  <si>
    <t>Project Title:</t>
  </si>
  <si>
    <t>Award Date</t>
  </si>
  <si>
    <t>Pre Pro Date</t>
  </si>
  <si>
    <t>Shoot Date</t>
  </si>
  <si>
    <t>Estimated Production Budget</t>
  </si>
  <si>
    <t>Production Wrap Date</t>
  </si>
  <si>
    <t xml:space="preserve"> In-State:</t>
  </si>
  <si>
    <t>Out of State</t>
  </si>
  <si>
    <t>Post Production Date</t>
  </si>
  <si>
    <t>Estimated Total</t>
  </si>
  <si>
    <t>Prodco direct costs</t>
  </si>
  <si>
    <t>Client:</t>
  </si>
  <si>
    <t>Total:</t>
  </si>
  <si>
    <t>Client Brand:</t>
  </si>
  <si>
    <t>Product:</t>
  </si>
  <si>
    <t>Submitted:</t>
  </si>
  <si>
    <t>Qualified</t>
  </si>
  <si>
    <t>DNQ</t>
  </si>
  <si>
    <t>Agency:</t>
  </si>
  <si>
    <t>OOS Agency</t>
  </si>
  <si>
    <t>Production</t>
  </si>
  <si>
    <t>Production Company:</t>
  </si>
  <si>
    <t>OOS ProdCo</t>
  </si>
  <si>
    <t>Prod. Crew Reimb.</t>
  </si>
  <si>
    <t>Crew Payroll Company:</t>
  </si>
  <si>
    <t>Petty Cash</t>
  </si>
  <si>
    <t>Celebrity Payroll Company:</t>
  </si>
  <si>
    <t>Crew Payroll (3rd Party)</t>
  </si>
  <si>
    <t>Talent Payroll Company:</t>
  </si>
  <si>
    <t>Crew Payroll (Independent Contractors)</t>
  </si>
  <si>
    <t>Production Insurance:</t>
  </si>
  <si>
    <t>Talent Payroll</t>
  </si>
  <si>
    <t>Other Payor 2:</t>
  </si>
  <si>
    <t>Agency</t>
  </si>
  <si>
    <t xml:space="preserve">Other Payor 3: </t>
  </si>
  <si>
    <t>Other</t>
  </si>
  <si>
    <t>Celebrity Name(s):</t>
  </si>
  <si>
    <t>Total Submitted costs:</t>
  </si>
  <si>
    <t>Job Description:</t>
  </si>
  <si>
    <t>Submitted Payroll Expenditures:</t>
  </si>
  <si>
    <t>Agency Job Name:</t>
  </si>
  <si>
    <t>Submitted AP Expenditures:</t>
  </si>
  <si>
    <t>Agency Job Number:</t>
  </si>
  <si>
    <t>Submitted PC/CC Expenditures:</t>
  </si>
  <si>
    <t>Total Submitted Expenditures:</t>
  </si>
  <si>
    <t>AICP Bid</t>
  </si>
  <si>
    <t>AICP Bid TX Only</t>
  </si>
  <si>
    <t>Actuals</t>
  </si>
  <si>
    <t>Maximum Allowed</t>
  </si>
  <si>
    <t>Award Letter</t>
  </si>
  <si>
    <t>Qualifying Spending:</t>
  </si>
  <si>
    <t>Grant Agreement</t>
  </si>
  <si>
    <t>Anticipated Grant Pct:</t>
  </si>
  <si>
    <t>Call Sheet</t>
  </si>
  <si>
    <t>Estimated Grant Amount:</t>
  </si>
  <si>
    <t>Production Contract</t>
  </si>
  <si>
    <t>Amount Issued</t>
  </si>
  <si>
    <t>Per Michelle Habecker on X/XX/21</t>
  </si>
  <si>
    <t>Application</t>
  </si>
  <si>
    <t>Agency Estimate</t>
  </si>
  <si>
    <t>Pre-Production Book</t>
  </si>
  <si>
    <t>Spots:</t>
  </si>
  <si>
    <t>UPLIFTS FOR THIS JOB</t>
  </si>
  <si>
    <t>Rural Area (2.5%</t>
  </si>
  <si>
    <t>Post Production (1%)</t>
  </si>
  <si>
    <t>Veteran Percentage (2.5%)</t>
  </si>
  <si>
    <t>Texas Historic Site (2.5%)</t>
  </si>
  <si>
    <t>Workforce Development (2.5%)</t>
  </si>
  <si>
    <t>Texas Heritage (2.5%)</t>
  </si>
  <si>
    <t>Faith-Based (2.5%)</t>
  </si>
  <si>
    <t>TEXAS PRODUCTION DAYS VERIFICATION</t>
  </si>
  <si>
    <t>Total Production (Shoot) Days:</t>
  </si>
  <si>
    <t>Texas Production (Shoot) Days:</t>
  </si>
  <si>
    <t>Texas Production Shoot Days Pct:</t>
  </si>
  <si>
    <t>60% of total production days must be completed in TX</t>
  </si>
  <si>
    <t>TEXAS CREW AND CAST VERIFICATION</t>
  </si>
  <si>
    <t>Total Cast &amp; Crew</t>
  </si>
  <si>
    <t>Total TEXAS Cast &amp; Crew</t>
  </si>
  <si>
    <t>TX ONLY %</t>
  </si>
  <si>
    <t>35% of Cast &amp; Crew Must be Texas Residents</t>
  </si>
  <si>
    <t>W-9 for All Vendors</t>
  </si>
  <si>
    <t>Since ineligible amounts were removed, should we modify the receipt?</t>
  </si>
  <si>
    <t>CPA Audit</t>
  </si>
  <si>
    <t>No</t>
  </si>
  <si>
    <t>Loan-out Registration</t>
  </si>
  <si>
    <t>Income tax withholding</t>
  </si>
  <si>
    <t>Not required for both individual and loan-out</t>
  </si>
  <si>
    <t>Have we gotten DTRs from All Crew Listed on the Callsheet?</t>
  </si>
  <si>
    <t>Have we gotten DTRs from All Crew Listed on the Payroll Report?</t>
  </si>
  <si>
    <t>Have we gotten DTRs from All Crew Listed on the Invoices?</t>
  </si>
  <si>
    <t>Have we gotten DTRs from All Talent Listed on the Callsheet?</t>
  </si>
  <si>
    <t>Have we gotten DTRs from All Talent Listed on the Payroll Report?</t>
  </si>
  <si>
    <t>Are all DTRs verified by the production Company?</t>
  </si>
  <si>
    <t>Have Driver's licences been put into the Database?</t>
  </si>
  <si>
    <t>PRODUCTION LOCATIONS</t>
  </si>
  <si>
    <t xml:space="preserve">Any County EXCEPT the following will qualify for Rural Uplift: </t>
  </si>
  <si>
    <t>Shoot Day</t>
  </si>
  <si>
    <t>Location Name</t>
  </si>
  <si>
    <t>Street Number</t>
  </si>
  <si>
    <t>Street Name</t>
  </si>
  <si>
    <t xml:space="preserve">City </t>
  </si>
  <si>
    <t>Zip Code</t>
  </si>
  <si>
    <t>Production Date/Range</t>
  </si>
  <si>
    <t>Notes (Basecamp, Non-TX)</t>
  </si>
  <si>
    <t>TX County</t>
  </si>
  <si>
    <t>Harris</t>
  </si>
  <si>
    <t>Dallas</t>
  </si>
  <si>
    <t>Tarrant</t>
  </si>
  <si>
    <t>Bexar</t>
  </si>
  <si>
    <t>Travis</t>
  </si>
  <si>
    <t>Collin</t>
  </si>
  <si>
    <t>Denton</t>
  </si>
  <si>
    <t>Fort Bend</t>
  </si>
  <si>
    <t>Hidalgo</t>
  </si>
  <si>
    <t>El Paso</t>
  </si>
  <si>
    <t>Montgomery</t>
  </si>
  <si>
    <t>Williamson</t>
  </si>
  <si>
    <t>Cameron</t>
  </si>
  <si>
    <t>Brazoria</t>
  </si>
  <si>
    <t>Bell</t>
  </si>
  <si>
    <t>Galveston</t>
  </si>
  <si>
    <t>Nueces</t>
  </si>
  <si>
    <t>Lubbock</t>
  </si>
  <si>
    <t>CAST &amp; CREW LIST</t>
  </si>
  <si>
    <t>Alphabetized by Last Name</t>
  </si>
  <si>
    <t>Crew Or Talent</t>
  </si>
  <si>
    <t>Name (Last, First)</t>
  </si>
  <si>
    <t>Crew Position / Role</t>
  </si>
  <si>
    <t>DTR Form (Y/N)</t>
  </si>
  <si>
    <t>Parent Name (for Minors)</t>
  </si>
  <si>
    <t>Notes</t>
  </si>
  <si>
    <t>1st Shoot date</t>
  </si>
  <si>
    <t>120 Days Prior to Shoot date</t>
  </si>
  <si>
    <t>TOTAL TX ONLY - CREW &amp; CAST</t>
  </si>
  <si>
    <t>TOTAL ALL CREW &amp; CAST</t>
  </si>
  <si>
    <t>Pay period to Check Number</t>
  </si>
  <si>
    <t xml:space="preserve"> -</t>
  </si>
  <si>
    <t>PO #</t>
  </si>
  <si>
    <t>Pay Period/Invoice Date</t>
  </si>
  <si>
    <t>Check Number</t>
  </si>
  <si>
    <t>Gross Wages</t>
  </si>
  <si>
    <t>Mileage</t>
  </si>
  <si>
    <t>Kit Rental</t>
  </si>
  <si>
    <t>Submitted Amount $</t>
  </si>
  <si>
    <t>Pymt Method</t>
  </si>
  <si>
    <t>Pymt #</t>
  </si>
  <si>
    <t>Proof of Payment?</t>
  </si>
  <si>
    <t>Type</t>
  </si>
  <si>
    <t>Description</t>
  </si>
  <si>
    <t>Address</t>
  </si>
  <si>
    <t>Contact #</t>
  </si>
  <si>
    <t>'Comm Summary'!A1</t>
  </si>
  <si>
    <t>35% of paid cast &amp; crew, including extras, must be Texas Residents</t>
  </si>
  <si>
    <t>Add a column for who paid the talent (Prodco vs Agency) if needed</t>
  </si>
  <si>
    <t>Taxes need to be broken Down: FICA, FUTA MEDI, SUTA</t>
  </si>
  <si>
    <t>Include</t>
  </si>
  <si>
    <t>Ref Number (Check #)</t>
  </si>
  <si>
    <t>Talent Name</t>
  </si>
  <si>
    <t>Title</t>
  </si>
  <si>
    <t>Location</t>
  </si>
  <si>
    <t>TX Resident</t>
  </si>
  <si>
    <t>Gross Wages $</t>
  </si>
  <si>
    <t>Misc Payment</t>
  </si>
  <si>
    <t>ER Payroll Taxes</t>
  </si>
  <si>
    <t>Workers Comp</t>
  </si>
  <si>
    <t>Handling/Vendor Fee</t>
  </si>
  <si>
    <t>Pension &amp; Health</t>
  </si>
  <si>
    <t xml:space="preserve">Loan Out </t>
  </si>
  <si>
    <t>Home Address</t>
  </si>
  <si>
    <t>FRINGES</t>
  </si>
  <si>
    <t>Wages &amp; Misc Pymts</t>
  </si>
  <si>
    <t>Payroll Taxes</t>
  </si>
  <si>
    <t>P&amp;H Contributions</t>
  </si>
  <si>
    <t>YES-HANDLING</t>
  </si>
  <si>
    <t>Crew Name</t>
  </si>
  <si>
    <t>Invoice $</t>
  </si>
  <si>
    <t>Submitted Amount$</t>
  </si>
  <si>
    <t>Vendor Name</t>
  </si>
  <si>
    <t>Pay Date</t>
  </si>
  <si>
    <t>SUBMITTED TOTAL</t>
  </si>
  <si>
    <t>Check</t>
  </si>
  <si>
    <t>Credit Card</t>
  </si>
  <si>
    <t>Unknown</t>
  </si>
  <si>
    <t>If no Address, please add PDF file of adress obtained from website</t>
  </si>
  <si>
    <t>Env #</t>
  </si>
  <si>
    <t>Line #</t>
  </si>
  <si>
    <t>Receipt Date</t>
  </si>
  <si>
    <t>Petty $ Amount</t>
  </si>
  <si>
    <t>Qualified Total</t>
  </si>
  <si>
    <t>Name</t>
  </si>
  <si>
    <t>Vendor</t>
  </si>
  <si>
    <t>Subtotal:</t>
  </si>
  <si>
    <t>Employee Name</t>
  </si>
  <si>
    <t>Ineligible Amount</t>
  </si>
  <si>
    <t>Category/Department</t>
  </si>
  <si>
    <t>Job Number</t>
  </si>
  <si>
    <t>Ptype</t>
  </si>
  <si>
    <t>Entity</t>
  </si>
  <si>
    <t>Value</t>
  </si>
  <si>
    <t>Payroll Value</t>
  </si>
  <si>
    <t>Qualify</t>
  </si>
  <si>
    <t>Comp Description</t>
  </si>
  <si>
    <t>Diversity</t>
  </si>
  <si>
    <t>ECIS LA</t>
  </si>
  <si>
    <t>Goods</t>
  </si>
  <si>
    <t>Session Fee</t>
  </si>
  <si>
    <t>Elite CIS</t>
  </si>
  <si>
    <t>Principal</t>
  </si>
  <si>
    <t>African American</t>
  </si>
  <si>
    <t>P-Card</t>
  </si>
  <si>
    <t>ECIS NC</t>
  </si>
  <si>
    <t>NO</t>
  </si>
  <si>
    <t>Services</t>
  </si>
  <si>
    <t>Holding Fee</t>
  </si>
  <si>
    <t>Extra</t>
  </si>
  <si>
    <t>Asian American</t>
  </si>
  <si>
    <t>N/A</t>
  </si>
  <si>
    <t>N/A - (P/R)</t>
  </si>
  <si>
    <t>Compensation</t>
  </si>
  <si>
    <t>Re-use Fee</t>
  </si>
  <si>
    <t>Agent</t>
  </si>
  <si>
    <t>Incomplete - expired ID</t>
  </si>
  <si>
    <t>Caucasian (White) American</t>
  </si>
  <si>
    <t>N/A - (OOS)</t>
  </si>
  <si>
    <t>Cancellation Fee</t>
  </si>
  <si>
    <t>Incomplete - Missing signature</t>
  </si>
  <si>
    <t>Hispanic American</t>
  </si>
  <si>
    <t>EFT/WIRE</t>
  </si>
  <si>
    <t>Native American</t>
  </si>
  <si>
    <t>Payroll Company</t>
  </si>
  <si>
    <t>Prefer not to Answer</t>
  </si>
  <si>
    <t>Internal</t>
  </si>
  <si>
    <t>n/a</t>
  </si>
  <si>
    <t>On PDF</t>
  </si>
  <si>
    <t>On PTIP</t>
  </si>
  <si>
    <t>From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</si>
</sst>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&lt;=9999999]###\-####;\(###\)\ ###\-####"/>
    <numFmt numFmtId="165" formatCode="0000"/>
    <numFmt numFmtId="166" formatCode="m/dd/yy"/>
    <numFmt numFmtId="167" formatCode="m/d/yy;@"/>
    <numFmt numFmtId="168" formatCode="0.000%"/>
    <numFmt numFmtId="169" formatCode="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rgb="FF0000FF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7FFC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3" fontId="19" fillId="0" borderId="0"/>
    <xf numFmtId="44" fontId="19" fillId="0" borderId="0"/>
    <xf numFmtId="0" fontId="6" fillId="0" borderId="0"/>
    <xf numFmtId="0" fontId="8" fillId="0" borderId="0"/>
    <xf numFmtId="44" fontId="8" fillId="0" borderId="0"/>
    <xf numFmtId="9" fontId="19" fillId="0" borderId="0"/>
    <xf numFmtId="44" fontId="8" fillId="0" borderId="0"/>
    <xf numFmtId="0" fontId="6" fillId="0" borderId="0"/>
    <xf numFmtId="43" fontId="19" fillId="0" borderId="0"/>
    <xf numFmtId="0" fontId="19" fillId="0" borderId="0"/>
  </cellStyleXfs>
  <cellXfs count="418">
    <xf numFmtId="0" fontId="0" fillId="0" borderId="0" xfId="0"/>
    <xf numFmtId="0" fontId="0" fillId="0" borderId="1" xfId="0" applyBorder="1"/>
    <xf numFmtId="44" fontId="1" fillId="0" borderId="1" xfId="0" applyNumberFormat="1" applyFont="1" applyBorder="1"/>
    <xf numFmtId="8" fontId="0" fillId="0" borderId="0" xfId="0" applyNumberForma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1" fontId="0" fillId="0" borderId="1" xfId="1" applyNumberFormat="1" applyFont="1" applyBorder="1" applyAlignment="1">
      <alignment horizontal="center"/>
    </xf>
    <xf numFmtId="44" fontId="1" fillId="0" borderId="3" xfId="0" applyNumberFormat="1" applyFont="1" applyBorder="1" applyAlignment="1">
      <alignment horizontal="center"/>
    </xf>
    <xf numFmtId="44" fontId="1" fillId="0" borderId="2" xfId="0" applyNumberFormat="1" applyFont="1" applyBorder="1" applyAlignment="1">
      <alignment horizontal="center"/>
    </xf>
    <xf numFmtId="44" fontId="1" fillId="0" borderId="4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right"/>
    </xf>
    <xf numFmtId="0" fontId="1" fillId="0" borderId="6" xfId="0" applyFont="1" applyBorder="1"/>
    <xf numFmtId="44" fontId="1" fillId="0" borderId="4" xfId="0" applyNumberFormat="1" applyFont="1" applyBorder="1"/>
    <xf numFmtId="0" fontId="6" fillId="0" borderId="0" xfId="3" applyAlignment="1">
      <alignment horizontal="left"/>
    </xf>
    <xf numFmtId="44" fontId="6" fillId="0" borderId="5" xfId="3" applyNumberFormat="1" applyBorder="1"/>
    <xf numFmtId="14" fontId="5" fillId="0" borderId="0" xfId="0" applyNumberFormat="1" applyFon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44" fontId="1" fillId="0" borderId="4" xfId="0" applyNumberFormat="1" applyFont="1" applyBorder="1" applyAlignment="1">
      <alignment horizontal="left"/>
    </xf>
    <xf numFmtId="8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left"/>
    </xf>
    <xf numFmtId="44" fontId="1" fillId="0" borderId="0" xfId="0" applyNumberFormat="1" applyFont="1"/>
    <xf numFmtId="0" fontId="1" fillId="0" borderId="6" xfId="0" applyFon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4" fontId="0" fillId="0" borderId="0" xfId="1" applyNumberFormat="1" applyFont="1" applyAlignment="1">
      <alignment horizontal="center"/>
    </xf>
    <xf numFmtId="44" fontId="0" fillId="0" borderId="0" xfId="0" applyNumberFormat="1"/>
    <xf numFmtId="1" fontId="0" fillId="0" borderId="0" xfId="1" applyNumberFormat="1" applyFont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44" fontId="0" fillId="0" borderId="1" xfId="1" applyNumberFormat="1" applyFont="1" applyBorder="1"/>
    <xf numFmtId="44" fontId="0" fillId="0" borderId="0" xfId="1" applyNumberFormat="1" applyFont="1"/>
    <xf numFmtId="14" fontId="1" fillId="0" borderId="0" xfId="0" applyNumberFormat="1" applyFont="1" applyAlignment="1">
      <alignment horizontal="center"/>
    </xf>
    <xf numFmtId="44" fontId="1" fillId="2" borderId="1" xfId="1" applyNumberFormat="1" applyFont="1" applyFill="1" applyBorder="1" applyAlignment="1">
      <alignment horizontal="center"/>
    </xf>
    <xf numFmtId="44" fontId="1" fillId="0" borderId="1" xfId="2" applyFont="1" applyBorder="1"/>
    <xf numFmtId="44" fontId="0" fillId="0" borderId="0" xfId="2" applyFont="1"/>
    <xf numFmtId="44" fontId="13" fillId="2" borderId="1" xfId="1" applyNumberFormat="1" applyFont="1" applyFill="1" applyBorder="1" applyAlignment="1">
      <alignment horizontal="center"/>
    </xf>
    <xf numFmtId="44" fontId="10" fillId="0" borderId="1" xfId="1" applyNumberFormat="1" applyFont="1" applyBorder="1"/>
    <xf numFmtId="44" fontId="1" fillId="0" borderId="8" xfId="1" applyNumberFormat="1" applyFont="1" applyBorder="1"/>
    <xf numFmtId="44" fontId="0" fillId="0" borderId="1" xfId="0" applyNumberFormat="1" applyBorder="1"/>
    <xf numFmtId="44" fontId="0" fillId="0" borderId="4" xfId="0" applyNumberFormat="1" applyBorder="1"/>
    <xf numFmtId="1" fontId="0" fillId="0" borderId="4" xfId="1" applyNumberFormat="1" applyFon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1" fillId="0" borderId="4" xfId="0" applyNumberFormat="1" applyFont="1" applyBorder="1" applyAlignment="1">
      <alignment horizontal="right"/>
    </xf>
    <xf numFmtId="1" fontId="2" fillId="0" borderId="1" xfId="3" applyNumberFormat="1" applyFont="1" applyBorder="1" applyAlignment="1">
      <alignment horizontal="center"/>
    </xf>
    <xf numFmtId="0" fontId="2" fillId="0" borderId="0" xfId="0" applyFont="1"/>
    <xf numFmtId="49" fontId="2" fillId="0" borderId="1" xfId="3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44" fontId="1" fillId="0" borderId="0" xfId="0" applyNumberFormat="1" applyFont="1" applyAlignment="1">
      <alignment horizontal="left"/>
    </xf>
    <xf numFmtId="1" fontId="2" fillId="0" borderId="1" xfId="1" applyNumberFormat="1" applyFont="1" applyBorder="1" applyAlignment="1">
      <alignment horizontal="center"/>
    </xf>
    <xf numFmtId="2" fontId="0" fillId="0" borderId="0" xfId="0" applyNumberFormat="1"/>
    <xf numFmtId="2" fontId="1" fillId="2" borderId="1" xfId="0" applyNumberFormat="1" applyFont="1" applyFill="1" applyBorder="1"/>
    <xf numFmtId="2" fontId="1" fillId="0" borderId="2" xfId="0" applyNumberFormat="1" applyFont="1" applyBorder="1" applyAlignment="1">
      <alignment horizontal="center"/>
    </xf>
    <xf numFmtId="0" fontId="10" fillId="0" borderId="0" xfId="0" applyFont="1"/>
    <xf numFmtId="0" fontId="2" fillId="0" borderId="0" xfId="3" applyFont="1" applyAlignment="1">
      <alignment horizontal="center"/>
    </xf>
    <xf numFmtId="0" fontId="0" fillId="0" borderId="1" xfId="0" quotePrefix="1" applyBorder="1" applyAlignment="1">
      <alignment horizontal="center"/>
    </xf>
    <xf numFmtId="44" fontId="15" fillId="0" borderId="5" xfId="2" applyFont="1" applyBorder="1"/>
    <xf numFmtId="2" fontId="15" fillId="0" borderId="0" xfId="0" applyNumberFormat="1" applyFont="1"/>
    <xf numFmtId="4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8" fontId="16" fillId="0" borderId="0" xfId="0" applyNumberFormat="1" applyFont="1"/>
    <xf numFmtId="44" fontId="1" fillId="0" borderId="11" xfId="2" applyFont="1" applyBorder="1"/>
    <xf numFmtId="14" fontId="1" fillId="0" borderId="4" xfId="0" applyNumberFormat="1" applyFont="1" applyBorder="1" applyAlignment="1">
      <alignment horizontal="right"/>
    </xf>
    <xf numFmtId="0" fontId="12" fillId="2" borderId="1" xfId="0" applyFont="1" applyFill="1" applyBorder="1" applyAlignment="1">
      <alignment horizontal="center"/>
    </xf>
    <xf numFmtId="1" fontId="2" fillId="0" borderId="4" xfId="1" applyNumberFormat="1" applyFont="1" applyBorder="1" applyAlignment="1">
      <alignment horizontal="center"/>
    </xf>
    <xf numFmtId="43" fontId="10" fillId="0" borderId="0" xfId="0" applyNumberFormat="1" applyFont="1"/>
    <xf numFmtId="1" fontId="2" fillId="0" borderId="11" xfId="3" applyNumberFormat="1" applyFont="1" applyBorder="1" applyAlignment="1">
      <alignment horizontal="center"/>
    </xf>
    <xf numFmtId="0" fontId="2" fillId="0" borderId="11" xfId="3" applyFont="1" applyBorder="1" applyAlignment="1">
      <alignment horizontal="center"/>
    </xf>
    <xf numFmtId="1" fontId="2" fillId="0" borderId="11" xfId="3" quotePrefix="1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4" fontId="10" fillId="0" borderId="1" xfId="0" applyNumberFormat="1" applyFont="1" applyBorder="1"/>
    <xf numFmtId="14" fontId="1" fillId="0" borderId="4" xfId="0" applyNumberFormat="1" applyFont="1" applyBorder="1" applyAlignment="1">
      <alignment horizontal="center"/>
    </xf>
    <xf numFmtId="44" fontId="0" fillId="0" borderId="0" xfId="2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44" fontId="0" fillId="0" borderId="13" xfId="2" applyFont="1" applyBorder="1" applyAlignment="1">
      <alignment horizontal="center"/>
    </xf>
    <xf numFmtId="44" fontId="1" fillId="0" borderId="0" xfId="1" applyNumberFormat="1" applyFont="1"/>
    <xf numFmtId="43" fontId="10" fillId="0" borderId="0" xfId="2" applyNumberFormat="1" applyFont="1" applyAlignment="1">
      <alignment horizontal="center"/>
    </xf>
    <xf numFmtId="43" fontId="10" fillId="0" borderId="0" xfId="0" applyNumberFormat="1" applyFont="1" applyAlignment="1">
      <alignment horizontal="center"/>
    </xf>
    <xf numFmtId="44" fontId="10" fillId="0" borderId="0" xfId="0" applyNumberFormat="1" applyFont="1" applyAlignment="1">
      <alignment horizontal="left"/>
    </xf>
    <xf numFmtId="44" fontId="0" fillId="0" borderId="14" xfId="1" applyNumberFormat="1" applyFont="1" applyBorder="1"/>
    <xf numFmtId="0" fontId="0" fillId="5" borderId="1" xfId="0" applyFill="1" applyBorder="1" applyAlignment="1">
      <alignment horizontal="center"/>
    </xf>
    <xf numFmtId="43" fontId="15" fillId="0" borderId="5" xfId="1" applyFont="1" applyBorder="1"/>
    <xf numFmtId="44" fontId="17" fillId="0" borderId="5" xfId="0" applyNumberFormat="1" applyFont="1" applyBorder="1"/>
    <xf numFmtId="0" fontId="2" fillId="0" borderId="0" xfId="0" applyFont="1" applyAlignment="1">
      <alignment horizontal="center"/>
    </xf>
    <xf numFmtId="1" fontId="12" fillId="0" borderId="4" xfId="0" applyNumberFormat="1" applyFont="1" applyBorder="1" applyAlignment="1">
      <alignment horizontal="right"/>
    </xf>
    <xf numFmtId="8" fontId="12" fillId="0" borderId="0" xfId="0" applyNumberFormat="1" applyFont="1" applyAlignment="1">
      <alignment horizontal="right"/>
    </xf>
    <xf numFmtId="0" fontId="2" fillId="0" borderId="1" xfId="3" applyFont="1" applyBorder="1" applyAlignment="1">
      <alignment horizontal="center"/>
    </xf>
    <xf numFmtId="0" fontId="2" fillId="0" borderId="0" xfId="1" applyNumberFormat="1" applyFont="1" applyAlignment="1">
      <alignment horizontal="center"/>
    </xf>
    <xf numFmtId="1" fontId="12" fillId="0" borderId="1" xfId="1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" fontId="12" fillId="0" borderId="4" xfId="0" applyNumberFormat="1" applyFont="1" applyBorder="1" applyAlignment="1">
      <alignment horizontal="center"/>
    </xf>
    <xf numFmtId="8" fontId="12" fillId="0" borderId="0" xfId="0" applyNumberFormat="1" applyFont="1" applyAlignment="1">
      <alignment horizontal="center"/>
    </xf>
    <xf numFmtId="44" fontId="2" fillId="0" borderId="13" xfId="2" applyFont="1" applyBorder="1" applyAlignment="1">
      <alignment horizontal="center"/>
    </xf>
    <xf numFmtId="44" fontId="2" fillId="0" borderId="0" xfId="1" applyNumberFormat="1" applyFont="1"/>
    <xf numFmtId="0" fontId="1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/>
    </xf>
    <xf numFmtId="44" fontId="1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0" xfId="1" applyNumberFormat="1" applyFont="1" applyAlignment="1">
      <alignment horizontal="center"/>
    </xf>
    <xf numFmtId="44" fontId="0" fillId="0" borderId="14" xfId="1" applyNumberFormat="1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43" fontId="20" fillId="0" borderId="0" xfId="1" applyFont="1" applyProtection="1">
      <protection locked="0"/>
    </xf>
    <xf numFmtId="43" fontId="20" fillId="0" borderId="0" xfId="1" applyFont="1"/>
    <xf numFmtId="44" fontId="4" fillId="0" borderId="0" xfId="2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1" applyNumberFormat="1" applyFont="1" applyBorder="1"/>
    <xf numFmtId="0" fontId="17" fillId="0" borderId="0" xfId="3" applyFont="1" applyAlignment="1">
      <alignment horizontal="left"/>
    </xf>
    <xf numFmtId="0" fontId="17" fillId="0" borderId="0" xfId="0" applyFont="1" applyAlignment="1">
      <alignment horizontal="left"/>
    </xf>
    <xf numFmtId="44" fontId="2" fillId="0" borderId="1" xfId="1" applyNumberFormat="1" applyFont="1" applyBorder="1"/>
    <xf numFmtId="44" fontId="13" fillId="0" borderId="1" xfId="0" applyNumberFormat="1" applyFont="1" applyBorder="1"/>
    <xf numFmtId="0" fontId="0" fillId="0" borderId="0" xfId="0" applyAlignment="1">
      <alignment horizontal="right"/>
    </xf>
    <xf numFmtId="0" fontId="0" fillId="3" borderId="0" xfId="0" applyFill="1" applyProtection="1">
      <protection locked="0"/>
    </xf>
    <xf numFmtId="44" fontId="17" fillId="0" borderId="0" xfId="0" applyNumberFormat="1" applyFont="1"/>
    <xf numFmtId="9" fontId="2" fillId="0" borderId="1" xfId="6" applyFont="1" applyBorder="1" applyAlignment="1">
      <alignment horizontal="center"/>
    </xf>
    <xf numFmtId="44" fontId="0" fillId="0" borderId="0" xfId="0" applyNumberFormat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44" fontId="10" fillId="0" borderId="0" xfId="0" applyNumberFormat="1" applyFont="1" applyAlignment="1">
      <alignment horizontal="center"/>
    </xf>
    <xf numFmtId="0" fontId="6" fillId="0" borderId="0" xfId="3"/>
    <xf numFmtId="0" fontId="5" fillId="3" borderId="0" xfId="0" quotePrefix="1" applyFont="1" applyFill="1" applyAlignment="1" applyProtection="1">
      <alignment horizontal="left"/>
      <protection locked="0"/>
    </xf>
    <xf numFmtId="14" fontId="0" fillId="0" borderId="1" xfId="0" applyNumberForma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2" fillId="0" borderId="11" xfId="0" quotePrefix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1" xfId="3" quotePrefix="1" applyFont="1" applyBorder="1" applyAlignment="1">
      <alignment horizontal="center"/>
    </xf>
    <xf numFmtId="0" fontId="6" fillId="0" borderId="1" xfId="3" applyBorder="1" applyAlignment="1">
      <alignment horizontal="center"/>
    </xf>
    <xf numFmtId="44" fontId="0" fillId="0" borderId="6" xfId="0" applyNumberFormat="1" applyBorder="1"/>
    <xf numFmtId="14" fontId="2" fillId="0" borderId="1" xfId="3" applyNumberFormat="1" applyFont="1" applyBorder="1" applyAlignment="1">
      <alignment horizontal="center"/>
    </xf>
    <xf numFmtId="166" fontId="0" fillId="0" borderId="0" xfId="1" applyNumberFormat="1" applyFont="1"/>
    <xf numFmtId="44" fontId="1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44" fontId="1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66" fontId="0" fillId="0" borderId="1" xfId="1" applyNumberFormat="1" applyFont="1" applyBorder="1"/>
    <xf numFmtId="0" fontId="11" fillId="0" borderId="1" xfId="0" applyFont="1" applyBorder="1" applyAlignment="1" applyProtection="1">
      <alignment horizontal="left" vertical="top"/>
      <protection locked="0"/>
    </xf>
    <xf numFmtId="14" fontId="1" fillId="0" borderId="6" xfId="0" applyNumberFormat="1" applyFont="1" applyBorder="1" applyAlignment="1">
      <alignment horizontal="center"/>
    </xf>
    <xf numFmtId="44" fontId="1" fillId="0" borderId="6" xfId="1" applyNumberFormat="1" applyFon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44" fontId="0" fillId="7" borderId="0" xfId="0" applyNumberFormat="1" applyFill="1"/>
    <xf numFmtId="0" fontId="0" fillId="0" borderId="14" xfId="0" applyBorder="1" applyAlignment="1">
      <alignment horizontal="center"/>
    </xf>
    <xf numFmtId="44" fontId="0" fillId="0" borderId="14" xfId="0" applyNumberFormat="1" applyBorder="1"/>
    <xf numFmtId="0" fontId="12" fillId="0" borderId="6" xfId="0" applyFont="1" applyBorder="1" applyAlignment="1">
      <alignment horizontal="center"/>
    </xf>
    <xf numFmtId="44" fontId="0" fillId="7" borderId="4" xfId="2" applyFont="1" applyFill="1" applyBorder="1"/>
    <xf numFmtId="44" fontId="0" fillId="7" borderId="0" xfId="2" applyFont="1" applyFill="1"/>
    <xf numFmtId="44" fontId="0" fillId="0" borderId="14" xfId="2" applyFont="1" applyBorder="1"/>
    <xf numFmtId="44" fontId="0" fillId="7" borderId="14" xfId="2" applyFont="1" applyFill="1" applyBorder="1"/>
    <xf numFmtId="0" fontId="0" fillId="0" borderId="14" xfId="0" applyBorder="1"/>
    <xf numFmtId="0" fontId="3" fillId="0" borderId="0" xfId="0" applyFont="1" applyAlignment="1">
      <alignment horizontal="center"/>
    </xf>
    <xf numFmtId="0" fontId="3" fillId="8" borderId="0" xfId="0" applyFont="1" applyFill="1"/>
    <xf numFmtId="0" fontId="1" fillId="8" borderId="0" xfId="0" applyFont="1" applyFill="1"/>
    <xf numFmtId="14" fontId="1" fillId="6" borderId="0" xfId="0" applyNumberFormat="1" applyFont="1" applyFill="1" applyAlignment="1">
      <alignment horizontal="center"/>
    </xf>
    <xf numFmtId="49" fontId="6" fillId="0" borderId="1" xfId="3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1" xfId="3" applyBorder="1" applyAlignment="1">
      <alignment horizontal="center"/>
    </xf>
    <xf numFmtId="1" fontId="6" fillId="0" borderId="11" xfId="3" applyNumberFormat="1" applyBorder="1" applyAlignment="1">
      <alignment horizontal="center"/>
    </xf>
    <xf numFmtId="44" fontId="0" fillId="0" borderId="0" xfId="0" applyNumberFormat="1" applyAlignment="1">
      <alignment horizontal="left"/>
    </xf>
    <xf numFmtId="14" fontId="0" fillId="0" borderId="4" xfId="1" applyNumberFormat="1" applyFont="1" applyBorder="1" applyAlignment="1">
      <alignment horizontal="center"/>
    </xf>
    <xf numFmtId="44" fontId="12" fillId="0" borderId="0" xfId="0" applyNumberFormat="1" applyFont="1"/>
    <xf numFmtId="8" fontId="2" fillId="0" borderId="0" xfId="0" applyNumberFormat="1" applyFont="1"/>
    <xf numFmtId="44" fontId="4" fillId="7" borderId="0" xfId="2" applyFont="1" applyFill="1" applyAlignment="1">
      <alignment horizontal="center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44" fontId="4" fillId="9" borderId="0" xfId="2" applyFont="1" applyFill="1" applyAlignment="1">
      <alignment horizontal="center"/>
    </xf>
    <xf numFmtId="44" fontId="0" fillId="0" borderId="1" xfId="1" applyNumberFormat="1" applyFont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2" fillId="0" borderId="0" xfId="0" applyFont="1" applyAlignment="1">
      <alignment horizontal="left"/>
    </xf>
    <xf numFmtId="44" fontId="14" fillId="0" borderId="0" xfId="0" applyNumberFormat="1" applyFont="1" applyAlignment="1">
      <alignment horizontal="center"/>
    </xf>
    <xf numFmtId="1" fontId="2" fillId="0" borderId="0" xfId="3" applyNumberFormat="1" applyFont="1" applyAlignment="1">
      <alignment horizontal="center"/>
    </xf>
    <xf numFmtId="0" fontId="2" fillId="0" borderId="14" xfId="0" applyFont="1" applyBorder="1" applyAlignment="1">
      <alignment horizontal="center"/>
    </xf>
    <xf numFmtId="44" fontId="0" fillId="0" borderId="14" xfId="2" applyFont="1" applyBorder="1" applyAlignment="1">
      <alignment horizontal="center"/>
    </xf>
    <xf numFmtId="44" fontId="4" fillId="7" borderId="14" xfId="2" applyFont="1" applyFill="1" applyBorder="1" applyAlignment="1">
      <alignment horizontal="center"/>
    </xf>
    <xf numFmtId="44" fontId="4" fillId="10" borderId="0" xfId="2" applyFont="1" applyFill="1" applyAlignment="1">
      <alignment horizontal="center"/>
    </xf>
    <xf numFmtId="165" fontId="6" fillId="0" borderId="11" xfId="3" applyNumberFormat="1" applyBorder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 wrapText="1"/>
    </xf>
    <xf numFmtId="2" fontId="1" fillId="2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6" fillId="0" borderId="11" xfId="3" quotePrefix="1" applyNumberFormat="1" applyBorder="1" applyAlignment="1">
      <alignment horizontal="center"/>
    </xf>
    <xf numFmtId="0" fontId="6" fillId="0" borderId="0" xfId="3" applyAlignment="1">
      <alignment horizontal="center"/>
    </xf>
    <xf numFmtId="0" fontId="1" fillId="6" borderId="0" xfId="0" applyFont="1" applyFill="1" applyAlignment="1">
      <alignment horizontal="center"/>
    </xf>
    <xf numFmtId="44" fontId="1" fillId="6" borderId="0" xfId="1" applyNumberFormat="1" applyFont="1" applyFill="1"/>
    <xf numFmtId="2" fontId="1" fillId="6" borderId="0" xfId="0" applyNumberFormat="1" applyFont="1" applyFill="1"/>
    <xf numFmtId="2" fontId="1" fillId="7" borderId="6" xfId="0" applyNumberFormat="1" applyFont="1" applyFill="1" applyBorder="1" applyAlignment="1">
      <alignment horizontal="center"/>
    </xf>
    <xf numFmtId="44" fontId="0" fillId="7" borderId="0" xfId="2" applyFont="1" applyFill="1" applyAlignment="1">
      <alignment horizontal="center"/>
    </xf>
    <xf numFmtId="44" fontId="0" fillId="7" borderId="14" xfId="2" applyFont="1" applyFill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44" fontId="0" fillId="7" borderId="0" xfId="1" applyNumberFormat="1" applyFont="1" applyFill="1"/>
    <xf numFmtId="0" fontId="8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quotePrefix="1" applyNumberFormat="1" applyBorder="1" applyAlignment="1">
      <alignment horizontal="center"/>
    </xf>
    <xf numFmtId="0" fontId="4" fillId="0" borderId="1" xfId="10" applyFont="1" applyBorder="1" applyAlignment="1">
      <alignment horizontal="left"/>
    </xf>
    <xf numFmtId="0" fontId="0" fillId="0" borderId="1" xfId="0" applyBorder="1" applyAlignment="1">
      <alignment vertical="center"/>
    </xf>
    <xf numFmtId="168" fontId="0" fillId="0" borderId="0" xfId="6" applyNumberFormat="1" applyFont="1"/>
    <xf numFmtId="44" fontId="2" fillId="0" borderId="0" xfId="2" applyFont="1" applyAlignment="1">
      <alignment horizontal="center"/>
    </xf>
    <xf numFmtId="43" fontId="10" fillId="0" borderId="0" xfId="1" applyFont="1" applyAlignment="1">
      <alignment horizontal="center"/>
    </xf>
    <xf numFmtId="166" fontId="0" fillId="0" borderId="1" xfId="1" quotePrefix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left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44" fontId="0" fillId="0" borderId="8" xfId="0" applyNumberFormat="1" applyBorder="1"/>
    <xf numFmtId="44" fontId="0" fillId="0" borderId="8" xfId="5" applyFont="1" applyBorder="1"/>
    <xf numFmtId="43" fontId="7" fillId="0" borderId="0" xfId="1" applyFont="1"/>
    <xf numFmtId="43" fontId="4" fillId="0" borderId="0" xfId="0" applyNumberFormat="1" applyFont="1"/>
    <xf numFmtId="0" fontId="9" fillId="0" borderId="0" xfId="0" applyFont="1" applyAlignment="1">
      <alignment horizontal="right"/>
    </xf>
    <xf numFmtId="44" fontId="9" fillId="12" borderId="8" xfId="5" applyFont="1" applyFill="1" applyBorder="1"/>
    <xf numFmtId="43" fontId="7" fillId="0" borderId="0" xfId="1" applyFont="1" applyProtection="1">
      <protection locked="0"/>
    </xf>
    <xf numFmtId="43" fontId="4" fillId="0" borderId="0" xfId="1" applyFont="1" applyProtection="1">
      <protection locked="0"/>
    </xf>
    <xf numFmtId="0" fontId="8" fillId="11" borderId="0" xfId="0" applyFont="1" applyFill="1"/>
    <xf numFmtId="0" fontId="0" fillId="11" borderId="0" xfId="0" applyFill="1"/>
    <xf numFmtId="44" fontId="0" fillId="11" borderId="0" xfId="0" applyNumberFormat="1" applyFill="1"/>
    <xf numFmtId="44" fontId="0" fillId="11" borderId="0" xfId="5" applyFont="1" applyFill="1"/>
    <xf numFmtId="43" fontId="4" fillId="0" borderId="0" xfId="1" applyFont="1"/>
    <xf numFmtId="10" fontId="0" fillId="11" borderId="0" xfId="0" applyNumberFormat="1" applyFill="1"/>
    <xf numFmtId="43" fontId="10" fillId="0" borderId="0" xfId="1" applyFont="1"/>
    <xf numFmtId="0" fontId="9" fillId="11" borderId="0" xfId="0" applyFont="1" applyFill="1"/>
    <xf numFmtId="0" fontId="1" fillId="11" borderId="0" xfId="0" applyFont="1" applyFill="1"/>
    <xf numFmtId="44" fontId="1" fillId="11" borderId="0" xfId="0" applyNumberFormat="1" applyFont="1" applyFill="1"/>
    <xf numFmtId="0" fontId="1" fillId="0" borderId="0" xfId="0" quotePrefix="1" applyFont="1"/>
    <xf numFmtId="0" fontId="1" fillId="3" borderId="15" xfId="0" applyFont="1" applyFill="1" applyBorder="1"/>
    <xf numFmtId="8" fontId="1" fillId="3" borderId="16" xfId="0" applyNumberFormat="1" applyFont="1" applyFill="1" applyBorder="1"/>
    <xf numFmtId="0" fontId="10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6" fillId="0" borderId="1" xfId="3" applyBorder="1" applyAlignment="1">
      <alignment horizontal="left"/>
    </xf>
    <xf numFmtId="1" fontId="1" fillId="2" borderId="1" xfId="4" applyNumberFormat="1" applyFont="1" applyFill="1" applyBorder="1" applyAlignment="1">
      <alignment horizontal="center"/>
    </xf>
    <xf numFmtId="0" fontId="6" fillId="0" borderId="1" xfId="3" applyBorder="1"/>
    <xf numFmtId="1" fontId="1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left"/>
    </xf>
    <xf numFmtId="44" fontId="0" fillId="0" borderId="12" xfId="0" applyNumberFormat="1" applyBorder="1"/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" fontId="0" fillId="0" borderId="12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44" fontId="0" fillId="0" borderId="6" xfId="2" applyFont="1" applyBorder="1"/>
    <xf numFmtId="44" fontId="2" fillId="0" borderId="14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4" xfId="0" applyBorder="1" applyAlignment="1">
      <alignment horizontal="right"/>
    </xf>
    <xf numFmtId="0" fontId="1" fillId="0" borderId="4" xfId="0" applyFont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14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44" fontId="1" fillId="14" borderId="1" xfId="0" applyNumberFormat="1" applyFont="1" applyFill="1" applyBorder="1" applyAlignment="1">
      <alignment horizontal="center"/>
    </xf>
    <xf numFmtId="0" fontId="1" fillId="14" borderId="1" xfId="0" applyFont="1" applyFill="1" applyBorder="1"/>
    <xf numFmtId="0" fontId="12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44" fontId="1" fillId="14" borderId="13" xfId="0" applyNumberFormat="1" applyFont="1" applyFill="1" applyBorder="1" applyAlignment="1">
      <alignment horizontal="center"/>
    </xf>
    <xf numFmtId="44" fontId="1" fillId="0" borderId="6" xfId="0" applyNumberFormat="1" applyFon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14" fontId="1" fillId="15" borderId="1" xfId="0" applyNumberFormat="1" applyFont="1" applyFill="1" applyBorder="1" applyAlignment="1">
      <alignment horizontal="center"/>
    </xf>
    <xf numFmtId="44" fontId="1" fillId="15" borderId="1" xfId="1" applyNumberFormat="1" applyFont="1" applyFill="1" applyBorder="1" applyAlignment="1">
      <alignment horizontal="center"/>
    </xf>
    <xf numFmtId="44" fontId="23" fillId="4" borderId="1" xfId="1" applyNumberFormat="1" applyFont="1" applyFill="1" applyBorder="1" applyAlignment="1">
      <alignment horizontal="center"/>
    </xf>
    <xf numFmtId="2" fontId="1" fillId="15" borderId="1" xfId="0" applyNumberFormat="1" applyFont="1" applyFill="1" applyBorder="1" applyAlignment="1">
      <alignment horizontal="center"/>
    </xf>
    <xf numFmtId="44" fontId="15" fillId="0" borderId="0" xfId="2" applyFont="1"/>
    <xf numFmtId="44" fontId="1" fillId="14" borderId="1" xfId="1" applyNumberFormat="1" applyFont="1" applyFill="1" applyBorder="1" applyAlignment="1">
      <alignment horizontal="center"/>
    </xf>
    <xf numFmtId="2" fontId="1" fillId="14" borderId="1" xfId="0" applyNumberFormat="1" applyFont="1" applyFill="1" applyBorder="1"/>
    <xf numFmtId="0" fontId="1" fillId="14" borderId="1" xfId="0" applyFont="1" applyFill="1" applyBorder="1" applyAlignment="1">
      <alignment horizontal="left"/>
    </xf>
    <xf numFmtId="44" fontId="17" fillId="0" borderId="0" xfId="2" applyFont="1"/>
    <xf numFmtId="44" fontId="10" fillId="0" borderId="12" xfId="0" applyNumberFormat="1" applyFont="1" applyBorder="1"/>
    <xf numFmtId="44" fontId="1" fillId="0" borderId="6" xfId="0" applyNumberFormat="1" applyFont="1" applyBorder="1"/>
    <xf numFmtId="43" fontId="15" fillId="0" borderId="0" xfId="1" applyFont="1"/>
    <xf numFmtId="10" fontId="0" fillId="0" borderId="0" xfId="6" applyNumberFormat="1" applyFont="1"/>
    <xf numFmtId="0" fontId="5" fillId="3" borderId="0" xfId="0" applyFont="1" applyFill="1"/>
    <xf numFmtId="14" fontId="4" fillId="3" borderId="0" xfId="0" applyNumberFormat="1" applyFont="1" applyFill="1" applyAlignment="1">
      <alignment horizontal="left"/>
    </xf>
    <xf numFmtId="0" fontId="4" fillId="3" borderId="0" xfId="0" applyFont="1" applyFill="1" applyProtection="1">
      <protection locked="0"/>
    </xf>
    <xf numFmtId="0" fontId="4" fillId="3" borderId="0" xfId="0" applyFont="1" applyFill="1"/>
    <xf numFmtId="43" fontId="4" fillId="3" borderId="0" xfId="1" applyFont="1" applyFill="1" applyProtection="1">
      <protection locked="0"/>
    </xf>
    <xf numFmtId="43" fontId="4" fillId="3" borderId="0" xfId="1" applyFont="1" applyFill="1"/>
    <xf numFmtId="44" fontId="4" fillId="0" borderId="0" xfId="2" applyFont="1"/>
    <xf numFmtId="0" fontId="4" fillId="0" borderId="0" xfId="0" applyFont="1" applyProtection="1">
      <protection locked="0"/>
    </xf>
    <xf numFmtId="43" fontId="1" fillId="0" borderId="5" xfId="1" applyFont="1" applyBorder="1"/>
    <xf numFmtId="43" fontId="4" fillId="0" borderId="5" xfId="1" applyFont="1" applyBorder="1"/>
    <xf numFmtId="0" fontId="4" fillId="0" borderId="0" xfId="0" applyFont="1" applyAlignment="1" applyProtection="1">
      <alignment horizontal="right"/>
      <protection locked="0"/>
    </xf>
    <xf numFmtId="0" fontId="15" fillId="0" borderId="0" xfId="0" applyFont="1"/>
    <xf numFmtId="44" fontId="1" fillId="0" borderId="5" xfId="2" applyFont="1" applyBorder="1"/>
    <xf numFmtId="43" fontId="7" fillId="0" borderId="5" xfId="1" applyFont="1" applyBorder="1"/>
    <xf numFmtId="169" fontId="4" fillId="0" borderId="0" xfId="0" applyNumberFormat="1" applyFont="1"/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1" xfId="0" applyFont="1" applyFill="1" applyBorder="1" applyAlignment="1">
      <alignment horizontal="left"/>
    </xf>
    <xf numFmtId="0" fontId="5" fillId="17" borderId="0" xfId="0" applyFont="1" applyFill="1"/>
    <xf numFmtId="0" fontId="24" fillId="17" borderId="0" xfId="0" applyFont="1" applyFill="1"/>
    <xf numFmtId="0" fontId="19" fillId="0" borderId="20" xfId="0" applyFont="1" applyBorder="1"/>
    <xf numFmtId="0" fontId="19" fillId="0" borderId="22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4" fillId="0" borderId="24" xfId="0" applyFont="1" applyBorder="1"/>
    <xf numFmtId="0" fontId="4" fillId="0" borderId="25" xfId="0" applyFont="1" applyBorder="1" applyAlignment="1">
      <alignment horizontal="center"/>
    </xf>
    <xf numFmtId="10" fontId="4" fillId="0" borderId="20" xfId="6" applyNumberFormat="1" applyFont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12" fillId="17" borderId="17" xfId="0" applyFont="1" applyFill="1" applyBorder="1"/>
    <xf numFmtId="14" fontId="1" fillId="0" borderId="18" xfId="0" applyNumberFormat="1" applyFont="1" applyBorder="1" applyAlignment="1">
      <alignment horizontal="center"/>
    </xf>
    <xf numFmtId="0" fontId="1" fillId="17" borderId="21" xfId="0" applyFont="1" applyFill="1" applyBorder="1"/>
    <xf numFmtId="14" fontId="1" fillId="0" borderId="22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1" fillId="0" borderId="7" xfId="0" applyFont="1" applyBorder="1"/>
    <xf numFmtId="9" fontId="1" fillId="0" borderId="27" xfId="6" applyFont="1" applyBorder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0" fillId="3" borderId="0" xfId="0" applyFont="1" applyFill="1"/>
    <xf numFmtId="0" fontId="13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44" fontId="9" fillId="3" borderId="1" xfId="5" applyFont="1" applyFill="1" applyBorder="1" applyAlignment="1">
      <alignment horizontal="center" wrapText="1"/>
    </xf>
    <xf numFmtId="44" fontId="9" fillId="3" borderId="1" xfId="5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3" fillId="3" borderId="0" xfId="0" applyFont="1" applyFill="1"/>
    <xf numFmtId="0" fontId="1" fillId="3" borderId="0" xfId="0" applyFont="1" applyFill="1"/>
    <xf numFmtId="0" fontId="2" fillId="3" borderId="1" xfId="3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0" applyNumberFormat="1" applyFill="1" applyBorder="1"/>
    <xf numFmtId="43" fontId="10" fillId="3" borderId="0" xfId="0" applyNumberFormat="1" applyFont="1" applyFill="1"/>
    <xf numFmtId="44" fontId="10" fillId="3" borderId="0" xfId="0" applyNumberFormat="1" applyFont="1" applyFill="1"/>
    <xf numFmtId="43" fontId="0" fillId="3" borderId="0" xfId="0" applyNumberFormat="1" applyFill="1"/>
    <xf numFmtId="44" fontId="1" fillId="3" borderId="8" xfId="1" applyNumberFormat="1" applyFont="1" applyFill="1" applyBorder="1"/>
    <xf numFmtId="44" fontId="17" fillId="3" borderId="5" xfId="0" applyNumberFormat="1" applyFont="1" applyFill="1" applyBorder="1"/>
    <xf numFmtId="44" fontId="0" fillId="3" borderId="0" xfId="0" applyNumberFormat="1" applyFill="1"/>
    <xf numFmtId="44" fontId="15" fillId="3" borderId="0" xfId="0" applyNumberFormat="1" applyFont="1" applyFill="1"/>
    <xf numFmtId="1" fontId="5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44" fontId="9" fillId="3" borderId="1" xfId="7" applyFont="1" applyFill="1" applyBorder="1" applyAlignment="1">
      <alignment horizontal="center"/>
    </xf>
    <xf numFmtId="44" fontId="1" fillId="3" borderId="1" xfId="0" applyNumberFormat="1" applyFont="1" applyFill="1" applyBorder="1"/>
    <xf numFmtId="44" fontId="13" fillId="3" borderId="5" xfId="0" applyNumberFormat="1" applyFont="1" applyFill="1" applyBorder="1"/>
    <xf numFmtId="44" fontId="23" fillId="14" borderId="1" xfId="1" applyNumberFormat="1" applyFont="1" applyFill="1" applyBorder="1" applyAlignment="1">
      <alignment horizontal="center"/>
    </xf>
    <xf numFmtId="0" fontId="1" fillId="14" borderId="0" xfId="0" applyFont="1" applyFill="1"/>
    <xf numFmtId="0" fontId="1" fillId="13" borderId="17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8" borderId="18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18" borderId="26" xfId="0" applyFont="1" applyFill="1" applyBorder="1" applyAlignment="1">
      <alignment horizontal="center"/>
    </xf>
    <xf numFmtId="0" fontId="1" fillId="18" borderId="27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/>
    </xf>
    <xf numFmtId="0" fontId="1" fillId="13" borderId="27" xfId="0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0" fontId="5" fillId="19" borderId="0" xfId="0" quotePrefix="1" applyFont="1" applyFill="1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left"/>
      <protection locked="0"/>
    </xf>
    <xf numFmtId="14" fontId="5" fillId="3" borderId="0" xfId="0" quotePrefix="1" applyNumberFormat="1" applyFont="1" applyFill="1" applyAlignment="1" applyProtection="1">
      <alignment horizontal="left"/>
      <protection locked="0"/>
    </xf>
    <xf numFmtId="0" fontId="0" fillId="4" borderId="11" xfId="0" applyFill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/>
    <xf numFmtId="0" fontId="0" fillId="0" borderId="21" xfId="0" applyBorder="1" applyAlignment="1">
      <alignment horizontal="center"/>
    </xf>
    <xf numFmtId="0" fontId="0" fillId="0" borderId="28" xfId="0" applyBorder="1"/>
    <xf numFmtId="0" fontId="0" fillId="0" borderId="19" xfId="0" applyBorder="1" applyAlignment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/>
    </xf>
    <xf numFmtId="0" fontId="22" fillId="1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11" xfId="0" applyBorder="1"/>
    <xf numFmtId="0" fontId="1" fillId="3" borderId="1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44" fontId="0" fillId="0" borderId="0" xfId="1" applyNumberFormat="1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</cellXfs>
  <cellStyles count="11">
    <cellStyle name="Comma" xfId="1" builtinId="3"/>
    <cellStyle name="Comma 3" xfId="9" xr:uid="{00000000-0005-0000-0000-000009000000}"/>
    <cellStyle name="Currency" xfId="2" builtinId="4"/>
    <cellStyle name="Currency 2" xfId="5" xr:uid="{00000000-0005-0000-0000-000005000000}"/>
    <cellStyle name="Currency 4" xfId="7" xr:uid="{00000000-0005-0000-0000-000007000000}"/>
    <cellStyle name="Hyperlink" xfId="3" builtinId="8"/>
    <cellStyle name="Hyperlink 2" xfId="8" xr:uid="{00000000-0005-0000-0000-000008000000}"/>
    <cellStyle name="Normal" xfId="0" builtinId="0"/>
    <cellStyle name="Normal 2" xfId="4" xr:uid="{00000000-0005-0000-0000-000004000000}"/>
    <cellStyle name="Normal 4" xfId="10" xr:uid="{00000000-0005-0000-0000-00000A000000}"/>
    <cellStyle name="Percent" xfId="6" builtinId="5"/>
  </cellStyles>
  <dxfs count="19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O66"/>
  <sheetViews>
    <sheetView topLeftCell="A21" zoomScaleNormal="100" workbookViewId="0">
      <selection activeCell="C31" sqref="C31:C40"/>
    </sheetView>
  </sheetViews>
  <sheetFormatPr defaultColWidth="9.109375" defaultRowHeight="14.4" x14ac:dyDescent="0.3"/>
  <cols>
    <col min="1" max="1" width="2.88671875" style="122" customWidth="1"/>
    <col min="2" max="2" width="27.109375" style="122" customWidth="1"/>
    <col min="3" max="3" width="47" style="122" customWidth="1"/>
    <col min="4" max="6" width="12.5546875" style="122" bestFit="1" customWidth="1"/>
    <col min="7" max="7" width="12.109375" style="122" bestFit="1" customWidth="1"/>
    <col min="8" max="8" width="12.5546875" style="122" bestFit="1" customWidth="1"/>
    <col min="9" max="9" width="12.44140625" style="122" customWidth="1"/>
    <col min="10" max="10" width="20.88671875" style="122" bestFit="1" customWidth="1"/>
    <col min="11" max="11" width="13.88671875" style="122" bestFit="1" customWidth="1"/>
    <col min="12" max="12" width="1.33203125" style="122" customWidth="1"/>
    <col min="13" max="13" width="13.88671875" style="122" customWidth="1"/>
    <col min="14" max="14" width="14.33203125" style="122" bestFit="1" customWidth="1"/>
    <col min="15" max="15" width="11.109375" style="122" bestFit="1" customWidth="1"/>
    <col min="16" max="16" width="9.109375" style="122" customWidth="1"/>
    <col min="17" max="16384" width="9.109375" style="122"/>
  </cols>
  <sheetData>
    <row r="1" spans="1:15" s="121" customFormat="1" ht="18.75" customHeight="1" x14ac:dyDescent="0.35">
      <c r="A1" s="397" t="s">
        <v>63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</row>
    <row r="2" spans="1:15" s="121" customFormat="1" ht="18.75" customHeight="1" x14ac:dyDescent="0.35">
      <c r="A2" s="397" t="s">
        <v>64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4" spans="1:15" ht="18.75" customHeight="1" x14ac:dyDescent="0.35">
      <c r="A4" s="229"/>
      <c r="B4" s="228" t="s">
        <v>65</v>
      </c>
      <c r="C4" s="300"/>
      <c r="D4" s="229"/>
      <c r="E4" s="229"/>
      <c r="F4" s="329" t="s">
        <v>66</v>
      </c>
      <c r="G4" s="330" t="s">
        <v>67</v>
      </c>
      <c r="H4" s="229"/>
      <c r="I4" s="229"/>
      <c r="J4" s="229"/>
      <c r="K4" s="229"/>
      <c r="L4" s="229"/>
      <c r="M4" s="229"/>
      <c r="N4" s="229"/>
    </row>
    <row r="5" spans="1:15" ht="15.75" customHeight="1" x14ac:dyDescent="0.3">
      <c r="A5" s="229"/>
      <c r="B5" s="228" t="s">
        <v>68</v>
      </c>
      <c r="C5" s="144"/>
      <c r="D5" s="229"/>
      <c r="E5" s="229"/>
      <c r="F5" s="229"/>
      <c r="G5" s="229"/>
      <c r="J5" s="229"/>
      <c r="K5" s="229"/>
      <c r="L5" s="229"/>
      <c r="M5" s="229"/>
      <c r="N5" s="229"/>
    </row>
    <row r="6" spans="1:15" ht="15.75" customHeight="1" x14ac:dyDescent="0.3">
      <c r="A6" s="229"/>
      <c r="B6" s="228"/>
      <c r="C6" s="387"/>
      <c r="D6" s="229"/>
      <c r="E6" s="229"/>
      <c r="J6" s="229"/>
      <c r="K6" s="229"/>
      <c r="L6" s="229"/>
      <c r="M6" s="229"/>
      <c r="N6" s="229"/>
    </row>
    <row r="7" spans="1:15" ht="15.75" customHeight="1" x14ac:dyDescent="0.3">
      <c r="A7" s="229"/>
      <c r="B7" s="228" t="s">
        <v>69</v>
      </c>
      <c r="C7" s="144"/>
      <c r="D7" s="229"/>
      <c r="E7" s="229"/>
      <c r="J7" s="229"/>
      <c r="K7" s="229"/>
      <c r="L7" s="229"/>
      <c r="M7" s="229"/>
      <c r="N7" s="229"/>
    </row>
    <row r="8" spans="1:15" ht="15.75" customHeight="1" x14ac:dyDescent="0.3">
      <c r="A8" s="229"/>
      <c r="B8" s="228" t="s">
        <v>70</v>
      </c>
      <c r="C8" s="144"/>
      <c r="D8" s="229"/>
      <c r="E8" s="229"/>
      <c r="L8" s="229"/>
      <c r="M8" s="69"/>
      <c r="N8" s="229"/>
    </row>
    <row r="9" spans="1:15" ht="15.75" customHeight="1" x14ac:dyDescent="0.3">
      <c r="A9" s="229"/>
      <c r="B9" s="228" t="s">
        <v>71</v>
      </c>
      <c r="C9" s="389">
        <v>46068</v>
      </c>
      <c r="D9" s="229"/>
      <c r="E9" s="229"/>
      <c r="G9" s="399" t="s">
        <v>72</v>
      </c>
      <c r="H9" s="396"/>
      <c r="I9" s="396"/>
      <c r="J9" s="396"/>
      <c r="K9" s="229"/>
      <c r="L9" s="229"/>
      <c r="M9" s="229"/>
      <c r="N9" s="229"/>
    </row>
    <row r="10" spans="1:15" ht="18.75" customHeight="1" x14ac:dyDescent="0.35">
      <c r="A10" s="229"/>
      <c r="B10" s="228" t="s">
        <v>73</v>
      </c>
      <c r="C10" s="388"/>
      <c r="D10" s="229"/>
      <c r="E10" s="229"/>
      <c r="G10" s="229"/>
      <c r="H10" s="112" t="s">
        <v>74</v>
      </c>
      <c r="I10" s="112" t="s">
        <v>75</v>
      </c>
      <c r="J10" s="112" t="s">
        <v>32</v>
      </c>
      <c r="K10" s="229"/>
      <c r="L10" s="229"/>
      <c r="M10" s="229"/>
      <c r="N10" s="229"/>
      <c r="O10" s="229"/>
    </row>
    <row r="11" spans="1:15" x14ac:dyDescent="0.3">
      <c r="A11" s="229"/>
      <c r="B11" s="228" t="s">
        <v>76</v>
      </c>
      <c r="C11" s="301"/>
      <c r="D11" s="229"/>
      <c r="E11" s="229"/>
      <c r="G11" s="228"/>
      <c r="H11" s="304"/>
      <c r="I11" s="305"/>
      <c r="J11" s="306">
        <v>0</v>
      </c>
      <c r="K11" s="229" t="s">
        <v>77</v>
      </c>
      <c r="L11" s="229"/>
      <c r="M11" s="229"/>
      <c r="N11" s="229"/>
      <c r="O11" s="229"/>
    </row>
    <row r="12" spans="1:15" x14ac:dyDescent="0.3">
      <c r="A12" s="229"/>
      <c r="B12" s="228"/>
      <c r="C12" s="229"/>
      <c r="D12" s="229"/>
      <c r="E12" s="229"/>
      <c r="G12" s="307"/>
      <c r="H12" s="304"/>
      <c r="I12" s="305"/>
      <c r="J12" s="306">
        <v>0</v>
      </c>
      <c r="K12" s="229" t="s">
        <v>78</v>
      </c>
      <c r="L12" s="229"/>
      <c r="M12" s="229"/>
      <c r="N12" s="229"/>
      <c r="O12" s="229"/>
    </row>
    <row r="13" spans="1:15" ht="15.75" customHeight="1" thickBot="1" x14ac:dyDescent="0.35">
      <c r="A13" s="229"/>
      <c r="B13" s="228" t="s">
        <v>79</v>
      </c>
      <c r="C13" s="136"/>
      <c r="D13" s="229"/>
      <c r="E13" s="229"/>
      <c r="G13" s="228" t="s">
        <v>80</v>
      </c>
      <c r="H13" s="308">
        <f>SUM(H11:H12)</f>
        <v>0</v>
      </c>
      <c r="I13" s="309">
        <f>SUM(I11:I12)</f>
        <v>0</v>
      </c>
      <c r="J13" s="309"/>
      <c r="K13" s="229"/>
      <c r="L13" s="229"/>
      <c r="M13" s="229"/>
      <c r="N13" s="229"/>
      <c r="O13" s="229"/>
    </row>
    <row r="14" spans="1:15" ht="15.75" customHeight="1" thickTop="1" x14ac:dyDescent="0.3">
      <c r="A14" s="229"/>
      <c r="B14" s="228" t="s">
        <v>81</v>
      </c>
      <c r="C14" s="302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</row>
    <row r="15" spans="1:15" x14ac:dyDescent="0.3">
      <c r="A15" s="229"/>
      <c r="B15" s="228" t="s">
        <v>82</v>
      </c>
      <c r="C15" s="303"/>
      <c r="D15" s="229"/>
      <c r="E15" s="229"/>
      <c r="F15" s="229"/>
      <c r="G15" s="15" t="s">
        <v>83</v>
      </c>
      <c r="H15" s="229"/>
      <c r="I15" s="229"/>
      <c r="J15" s="15" t="s">
        <v>84</v>
      </c>
      <c r="K15" s="311"/>
      <c r="L15" s="229"/>
      <c r="M15" s="112" t="s">
        <v>85</v>
      </c>
      <c r="N15" s="229"/>
      <c r="O15" s="81"/>
    </row>
    <row r="16" spans="1:15" ht="17.25" customHeight="1" x14ac:dyDescent="0.45">
      <c r="A16" s="229"/>
      <c r="B16" s="228" t="s">
        <v>86</v>
      </c>
      <c r="C16" s="136"/>
      <c r="D16" t="s">
        <v>87</v>
      </c>
      <c r="E16" s="229"/>
      <c r="F16" s="229"/>
      <c r="G16" s="228" t="s">
        <v>88</v>
      </c>
      <c r="H16" s="123">
        <f>'AP (POs + Reimbursement)'!F92</f>
        <v>0</v>
      </c>
      <c r="I16" s="229"/>
      <c r="J16" s="228" t="s">
        <v>88</v>
      </c>
      <c r="K16" s="124">
        <f>'AP (POs + Reimbursement)'!H101</f>
        <v>0</v>
      </c>
      <c r="L16" s="242"/>
      <c r="M16" s="242">
        <f t="shared" ref="M16:M23" si="0">K16-H16</f>
        <v>0</v>
      </c>
      <c r="N16" s="229"/>
      <c r="O16" s="81"/>
    </row>
    <row r="17" spans="2:15" ht="17.25" customHeight="1" x14ac:dyDescent="0.45">
      <c r="B17" s="228" t="s">
        <v>89</v>
      </c>
      <c r="C17" s="136"/>
      <c r="D17" t="s">
        <v>90</v>
      </c>
      <c r="E17" s="229"/>
      <c r="F17" s="229"/>
      <c r="G17" s="135" t="s">
        <v>91</v>
      </c>
      <c r="H17" s="123" t="e">
        <f>#REF!+#REF!</f>
        <v>#REF!</v>
      </c>
      <c r="I17" s="229"/>
      <c r="J17" s="135" t="s">
        <v>91</v>
      </c>
      <c r="K17" s="124" t="e">
        <f>#REF!+#REF!</f>
        <v>#REF!</v>
      </c>
      <c r="L17" s="229"/>
      <c r="M17" s="242" t="e">
        <f t="shared" si="0"/>
        <v>#REF!</v>
      </c>
      <c r="N17" s="229"/>
      <c r="O17" s="229"/>
    </row>
    <row r="18" spans="2:15" ht="17.25" customHeight="1" x14ac:dyDescent="0.45">
      <c r="B18" s="228" t="s">
        <v>92</v>
      </c>
      <c r="C18" s="136"/>
      <c r="D18" s="229"/>
      <c r="E18" s="229"/>
      <c r="F18" s="229"/>
      <c r="G18" s="135" t="s">
        <v>93</v>
      </c>
      <c r="H18" s="123">
        <f>'Petty Cash'!G111</f>
        <v>0</v>
      </c>
      <c r="I18" s="229"/>
      <c r="J18" s="135" t="s">
        <v>93</v>
      </c>
      <c r="K18" s="124">
        <f>'Petty Cash'!I120</f>
        <v>0</v>
      </c>
      <c r="L18" s="242"/>
      <c r="M18" s="242">
        <f t="shared" si="0"/>
        <v>0</v>
      </c>
      <c r="N18" s="229"/>
      <c r="O18" s="229"/>
    </row>
    <row r="19" spans="2:15" ht="17.25" customHeight="1" x14ac:dyDescent="0.45">
      <c r="B19" s="228" t="s">
        <v>94</v>
      </c>
      <c r="C19" s="302"/>
      <c r="D19" s="229"/>
      <c r="E19" s="229"/>
      <c r="F19" s="229"/>
      <c r="G19" s="135" t="s">
        <v>95</v>
      </c>
      <c r="H19" s="123">
        <f>'Crew Payroll'!AA58</f>
        <v>0</v>
      </c>
      <c r="I19" s="229"/>
      <c r="J19" s="135" t="s">
        <v>95</v>
      </c>
      <c r="K19" s="124">
        <f>'Crew Payroll'!AA67</f>
        <v>0</v>
      </c>
      <c r="L19" s="242"/>
      <c r="M19" s="242">
        <f t="shared" si="0"/>
        <v>0</v>
      </c>
      <c r="N19" s="229"/>
      <c r="O19" s="229"/>
    </row>
    <row r="20" spans="2:15" ht="17.25" customHeight="1" x14ac:dyDescent="0.45">
      <c r="B20" s="228" t="s">
        <v>96</v>
      </c>
      <c r="C20" s="136"/>
      <c r="D20" s="229"/>
      <c r="E20" s="229"/>
      <c r="F20" s="229"/>
      <c r="G20" s="135" t="s">
        <v>97</v>
      </c>
      <c r="H20" s="123">
        <f>'Crew - Indepen. Contractors'!I54</f>
        <v>0</v>
      </c>
      <c r="I20" s="229"/>
      <c r="J20" s="135" t="s">
        <v>97</v>
      </c>
      <c r="K20" s="124">
        <f>'Crew - Indepen. Contractors'!I52</f>
        <v>0</v>
      </c>
      <c r="L20" s="229"/>
      <c r="M20" s="242">
        <f t="shared" si="0"/>
        <v>0</v>
      </c>
      <c r="N20" s="229"/>
      <c r="O20" s="229"/>
    </row>
    <row r="21" spans="2:15" ht="17.25" customHeight="1" x14ac:dyDescent="0.45">
      <c r="B21" s="310" t="s">
        <v>98</v>
      </c>
      <c r="C21" s="302"/>
      <c r="D21" s="229"/>
      <c r="E21" s="229"/>
      <c r="F21" s="229"/>
      <c r="G21" s="228" t="s">
        <v>99</v>
      </c>
      <c r="H21" s="123">
        <f>'Talent Payroll'!U43</f>
        <v>0</v>
      </c>
      <c r="I21" s="229"/>
      <c r="J21" s="228" t="s">
        <v>99</v>
      </c>
      <c r="K21" s="123">
        <f>'Talent Payroll'!S52</f>
        <v>0</v>
      </c>
      <c r="L21" s="236"/>
      <c r="M21" s="242">
        <f t="shared" si="0"/>
        <v>0</v>
      </c>
      <c r="N21" s="229"/>
      <c r="O21" s="229"/>
    </row>
    <row r="22" spans="2:15" ht="17.25" customHeight="1" x14ac:dyDescent="0.45">
      <c r="B22" s="310" t="s">
        <v>100</v>
      </c>
      <c r="C22" s="302"/>
      <c r="D22" s="229"/>
      <c r="E22" s="229"/>
      <c r="F22" s="229"/>
      <c r="G22" s="135" t="s">
        <v>101</v>
      </c>
      <c r="H22" s="123">
        <f>'Agency Vendor Exps'!H33</f>
        <v>0</v>
      </c>
      <c r="I22" s="229"/>
      <c r="J22" s="135" t="s">
        <v>101</v>
      </c>
      <c r="K22" s="123">
        <f>'Agency Vendor Exps'!H42</f>
        <v>0</v>
      </c>
      <c r="L22" s="236"/>
      <c r="M22" s="242">
        <f t="shared" si="0"/>
        <v>0</v>
      </c>
      <c r="N22" s="229"/>
      <c r="O22" s="229"/>
    </row>
    <row r="23" spans="2:15" ht="17.25" customHeight="1" x14ac:dyDescent="0.45">
      <c r="B23" s="310" t="s">
        <v>102</v>
      </c>
      <c r="C23" s="302"/>
      <c r="D23" s="229"/>
      <c r="E23" s="229"/>
      <c r="F23" s="229"/>
      <c r="G23" s="228" t="s">
        <v>103</v>
      </c>
      <c r="H23" s="123">
        <v>0</v>
      </c>
      <c r="I23" s="229"/>
      <c r="J23" s="228" t="s">
        <v>103</v>
      </c>
      <c r="K23" s="123">
        <f>H23</f>
        <v>0</v>
      </c>
      <c r="L23" s="236"/>
      <c r="M23" s="242">
        <f t="shared" si="0"/>
        <v>0</v>
      </c>
      <c r="N23" s="229"/>
      <c r="O23" s="229"/>
    </row>
    <row r="24" spans="2:15" x14ac:dyDescent="0.3">
      <c r="B24" s="310"/>
      <c r="C24" s="307"/>
      <c r="D24" s="229"/>
      <c r="E24" s="229"/>
      <c r="F24" s="229"/>
      <c r="G24" s="228"/>
      <c r="H24" s="237"/>
      <c r="I24" s="229"/>
      <c r="J24" s="228"/>
      <c r="K24" s="236"/>
      <c r="L24" s="236"/>
      <c r="M24" s="236"/>
      <c r="N24" s="229"/>
      <c r="O24" s="229"/>
    </row>
    <row r="25" spans="2:15" ht="15.75" customHeight="1" thickBot="1" x14ac:dyDescent="0.35">
      <c r="B25" s="228" t="s">
        <v>104</v>
      </c>
      <c r="C25" s="302"/>
      <c r="D25" s="229"/>
      <c r="E25" s="229"/>
      <c r="F25" s="229"/>
      <c r="G25" s="228" t="s">
        <v>105</v>
      </c>
      <c r="H25" s="312" t="e">
        <f>SUM(H16:H24)</f>
        <v>#REF!</v>
      </c>
      <c r="I25" s="229"/>
      <c r="J25" s="228" t="s">
        <v>105</v>
      </c>
      <c r="K25" s="313" t="e">
        <f>SUM(K16:K24)</f>
        <v>#REF!</v>
      </c>
      <c r="L25" s="236"/>
      <c r="M25" s="313" t="e">
        <f>SUM(M16:M24)</f>
        <v>#REF!</v>
      </c>
      <c r="N25" s="229"/>
      <c r="O25" s="229"/>
    </row>
    <row r="26" spans="2:15" ht="15.75" customHeight="1" thickTop="1" x14ac:dyDescent="0.3">
      <c r="B26" s="307"/>
      <c r="C26" s="307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</row>
    <row r="27" spans="2:15" x14ac:dyDescent="0.3">
      <c r="B27" s="228" t="s">
        <v>106</v>
      </c>
      <c r="C27" s="302"/>
      <c r="D27" s="229"/>
      <c r="E27" s="229"/>
      <c r="F27" s="229"/>
      <c r="G27" s="229"/>
      <c r="H27" s="229"/>
      <c r="I27" s="229"/>
      <c r="J27" s="216" t="s">
        <v>107</v>
      </c>
      <c r="K27" s="152">
        <f>K19+K20+K21</f>
        <v>0</v>
      </c>
      <c r="L27" s="229"/>
      <c r="M27" s="229"/>
      <c r="N27" s="229"/>
    </row>
    <row r="28" spans="2:15" x14ac:dyDescent="0.3">
      <c r="B28" s="228" t="s">
        <v>108</v>
      </c>
      <c r="C28" s="136"/>
      <c r="D28" s="268"/>
      <c r="E28" s="229"/>
      <c r="F28" s="229"/>
      <c r="G28" s="229"/>
      <c r="H28" s="229"/>
      <c r="I28" s="229"/>
      <c r="J28" s="216" t="s">
        <v>109</v>
      </c>
      <c r="K28" s="230" t="e">
        <f>#REF!+#REF!+K22</f>
        <v>#REF!</v>
      </c>
      <c r="L28" s="229"/>
      <c r="M28" s="229"/>
      <c r="N28" s="229"/>
    </row>
    <row r="29" spans="2:15" x14ac:dyDescent="0.3">
      <c r="B29" s="228" t="s">
        <v>110</v>
      </c>
      <c r="C29" s="136"/>
      <c r="D29" s="268"/>
      <c r="E29" s="229"/>
      <c r="F29" s="229"/>
      <c r="G29" s="229"/>
      <c r="H29" s="229"/>
      <c r="I29" s="229"/>
      <c r="J29" s="216" t="s">
        <v>111</v>
      </c>
      <c r="K29" s="231" t="e">
        <f>K18+#REF!+#REF!</f>
        <v>#REF!</v>
      </c>
      <c r="L29" s="229"/>
      <c r="M29" s="232"/>
    </row>
    <row r="30" spans="2:15" x14ac:dyDescent="0.3">
      <c r="B30" s="229"/>
      <c r="C30" s="229"/>
      <c r="D30" s="268"/>
      <c r="E30" s="229"/>
      <c r="F30" s="229"/>
      <c r="G30" s="229"/>
      <c r="H30" s="229"/>
      <c r="I30" s="229"/>
      <c r="J30" s="234" t="s">
        <v>112</v>
      </c>
      <c r="K30" s="235" t="e">
        <f>SUM(K27:K29)</f>
        <v>#REF!</v>
      </c>
      <c r="L30" s="229"/>
      <c r="M30" s="236"/>
      <c r="N30" s="229"/>
    </row>
    <row r="31" spans="2:15" x14ac:dyDescent="0.3">
      <c r="B31" s="229"/>
      <c r="C31" t="s">
        <v>113</v>
      </c>
      <c r="D31" s="125"/>
      <c r="E31" s="229"/>
      <c r="F31" s="229"/>
      <c r="G31" s="229"/>
      <c r="H31" s="7"/>
      <c r="I31" s="229"/>
      <c r="J31" s="229"/>
      <c r="K31" s="236"/>
      <c r="L31" s="236"/>
      <c r="M31" s="236"/>
      <c r="N31" s="233"/>
    </row>
    <row r="32" spans="2:15" x14ac:dyDescent="0.3">
      <c r="B32" s="229"/>
      <c r="C32" t="s">
        <v>114</v>
      </c>
      <c r="D32" s="125"/>
      <c r="E32" s="229"/>
      <c r="F32" s="229"/>
      <c r="G32" s="229"/>
      <c r="H32" s="229"/>
      <c r="I32" s="229"/>
      <c r="J32" s="229"/>
      <c r="K32" t="s">
        <v>115</v>
      </c>
      <c r="L32" s="229"/>
      <c r="M32" t="s">
        <v>116</v>
      </c>
      <c r="N32" s="229"/>
    </row>
    <row r="33" spans="2:14" x14ac:dyDescent="0.3">
      <c r="B33" s="229"/>
      <c r="C33" t="s">
        <v>117</v>
      </c>
      <c r="D33" s="229"/>
      <c r="E33" s="229"/>
      <c r="F33" s="229"/>
      <c r="G33" s="229"/>
      <c r="H33" s="314"/>
      <c r="I33" s="238" t="s">
        <v>118</v>
      </c>
      <c r="J33" s="239"/>
      <c r="K33" s="240" t="e">
        <f>K30</f>
        <v>#REF!</v>
      </c>
      <c r="L33" s="239"/>
      <c r="M33" s="241">
        <v>229533.33333333331</v>
      </c>
      <c r="N33" s="229"/>
    </row>
    <row r="34" spans="2:14" x14ac:dyDescent="0.3">
      <c r="B34" s="229"/>
      <c r="C34" t="s">
        <v>119</v>
      </c>
      <c r="D34" s="251"/>
      <c r="E34" s="229"/>
      <c r="F34" s="229"/>
      <c r="G34" s="229"/>
      <c r="H34" s="229"/>
      <c r="I34" s="238" t="s">
        <v>120</v>
      </c>
      <c r="J34" s="239"/>
      <c r="K34" s="243">
        <v>0.05</v>
      </c>
      <c r="L34" s="239"/>
      <c r="M34" s="243">
        <v>7.4999999999999997E-2</v>
      </c>
      <c r="N34" s="229"/>
    </row>
    <row r="35" spans="2:14" x14ac:dyDescent="0.3">
      <c r="B35" s="229"/>
      <c r="C35" t="s">
        <v>121</v>
      </c>
      <c r="D35" s="252"/>
      <c r="E35" s="229"/>
      <c r="F35" s="229"/>
      <c r="H35" s="229"/>
      <c r="I35" s="245" t="s">
        <v>122</v>
      </c>
      <c r="J35" s="246"/>
      <c r="K35" s="247" t="e">
        <f>K33*K34</f>
        <v>#REF!</v>
      </c>
      <c r="L35" s="246"/>
      <c r="M35" s="247">
        <f>M33*M34</f>
        <v>17214.999999999996</v>
      </c>
      <c r="N35" s="233"/>
    </row>
    <row r="36" spans="2:14" ht="15.75" customHeight="1" thickBot="1" x14ac:dyDescent="0.35">
      <c r="B36" s="229"/>
      <c r="C36" t="s">
        <v>123</v>
      </c>
      <c r="D36" s="126"/>
      <c r="E36" s="229"/>
      <c r="F36" s="229"/>
      <c r="H36" s="229"/>
      <c r="I36" s="229"/>
      <c r="J36" s="229"/>
      <c r="K36" s="242"/>
      <c r="L36" s="242"/>
      <c r="M36" s="242"/>
      <c r="N36" s="229"/>
    </row>
    <row r="37" spans="2:14" ht="15.75" customHeight="1" thickBot="1" x14ac:dyDescent="0.35">
      <c r="B37" s="229"/>
      <c r="C37" s="229"/>
      <c r="D37" s="229"/>
      <c r="E37" s="229"/>
      <c r="F37" s="229"/>
      <c r="H37" s="229"/>
      <c r="I37" s="248"/>
      <c r="J37" s="249" t="s">
        <v>124</v>
      </c>
      <c r="K37" s="250"/>
      <c r="L37" s="7"/>
      <c r="M37" t="s">
        <v>125</v>
      </c>
      <c r="N37" s="229"/>
    </row>
    <row r="38" spans="2:14" x14ac:dyDescent="0.3">
      <c r="B38" s="229"/>
      <c r="C38" t="s">
        <v>126</v>
      </c>
      <c r="D38" s="125"/>
      <c r="E38" s="229"/>
      <c r="F38" s="229"/>
      <c r="H38" s="229"/>
      <c r="I38" s="229"/>
      <c r="J38" s="229"/>
      <c r="K38" s="229"/>
      <c r="L38" s="229"/>
      <c r="M38" s="229"/>
      <c r="N38" s="237"/>
    </row>
    <row r="39" spans="2:14" x14ac:dyDescent="0.3">
      <c r="B39" s="268"/>
      <c r="C39" t="s">
        <v>127</v>
      </c>
      <c r="D39" s="125"/>
      <c r="E39" s="229"/>
      <c r="F39" s="229"/>
      <c r="H39" s="229"/>
      <c r="I39" s="229"/>
      <c r="J39" s="229"/>
      <c r="K39" s="229"/>
      <c r="L39" s="229"/>
      <c r="M39" s="229"/>
      <c r="N39" s="242"/>
    </row>
    <row r="40" spans="2:14" ht="18.75" customHeight="1" x14ac:dyDescent="0.35">
      <c r="B40" s="268"/>
      <c r="C40" t="s">
        <v>128</v>
      </c>
      <c r="D40" s="252"/>
      <c r="E40" s="229"/>
      <c r="F40" s="330"/>
      <c r="H40" s="229"/>
      <c r="L40" s="229"/>
      <c r="M40" s="229"/>
      <c r="N40" s="244"/>
    </row>
    <row r="41" spans="2:14" x14ac:dyDescent="0.3">
      <c r="B41" s="15" t="s">
        <v>129</v>
      </c>
      <c r="C41" s="143"/>
      <c r="D41" s="268"/>
      <c r="E41" s="229"/>
      <c r="H41" s="229"/>
      <c r="L41" s="229"/>
      <c r="M41" s="15"/>
      <c r="N41" s="244"/>
    </row>
    <row r="42" spans="2:14" ht="15.75" customHeight="1" thickBot="1" x14ac:dyDescent="0.35">
      <c r="B42" s="229"/>
      <c r="C42" s="143"/>
      <c r="D42" s="229"/>
      <c r="E42" s="229"/>
      <c r="H42" s="229"/>
      <c r="L42" s="229"/>
      <c r="M42" s="229"/>
      <c r="N42" s="233"/>
    </row>
    <row r="43" spans="2:14" ht="18.75" customHeight="1" x14ac:dyDescent="0.35">
      <c r="B43" s="229"/>
      <c r="C43" s="374" t="s">
        <v>130</v>
      </c>
      <c r="D43" s="375"/>
      <c r="E43" s="376"/>
      <c r="H43" s="229"/>
      <c r="L43" s="229"/>
      <c r="M43" s="229"/>
      <c r="N43" s="229"/>
    </row>
    <row r="44" spans="2:14" x14ac:dyDescent="0.3">
      <c r="C44" s="395" t="s">
        <v>131</v>
      </c>
      <c r="D44" s="396"/>
      <c r="E44" s="320" t="b">
        <v>0</v>
      </c>
      <c r="H44" s="229"/>
      <c r="L44" s="229"/>
      <c r="M44" s="229"/>
      <c r="N44" s="229"/>
    </row>
    <row r="45" spans="2:14" x14ac:dyDescent="0.3">
      <c r="C45" s="395" t="s">
        <v>132</v>
      </c>
      <c r="D45" s="396"/>
      <c r="E45" s="320" t="b">
        <v>0</v>
      </c>
      <c r="H45" s="229"/>
      <c r="L45" s="229"/>
      <c r="M45" s="229"/>
      <c r="N45" s="229"/>
    </row>
    <row r="46" spans="2:14" x14ac:dyDescent="0.3">
      <c r="C46" s="395" t="s">
        <v>133</v>
      </c>
      <c r="D46" s="396"/>
      <c r="E46" s="320" t="b">
        <v>0</v>
      </c>
      <c r="H46" s="229"/>
      <c r="L46" s="229"/>
      <c r="M46" s="229"/>
      <c r="N46" s="229"/>
    </row>
    <row r="47" spans="2:14" x14ac:dyDescent="0.3">
      <c r="C47" s="395" t="s">
        <v>134</v>
      </c>
      <c r="D47" s="396"/>
      <c r="E47" s="320" t="b">
        <v>0</v>
      </c>
      <c r="H47" s="229"/>
      <c r="L47" s="229"/>
      <c r="M47" s="229"/>
      <c r="N47" s="229"/>
    </row>
    <row r="48" spans="2:14" x14ac:dyDescent="0.3">
      <c r="C48" s="395" t="s">
        <v>135</v>
      </c>
      <c r="D48" s="396"/>
      <c r="E48" s="320" t="b">
        <v>0</v>
      </c>
      <c r="H48" s="229"/>
      <c r="L48" s="229"/>
      <c r="M48" s="229"/>
      <c r="N48" s="229"/>
    </row>
    <row r="49" spans="3:13" x14ac:dyDescent="0.3">
      <c r="C49" s="395" t="s">
        <v>136</v>
      </c>
      <c r="D49" s="396"/>
      <c r="E49" s="320" t="b">
        <v>0</v>
      </c>
      <c r="H49" s="268"/>
      <c r="L49" s="229"/>
      <c r="M49" s="229"/>
    </row>
    <row r="50" spans="3:13" ht="15.75" customHeight="1" thickBot="1" x14ac:dyDescent="0.35">
      <c r="C50" s="393" t="s">
        <v>137</v>
      </c>
      <c r="D50" s="394"/>
      <c r="E50" s="321" t="b">
        <v>0</v>
      </c>
      <c r="H50" s="229"/>
      <c r="L50" s="229"/>
      <c r="M50" s="229"/>
    </row>
    <row r="51" spans="3:13" ht="15.75" customHeight="1" thickBot="1" x14ac:dyDescent="0.35">
      <c r="H51" s="229"/>
      <c r="L51" s="229"/>
      <c r="M51" s="229"/>
    </row>
    <row r="52" spans="3:13" x14ac:dyDescent="0.3">
      <c r="C52" s="371" t="s">
        <v>138</v>
      </c>
      <c r="D52" s="372"/>
      <c r="E52" s="373"/>
      <c r="H52" s="229"/>
      <c r="L52" s="229"/>
      <c r="M52" s="229"/>
    </row>
    <row r="53" spans="3:13" x14ac:dyDescent="0.3">
      <c r="C53" s="322"/>
      <c r="D53" s="229"/>
      <c r="E53" s="323"/>
    </row>
    <row r="54" spans="3:13" x14ac:dyDescent="0.3">
      <c r="C54" s="322"/>
      <c r="D54" s="135" t="s">
        <v>139</v>
      </c>
      <c r="E54" s="324">
        <f>1</f>
        <v>1</v>
      </c>
    </row>
    <row r="55" spans="3:13" ht="15.75" customHeight="1" thickBot="1" x14ac:dyDescent="0.35">
      <c r="C55" s="325"/>
      <c r="D55" s="269" t="s">
        <v>140</v>
      </c>
      <c r="E55" s="326">
        <f>1</f>
        <v>1</v>
      </c>
    </row>
    <row r="56" spans="3:13" ht="15.75" customHeight="1" thickTop="1" x14ac:dyDescent="0.3">
      <c r="C56" s="322"/>
      <c r="D56" s="135" t="s">
        <v>141</v>
      </c>
      <c r="E56" s="327">
        <f>E54/E55</f>
        <v>1</v>
      </c>
    </row>
    <row r="57" spans="3:13" x14ac:dyDescent="0.3">
      <c r="C57" s="322"/>
      <c r="D57" s="229"/>
      <c r="E57" s="323"/>
    </row>
    <row r="58" spans="3:13" ht="15.75" customHeight="1" thickBot="1" x14ac:dyDescent="0.35">
      <c r="C58" s="383" t="s">
        <v>142</v>
      </c>
      <c r="D58" s="384"/>
      <c r="E58" s="385"/>
    </row>
    <row r="59" spans="3:13" ht="15.75" customHeight="1" thickBot="1" x14ac:dyDescent="0.35">
      <c r="C59" s="229"/>
      <c r="D59" s="229"/>
      <c r="E59" s="229"/>
    </row>
    <row r="60" spans="3:13" x14ac:dyDescent="0.3">
      <c r="C60" s="377" t="s">
        <v>143</v>
      </c>
      <c r="D60" s="378"/>
      <c r="E60" s="379"/>
    </row>
    <row r="61" spans="3:13" x14ac:dyDescent="0.3">
      <c r="C61" s="322"/>
      <c r="D61" s="229"/>
      <c r="E61" s="323"/>
    </row>
    <row r="62" spans="3:13" x14ac:dyDescent="0.3">
      <c r="C62" s="322"/>
      <c r="D62" s="15" t="s">
        <v>144</v>
      </c>
      <c r="E62" s="324">
        <f>'Cast &amp; Crew List'!L8</f>
        <v>0</v>
      </c>
    </row>
    <row r="63" spans="3:13" ht="15.75" customHeight="1" thickBot="1" x14ac:dyDescent="0.35">
      <c r="C63" s="325"/>
      <c r="D63" s="328" t="s">
        <v>145</v>
      </c>
      <c r="E63" s="326">
        <f>'Cast &amp; Crew List'!L7</f>
        <v>0</v>
      </c>
    </row>
    <row r="64" spans="3:13" ht="15.75" customHeight="1" thickTop="1" x14ac:dyDescent="0.3">
      <c r="C64" s="322"/>
      <c r="D64" s="15" t="s">
        <v>146</v>
      </c>
      <c r="E64" s="327" t="e">
        <f>E63/E62</f>
        <v>#DIV/0!</v>
      </c>
    </row>
    <row r="65" spans="3:5" x14ac:dyDescent="0.3">
      <c r="C65" s="322"/>
      <c r="D65" s="229"/>
      <c r="E65" s="323"/>
    </row>
    <row r="66" spans="3:5" ht="15.75" customHeight="1" thickBot="1" x14ac:dyDescent="0.35">
      <c r="C66" s="380" t="s">
        <v>147</v>
      </c>
      <c r="D66" s="381"/>
      <c r="E66" s="382"/>
    </row>
  </sheetData>
  <mergeCells count="10">
    <mergeCell ref="A1:N1"/>
    <mergeCell ref="G9:J9"/>
    <mergeCell ref="C46:D46"/>
    <mergeCell ref="C47:D47"/>
    <mergeCell ref="A2:N2"/>
    <mergeCell ref="C50:D50"/>
    <mergeCell ref="C45:D45"/>
    <mergeCell ref="C44:D44"/>
    <mergeCell ref="C48:D48"/>
    <mergeCell ref="C49:D49"/>
  </mergeCells>
  <pageMargins left="0.7" right="0.7" top="0.75" bottom="0.75" header="0.3" footer="0.3"/>
  <pageSetup scale="51" orientation="landscape"/>
  <headerFooter>
    <oddFooter>&amp;R&amp;A
&amp;Z&amp;F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2:B15"/>
  <sheetViews>
    <sheetView workbookViewId="0">
      <selection activeCell="C22" sqref="C22"/>
    </sheetView>
  </sheetViews>
  <sheetFormatPr defaultRowHeight="14.4" x14ac:dyDescent="0.3"/>
  <cols>
    <col min="1" max="1" width="61.44140625" bestFit="1" customWidth="1"/>
  </cols>
  <sheetData>
    <row r="2" spans="1:2" x14ac:dyDescent="0.3">
      <c r="A2" s="7"/>
    </row>
    <row r="3" spans="1:2" x14ac:dyDescent="0.3">
      <c r="A3" s="7" t="s">
        <v>148</v>
      </c>
    </row>
    <row r="4" spans="1:2" x14ac:dyDescent="0.3">
      <c r="A4" s="7" t="s">
        <v>149</v>
      </c>
    </row>
    <row r="5" spans="1:2" x14ac:dyDescent="0.3">
      <c r="A5" s="7" t="s">
        <v>150</v>
      </c>
      <c r="B5" t="s">
        <v>151</v>
      </c>
    </row>
    <row r="6" spans="1:2" x14ac:dyDescent="0.3">
      <c r="A6" s="7" t="s">
        <v>152</v>
      </c>
      <c r="B6" t="s">
        <v>151</v>
      </c>
    </row>
    <row r="7" spans="1:2" x14ac:dyDescent="0.3">
      <c r="A7" s="7" t="s">
        <v>153</v>
      </c>
      <c r="B7" t="s">
        <v>154</v>
      </c>
    </row>
    <row r="9" spans="1:2" x14ac:dyDescent="0.3">
      <c r="A9" s="7" t="s">
        <v>155</v>
      </c>
      <c r="B9" t="b">
        <v>0</v>
      </c>
    </row>
    <row r="10" spans="1:2" x14ac:dyDescent="0.3">
      <c r="A10" s="7" t="s">
        <v>156</v>
      </c>
      <c r="B10" t="b">
        <v>0</v>
      </c>
    </row>
    <row r="11" spans="1:2" x14ac:dyDescent="0.3">
      <c r="A11" s="7" t="s">
        <v>157</v>
      </c>
      <c r="B11" t="b">
        <v>0</v>
      </c>
    </row>
    <row r="12" spans="1:2" x14ac:dyDescent="0.3">
      <c r="A12" s="7" t="s">
        <v>158</v>
      </c>
      <c r="B12" t="b">
        <v>0</v>
      </c>
    </row>
    <row r="13" spans="1:2" x14ac:dyDescent="0.3">
      <c r="A13" s="7" t="s">
        <v>159</v>
      </c>
      <c r="B13" t="b">
        <v>0</v>
      </c>
    </row>
    <row r="14" spans="1:2" x14ac:dyDescent="0.3">
      <c r="A14" s="7" t="s">
        <v>160</v>
      </c>
      <c r="B14" t="b">
        <v>0</v>
      </c>
    </row>
    <row r="15" spans="1:2" x14ac:dyDescent="0.3">
      <c r="A15" s="7" t="s">
        <v>161</v>
      </c>
      <c r="B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L21"/>
  <sheetViews>
    <sheetView workbookViewId="0">
      <selection activeCell="A5" sqref="A5:A8"/>
    </sheetView>
  </sheetViews>
  <sheetFormatPr defaultColWidth="9.109375" defaultRowHeight="14.4" x14ac:dyDescent="0.3"/>
  <cols>
    <col min="1" max="1" width="12.6640625" style="8" customWidth="1"/>
    <col min="2" max="2" width="16.6640625" customWidth="1"/>
    <col min="3" max="3" width="30.6640625" style="8" customWidth="1"/>
    <col min="4" max="4" width="20.33203125" bestFit="1" customWidth="1"/>
    <col min="5" max="5" width="14.88671875" customWidth="1"/>
    <col min="8" max="8" width="22" bestFit="1" customWidth="1"/>
    <col min="9" max="9" width="23.88671875" bestFit="1" customWidth="1"/>
    <col min="10" max="10" width="19.6640625" customWidth="1"/>
    <col min="11" max="11" width="3.109375" customWidth="1"/>
    <col min="12" max="12" width="58.6640625" customWidth="1"/>
  </cols>
  <sheetData>
    <row r="2" spans="1:12" ht="33.75" customHeight="1" x14ac:dyDescent="0.65">
      <c r="C2" s="391" t="s">
        <v>162</v>
      </c>
      <c r="D2" s="392"/>
      <c r="E2" s="392"/>
      <c r="F2" s="392"/>
      <c r="G2" s="392"/>
      <c r="H2" s="392"/>
      <c r="I2" s="217"/>
    </row>
    <row r="3" spans="1:12" ht="33.75" customHeight="1" x14ac:dyDescent="0.65">
      <c r="D3" s="217"/>
      <c r="E3" s="217"/>
      <c r="F3" s="217"/>
      <c r="G3" s="217"/>
      <c r="L3" s="318" t="s">
        <v>163</v>
      </c>
    </row>
    <row r="4" spans="1:12" ht="15.75" customHeight="1" x14ac:dyDescent="0.3">
      <c r="A4" s="386" t="s">
        <v>164</v>
      </c>
      <c r="B4" s="293" t="s">
        <v>165</v>
      </c>
      <c r="C4" s="274" t="s">
        <v>166</v>
      </c>
      <c r="D4" s="274" t="s">
        <v>167</v>
      </c>
      <c r="E4" s="274" t="s">
        <v>168</v>
      </c>
      <c r="F4" s="274" t="s">
        <v>44</v>
      </c>
      <c r="G4" s="274" t="s">
        <v>169</v>
      </c>
      <c r="H4" s="274" t="s">
        <v>170</v>
      </c>
      <c r="I4" s="294" t="s">
        <v>171</v>
      </c>
      <c r="J4" s="274" t="s">
        <v>172</v>
      </c>
      <c r="L4" s="319" t="s">
        <v>173</v>
      </c>
    </row>
    <row r="5" spans="1:12" ht="15.75" customHeight="1" x14ac:dyDescent="0.3">
      <c r="A5" s="29"/>
      <c r="B5" s="36"/>
      <c r="C5" s="218"/>
      <c r="D5" s="36"/>
      <c r="E5" s="29"/>
      <c r="F5" s="29"/>
      <c r="G5" s="29"/>
      <c r="H5" s="219"/>
      <c r="I5" s="220"/>
      <c r="J5" s="219"/>
      <c r="L5" s="319" t="s">
        <v>174</v>
      </c>
    </row>
    <row r="6" spans="1:12" ht="15.75" customHeight="1" x14ac:dyDescent="0.3">
      <c r="A6" s="29"/>
      <c r="B6" s="36"/>
      <c r="C6" s="218"/>
      <c r="D6" s="36"/>
      <c r="E6" s="29"/>
      <c r="F6" s="29"/>
      <c r="G6" s="29"/>
      <c r="H6" s="219"/>
      <c r="I6" s="220"/>
      <c r="J6" s="219"/>
      <c r="L6" s="319" t="s">
        <v>175</v>
      </c>
    </row>
    <row r="7" spans="1:12" ht="15.75" customHeight="1" x14ac:dyDescent="0.3">
      <c r="A7" s="29"/>
      <c r="B7" s="36"/>
      <c r="C7" s="218"/>
      <c r="D7" s="36"/>
      <c r="E7" s="29"/>
      <c r="F7" s="29"/>
      <c r="G7" s="29"/>
      <c r="H7" s="219"/>
      <c r="I7" s="220"/>
      <c r="J7" s="219"/>
      <c r="L7" s="319" t="s">
        <v>176</v>
      </c>
    </row>
    <row r="8" spans="1:12" ht="15.75" customHeight="1" x14ac:dyDescent="0.3">
      <c r="A8" s="29"/>
      <c r="B8" s="36"/>
      <c r="C8" s="218"/>
      <c r="D8" s="36"/>
      <c r="E8" s="29"/>
      <c r="F8" s="29"/>
      <c r="G8" s="29"/>
      <c r="H8" s="219"/>
      <c r="I8" s="36"/>
      <c r="J8" s="219"/>
      <c r="L8" s="319" t="s">
        <v>177</v>
      </c>
    </row>
    <row r="9" spans="1:12" ht="15.75" customHeight="1" x14ac:dyDescent="0.3">
      <c r="L9" s="319" t="s">
        <v>178</v>
      </c>
    </row>
    <row r="10" spans="1:12" ht="15.75" customHeight="1" x14ac:dyDescent="0.3">
      <c r="L10" s="319" t="s">
        <v>179</v>
      </c>
    </row>
    <row r="11" spans="1:12" ht="15.75" customHeight="1" x14ac:dyDescent="0.3">
      <c r="L11" s="319" t="s">
        <v>180</v>
      </c>
    </row>
    <row r="12" spans="1:12" ht="15.75" customHeight="1" x14ac:dyDescent="0.3">
      <c r="L12" s="319" t="s">
        <v>181</v>
      </c>
    </row>
    <row r="13" spans="1:12" ht="15.75" customHeight="1" x14ac:dyDescent="0.3">
      <c r="L13" s="319" t="s">
        <v>182</v>
      </c>
    </row>
    <row r="14" spans="1:12" ht="15.75" customHeight="1" x14ac:dyDescent="0.3">
      <c r="L14" s="319" t="s">
        <v>183</v>
      </c>
    </row>
    <row r="15" spans="1:12" ht="15.75" customHeight="1" x14ac:dyDescent="0.3">
      <c r="L15" s="319" t="s">
        <v>184</v>
      </c>
    </row>
    <row r="16" spans="1:12" ht="15.75" customHeight="1" x14ac:dyDescent="0.3">
      <c r="L16" s="319" t="s">
        <v>185</v>
      </c>
    </row>
    <row r="17" spans="12:12" ht="15.75" customHeight="1" x14ac:dyDescent="0.3">
      <c r="L17" s="319" t="s">
        <v>186</v>
      </c>
    </row>
    <row r="18" spans="12:12" ht="15.75" customHeight="1" x14ac:dyDescent="0.3">
      <c r="L18" s="319" t="s">
        <v>187</v>
      </c>
    </row>
    <row r="19" spans="12:12" ht="15.75" customHeight="1" x14ac:dyDescent="0.3">
      <c r="L19" s="319" t="s">
        <v>188</v>
      </c>
    </row>
    <row r="20" spans="12:12" ht="15.75" customHeight="1" x14ac:dyDescent="0.3">
      <c r="L20" s="319" t="s">
        <v>189</v>
      </c>
    </row>
    <row r="21" spans="12:12" ht="15.75" customHeight="1" x14ac:dyDescent="0.3">
      <c r="L21" s="319" t="s">
        <v>190</v>
      </c>
    </row>
  </sheetData>
  <mergeCells count="1">
    <mergeCell ref="C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L94"/>
  <sheetViews>
    <sheetView tabSelected="1" zoomScale="80" zoomScaleNormal="80" workbookViewId="0">
      <selection activeCell="I5" sqref="I5"/>
    </sheetView>
  </sheetViews>
  <sheetFormatPr defaultColWidth="9.109375" defaultRowHeight="14.4" x14ac:dyDescent="0.3"/>
  <cols>
    <col min="2" max="2" width="5.109375" style="8" customWidth="1"/>
    <col min="3" max="3" width="29.109375" bestFit="1" customWidth="1"/>
    <col min="4" max="4" width="29.109375" customWidth="1"/>
    <col min="5" max="5" width="29" customWidth="1"/>
    <col min="6" max="6" width="14.44140625" bestFit="1" customWidth="1"/>
    <col min="7" max="7" width="23.44140625" bestFit="1" customWidth="1"/>
    <col min="8" max="9" width="41.33203125" customWidth="1"/>
    <col min="10" max="10" width="5.109375" customWidth="1"/>
    <col min="11" max="11" width="30.33203125" customWidth="1"/>
    <col min="12" max="12" width="21.33203125" customWidth="1"/>
  </cols>
  <sheetData>
    <row r="2" spans="2:12" ht="33.75" customHeight="1" x14ac:dyDescent="0.65">
      <c r="C2" s="391" t="s">
        <v>191</v>
      </c>
      <c r="D2" s="392"/>
      <c r="E2" s="392"/>
      <c r="F2" s="392"/>
      <c r="G2" s="392"/>
      <c r="H2" s="392"/>
    </row>
    <row r="3" spans="2:12" ht="15.75" customHeight="1" thickBot="1" x14ac:dyDescent="0.35">
      <c r="D3" t="s">
        <v>192</v>
      </c>
    </row>
    <row r="4" spans="2:12" x14ac:dyDescent="0.3">
      <c r="C4" s="274" t="s">
        <v>193</v>
      </c>
      <c r="D4" s="274" t="s">
        <v>194</v>
      </c>
      <c r="E4" s="274" t="s">
        <v>195</v>
      </c>
      <c r="F4" s="274" t="s">
        <v>196</v>
      </c>
      <c r="G4" s="274" t="s">
        <v>197</v>
      </c>
      <c r="H4" s="276" t="s">
        <v>198</v>
      </c>
      <c r="I4" s="276" t="s">
        <v>303</v>
      </c>
      <c r="K4" s="331" t="s">
        <v>199</v>
      </c>
      <c r="L4" s="332">
        <f>Overview!C9</f>
        <v>46068</v>
      </c>
    </row>
    <row r="5" spans="2:12" ht="15.75" customHeight="1" thickBot="1" x14ac:dyDescent="0.35">
      <c r="B5" s="8">
        <v>1</v>
      </c>
      <c r="C5" s="221"/>
      <c r="D5" s="221"/>
      <c r="E5" s="117"/>
      <c r="F5" s="104"/>
      <c r="G5" s="104"/>
      <c r="H5" s="36"/>
      <c r="I5" s="36"/>
      <c r="K5" s="333" t="s">
        <v>200</v>
      </c>
      <c r="L5" s="334">
        <f>L4-120</f>
        <v>45948</v>
      </c>
    </row>
    <row r="6" spans="2:12" ht="15.75" customHeight="1" thickBot="1" x14ac:dyDescent="0.35">
      <c r="B6" s="8">
        <v>2</v>
      </c>
      <c r="C6" s="221"/>
      <c r="D6" s="221"/>
      <c r="E6" s="117"/>
      <c r="F6" s="104"/>
      <c r="G6" s="104"/>
      <c r="H6" s="36"/>
      <c r="I6" s="36"/>
    </row>
    <row r="7" spans="2:12" x14ac:dyDescent="0.3">
      <c r="B7" s="8">
        <v>3</v>
      </c>
      <c r="C7" s="221"/>
      <c r="D7" s="221"/>
      <c r="E7" s="117"/>
      <c r="F7" s="104"/>
      <c r="G7" s="104"/>
      <c r="H7" s="36"/>
      <c r="I7" s="36"/>
      <c r="K7" s="335" t="s">
        <v>201</v>
      </c>
      <c r="L7" s="336">
        <f>COUNTIF(F5:F89,"Y")</f>
        <v>0</v>
      </c>
    </row>
    <row r="8" spans="2:12" x14ac:dyDescent="0.3">
      <c r="B8" s="8">
        <v>4</v>
      </c>
      <c r="C8" s="221"/>
      <c r="D8" s="221"/>
      <c r="E8" s="117"/>
      <c r="F8" s="104"/>
      <c r="G8" s="104"/>
      <c r="H8" s="36"/>
      <c r="I8" s="36"/>
      <c r="K8" s="337" t="s">
        <v>202</v>
      </c>
      <c r="L8" s="338">
        <f>COUNTA(C5:C90)</f>
        <v>0</v>
      </c>
    </row>
    <row r="9" spans="2:12" ht="15.75" customHeight="1" thickBot="1" x14ac:dyDescent="0.35">
      <c r="B9" s="8">
        <v>5</v>
      </c>
      <c r="C9" s="159"/>
      <c r="D9" s="159"/>
      <c r="E9" s="117"/>
      <c r="F9" s="104"/>
      <c r="G9" s="104"/>
      <c r="H9" s="36"/>
      <c r="I9" s="36"/>
      <c r="K9" s="339" t="s">
        <v>146</v>
      </c>
      <c r="L9" s="340" t="e">
        <f>L7/L8</f>
        <v>#DIV/0!</v>
      </c>
    </row>
    <row r="10" spans="2:12" x14ac:dyDescent="0.3">
      <c r="B10" s="8">
        <v>6</v>
      </c>
      <c r="C10" s="221"/>
      <c r="D10" s="221"/>
      <c r="E10" s="117"/>
      <c r="F10" s="104"/>
      <c r="G10" s="104"/>
      <c r="H10" s="36"/>
      <c r="I10" s="36"/>
    </row>
    <row r="11" spans="2:12" x14ac:dyDescent="0.3">
      <c r="B11" s="8">
        <v>7</v>
      </c>
      <c r="C11" s="221"/>
      <c r="D11" s="221"/>
      <c r="E11" s="117"/>
      <c r="F11" s="104"/>
      <c r="G11" s="104"/>
      <c r="H11" s="36"/>
      <c r="I11" s="36"/>
    </row>
    <row r="12" spans="2:12" x14ac:dyDescent="0.3">
      <c r="B12" s="8">
        <v>8</v>
      </c>
      <c r="C12" s="221"/>
      <c r="D12" s="221"/>
      <c r="E12" s="117"/>
      <c r="F12" s="104"/>
      <c r="G12" s="104"/>
      <c r="H12" s="36"/>
      <c r="I12" s="36"/>
    </row>
    <row r="13" spans="2:12" x14ac:dyDescent="0.3">
      <c r="B13" s="8">
        <v>9</v>
      </c>
      <c r="C13" s="159"/>
      <c r="D13" s="159"/>
      <c r="E13" s="117"/>
      <c r="F13" s="104"/>
      <c r="G13" s="104"/>
      <c r="H13" s="36"/>
      <c r="I13" s="36"/>
    </row>
    <row r="14" spans="2:12" x14ac:dyDescent="0.3">
      <c r="B14" s="8">
        <v>10</v>
      </c>
      <c r="C14" s="221"/>
      <c r="D14" s="221"/>
      <c r="E14" s="117"/>
      <c r="F14" s="104"/>
      <c r="G14" s="104"/>
      <c r="H14" s="36"/>
      <c r="I14" s="36"/>
    </row>
    <row r="15" spans="2:12" x14ac:dyDescent="0.3">
      <c r="B15" s="8">
        <v>11</v>
      </c>
      <c r="C15" s="221"/>
      <c r="D15" s="221"/>
      <c r="E15" s="117"/>
      <c r="F15" s="104"/>
      <c r="G15" s="104"/>
      <c r="H15" s="36"/>
      <c r="I15" s="36"/>
    </row>
    <row r="16" spans="2:12" x14ac:dyDescent="0.3">
      <c r="B16" s="8">
        <v>12</v>
      </c>
      <c r="C16" s="221"/>
      <c r="D16" s="221"/>
      <c r="E16" s="117"/>
      <c r="F16" s="104"/>
      <c r="G16" s="104"/>
      <c r="H16" s="36"/>
      <c r="I16" s="36"/>
    </row>
    <row r="17" spans="2:9" x14ac:dyDescent="0.3">
      <c r="B17" s="8">
        <v>13</v>
      </c>
      <c r="C17" s="221"/>
      <c r="D17" s="221"/>
      <c r="E17" s="117"/>
      <c r="F17" s="104"/>
      <c r="G17" s="104"/>
      <c r="H17" s="36"/>
      <c r="I17" s="36"/>
    </row>
    <row r="18" spans="2:9" x14ac:dyDescent="0.3">
      <c r="B18" s="8">
        <v>14</v>
      </c>
      <c r="C18" s="159"/>
      <c r="D18" s="159"/>
      <c r="E18" s="117"/>
      <c r="F18" s="104"/>
      <c r="G18" s="104"/>
      <c r="H18" s="36"/>
      <c r="I18" s="36"/>
    </row>
    <row r="19" spans="2:9" x14ac:dyDescent="0.3">
      <c r="B19" s="8">
        <v>15</v>
      </c>
      <c r="C19" s="221"/>
      <c r="D19" s="221"/>
      <c r="E19" s="117"/>
      <c r="F19" s="104"/>
      <c r="G19" s="104"/>
      <c r="H19" s="36"/>
      <c r="I19" s="36"/>
    </row>
    <row r="20" spans="2:9" x14ac:dyDescent="0.3">
      <c r="B20" s="8">
        <v>16</v>
      </c>
      <c r="C20" s="159"/>
      <c r="D20" s="159"/>
      <c r="E20" s="117"/>
      <c r="F20" s="104"/>
      <c r="G20" s="104"/>
      <c r="H20" s="36"/>
      <c r="I20" s="36"/>
    </row>
    <row r="21" spans="2:9" x14ac:dyDescent="0.3">
      <c r="B21" s="8">
        <v>17</v>
      </c>
      <c r="C21" s="159"/>
      <c r="D21" s="159"/>
      <c r="E21" s="117"/>
      <c r="F21" s="104"/>
      <c r="G21" s="104"/>
      <c r="H21" s="36"/>
      <c r="I21" s="36"/>
    </row>
    <row r="22" spans="2:9" x14ac:dyDescent="0.3">
      <c r="B22" s="8">
        <v>18</v>
      </c>
      <c r="C22" s="221"/>
      <c r="D22" s="221"/>
      <c r="E22" s="117"/>
      <c r="F22" s="104"/>
      <c r="G22" s="104"/>
      <c r="H22" s="36"/>
      <c r="I22" s="36"/>
    </row>
    <row r="23" spans="2:9" x14ac:dyDescent="0.3">
      <c r="B23" s="8">
        <v>19</v>
      </c>
      <c r="C23" s="221"/>
      <c r="D23" s="221"/>
      <c r="E23" s="117"/>
      <c r="F23" s="104"/>
      <c r="G23" s="104"/>
      <c r="H23" s="36"/>
      <c r="I23" s="36"/>
    </row>
    <row r="24" spans="2:9" x14ac:dyDescent="0.3">
      <c r="B24" s="8">
        <v>20</v>
      </c>
      <c r="C24" s="159"/>
      <c r="D24" s="159"/>
      <c r="E24" s="117"/>
      <c r="F24" s="104"/>
      <c r="G24" s="104"/>
      <c r="H24" s="36"/>
      <c r="I24" s="36"/>
    </row>
    <row r="25" spans="2:9" x14ac:dyDescent="0.3">
      <c r="B25" s="8">
        <v>21</v>
      </c>
      <c r="C25" s="159"/>
      <c r="D25" s="159"/>
      <c r="E25" s="117"/>
      <c r="F25" s="104"/>
      <c r="G25" s="104"/>
      <c r="H25" s="36"/>
      <c r="I25" s="36"/>
    </row>
    <row r="26" spans="2:9" x14ac:dyDescent="0.3">
      <c r="B26" s="8">
        <v>22</v>
      </c>
      <c r="C26" s="159"/>
      <c r="D26" s="159"/>
      <c r="E26" s="117"/>
      <c r="F26" s="104"/>
      <c r="G26" s="104"/>
      <c r="H26" s="36"/>
      <c r="I26" s="36"/>
    </row>
    <row r="27" spans="2:9" x14ac:dyDescent="0.3">
      <c r="B27" s="8">
        <v>23</v>
      </c>
      <c r="C27" s="159"/>
      <c r="D27" s="159"/>
      <c r="E27" s="117"/>
      <c r="F27" s="104"/>
      <c r="G27" s="104"/>
      <c r="H27" s="36"/>
      <c r="I27" s="36"/>
    </row>
    <row r="28" spans="2:9" x14ac:dyDescent="0.3">
      <c r="B28" s="8">
        <v>24</v>
      </c>
      <c r="C28" s="159"/>
      <c r="D28" s="159"/>
      <c r="E28" s="117"/>
      <c r="F28" s="104"/>
      <c r="G28" s="104"/>
      <c r="H28" s="36"/>
      <c r="I28" s="36"/>
    </row>
    <row r="29" spans="2:9" x14ac:dyDescent="0.3">
      <c r="B29" s="8">
        <v>25</v>
      </c>
      <c r="C29" s="221"/>
      <c r="D29" s="221"/>
      <c r="E29" s="117"/>
      <c r="F29" s="104"/>
      <c r="G29" s="104"/>
      <c r="H29" s="36"/>
      <c r="I29" s="36"/>
    </row>
    <row r="30" spans="2:9" x14ac:dyDescent="0.3">
      <c r="B30" s="8">
        <v>26</v>
      </c>
      <c r="C30" s="221"/>
      <c r="D30" s="221"/>
      <c r="E30" s="117"/>
      <c r="F30" s="104"/>
      <c r="G30" s="104"/>
      <c r="H30" s="36"/>
      <c r="I30" s="36"/>
    </row>
    <row r="31" spans="2:9" x14ac:dyDescent="0.3">
      <c r="B31" s="8">
        <v>27</v>
      </c>
      <c r="C31" s="159"/>
      <c r="D31" s="159"/>
      <c r="E31" s="117"/>
      <c r="F31" s="104"/>
      <c r="G31" s="104"/>
      <c r="H31" s="36"/>
      <c r="I31" s="36"/>
    </row>
    <row r="32" spans="2:9" x14ac:dyDescent="0.3">
      <c r="B32" s="8">
        <v>28</v>
      </c>
      <c r="C32" s="221"/>
      <c r="D32" s="221"/>
      <c r="E32" s="117"/>
      <c r="F32" s="104"/>
      <c r="G32" s="104"/>
      <c r="H32" s="36"/>
      <c r="I32" s="36"/>
    </row>
    <row r="33" spans="2:9" x14ac:dyDescent="0.3">
      <c r="B33" s="8">
        <v>29</v>
      </c>
      <c r="C33" s="221"/>
      <c r="D33" s="221"/>
      <c r="E33" s="117"/>
      <c r="F33" s="104"/>
      <c r="G33" s="104"/>
      <c r="H33" s="36"/>
      <c r="I33" s="36"/>
    </row>
    <row r="34" spans="2:9" x14ac:dyDescent="0.3">
      <c r="B34" s="8">
        <v>30</v>
      </c>
      <c r="C34" s="221"/>
      <c r="D34" s="221"/>
      <c r="E34" s="117"/>
      <c r="F34" s="104"/>
      <c r="G34" s="104"/>
      <c r="H34" s="36"/>
      <c r="I34" s="36"/>
    </row>
    <row r="35" spans="2:9" x14ac:dyDescent="0.3">
      <c r="B35" s="8">
        <v>31</v>
      </c>
      <c r="C35" s="221"/>
      <c r="D35" s="221"/>
      <c r="E35" s="117"/>
      <c r="F35" s="104"/>
      <c r="G35" s="104"/>
      <c r="H35" s="36"/>
      <c r="I35" s="36"/>
    </row>
    <row r="36" spans="2:9" x14ac:dyDescent="0.3">
      <c r="B36" s="8">
        <v>32</v>
      </c>
      <c r="C36" s="221"/>
      <c r="D36" s="221"/>
      <c r="E36" s="117"/>
      <c r="F36" s="104"/>
      <c r="G36" s="104"/>
      <c r="H36" s="36"/>
      <c r="I36" s="36"/>
    </row>
    <row r="37" spans="2:9" x14ac:dyDescent="0.3">
      <c r="B37" s="8">
        <v>33</v>
      </c>
      <c r="C37" s="221"/>
      <c r="D37" s="221"/>
      <c r="E37" s="117"/>
      <c r="F37" s="104"/>
      <c r="G37" s="104"/>
      <c r="H37" s="36"/>
      <c r="I37" s="36"/>
    </row>
    <row r="38" spans="2:9" x14ac:dyDescent="0.3">
      <c r="B38" s="8">
        <v>34</v>
      </c>
      <c r="C38" s="221"/>
      <c r="D38" s="221"/>
      <c r="E38" s="117"/>
      <c r="F38" s="104"/>
      <c r="G38" s="104"/>
      <c r="H38" s="36"/>
      <c r="I38" s="36"/>
    </row>
    <row r="39" spans="2:9" x14ac:dyDescent="0.3">
      <c r="B39" s="8">
        <v>35</v>
      </c>
      <c r="C39" s="221"/>
      <c r="D39" s="221"/>
      <c r="E39" s="117"/>
      <c r="F39" s="104"/>
      <c r="G39" s="104"/>
      <c r="H39" s="36"/>
      <c r="I39" s="36"/>
    </row>
    <row r="40" spans="2:9" x14ac:dyDescent="0.3">
      <c r="B40" s="8">
        <v>36</v>
      </c>
      <c r="C40" s="221"/>
      <c r="D40" s="221"/>
      <c r="E40" s="117"/>
      <c r="F40" s="104"/>
      <c r="G40" s="104"/>
      <c r="H40" s="36"/>
      <c r="I40" s="36"/>
    </row>
    <row r="41" spans="2:9" x14ac:dyDescent="0.3">
      <c r="B41" s="8">
        <v>37</v>
      </c>
      <c r="C41" s="221"/>
      <c r="D41" s="221"/>
      <c r="E41" s="117"/>
      <c r="F41" s="104"/>
      <c r="G41" s="104"/>
      <c r="H41" s="36"/>
      <c r="I41" s="36"/>
    </row>
    <row r="42" spans="2:9" x14ac:dyDescent="0.3">
      <c r="B42" s="8">
        <v>38</v>
      </c>
      <c r="C42" s="221"/>
      <c r="D42" s="221"/>
      <c r="E42" s="117"/>
      <c r="F42" s="104"/>
      <c r="G42" s="104"/>
      <c r="H42" s="36"/>
      <c r="I42" s="36"/>
    </row>
    <row r="43" spans="2:9" x14ac:dyDescent="0.3">
      <c r="B43" s="8">
        <v>39</v>
      </c>
      <c r="C43" s="221"/>
      <c r="D43" s="221"/>
      <c r="E43" s="117"/>
      <c r="F43" s="104"/>
      <c r="G43" s="104"/>
      <c r="H43" s="36"/>
      <c r="I43" s="36"/>
    </row>
    <row r="44" spans="2:9" x14ac:dyDescent="0.3">
      <c r="B44" s="8">
        <v>40</v>
      </c>
      <c r="C44" s="159"/>
      <c r="D44" s="159"/>
      <c r="E44" s="117"/>
      <c r="F44" s="104"/>
      <c r="G44" s="104"/>
      <c r="H44" s="36"/>
      <c r="I44" s="36"/>
    </row>
    <row r="45" spans="2:9" x14ac:dyDescent="0.3">
      <c r="B45" s="8">
        <v>41</v>
      </c>
      <c r="C45" s="159"/>
      <c r="D45" s="159"/>
      <c r="E45" s="117"/>
      <c r="F45" s="104"/>
      <c r="G45" s="104"/>
      <c r="H45" s="36"/>
      <c r="I45" s="36"/>
    </row>
    <row r="46" spans="2:9" x14ac:dyDescent="0.3">
      <c r="B46" s="8">
        <v>42</v>
      </c>
      <c r="C46" s="159"/>
      <c r="D46" s="159"/>
      <c r="E46" s="117"/>
      <c r="F46" s="104"/>
      <c r="G46" s="104"/>
      <c r="H46" s="36"/>
      <c r="I46" s="36"/>
    </row>
    <row r="47" spans="2:9" x14ac:dyDescent="0.3">
      <c r="B47" s="8">
        <v>43</v>
      </c>
      <c r="C47" s="221"/>
      <c r="D47" s="221"/>
      <c r="E47" s="117"/>
      <c r="F47" s="104"/>
      <c r="G47" s="104"/>
      <c r="H47" s="36"/>
      <c r="I47" s="36"/>
    </row>
    <row r="48" spans="2:9" x14ac:dyDescent="0.3">
      <c r="B48" s="8">
        <v>44</v>
      </c>
      <c r="C48" s="159"/>
      <c r="D48" s="159"/>
      <c r="E48" s="117"/>
      <c r="F48" s="104"/>
      <c r="G48" s="104"/>
      <c r="H48" s="36"/>
      <c r="I48" s="36"/>
    </row>
    <row r="49" spans="2:9" x14ac:dyDescent="0.3">
      <c r="B49" s="8">
        <v>45</v>
      </c>
      <c r="C49" s="221"/>
      <c r="D49" s="221"/>
      <c r="E49" s="117"/>
      <c r="F49" s="104"/>
      <c r="G49" s="104"/>
      <c r="H49" s="36"/>
      <c r="I49" s="36"/>
    </row>
    <row r="50" spans="2:9" x14ac:dyDescent="0.3">
      <c r="B50" s="8">
        <v>46</v>
      </c>
      <c r="C50" s="221"/>
      <c r="D50" s="221"/>
      <c r="E50" s="117"/>
      <c r="F50" s="104"/>
      <c r="G50" s="104"/>
      <c r="H50" s="36"/>
      <c r="I50" s="36"/>
    </row>
    <row r="51" spans="2:9" x14ac:dyDescent="0.3">
      <c r="B51" s="8">
        <v>47</v>
      </c>
      <c r="C51" s="221"/>
      <c r="D51" s="221"/>
      <c r="E51" s="117"/>
      <c r="F51" s="104"/>
      <c r="G51" s="104"/>
      <c r="H51" s="36"/>
      <c r="I51" s="36"/>
    </row>
    <row r="52" spans="2:9" x14ac:dyDescent="0.3">
      <c r="B52" s="8">
        <v>48</v>
      </c>
      <c r="C52" s="159"/>
      <c r="D52" s="159"/>
      <c r="E52" s="117"/>
      <c r="F52" s="104"/>
      <c r="G52" s="104"/>
      <c r="H52" s="36"/>
      <c r="I52" s="36"/>
    </row>
    <row r="53" spans="2:9" x14ac:dyDescent="0.3">
      <c r="B53" s="8">
        <v>49</v>
      </c>
      <c r="C53" s="221"/>
      <c r="D53" s="221"/>
      <c r="E53" s="117"/>
      <c r="F53" s="104"/>
      <c r="G53" s="104"/>
      <c r="H53" s="36"/>
      <c r="I53" s="36"/>
    </row>
    <row r="54" spans="2:9" x14ac:dyDescent="0.3">
      <c r="B54" s="8">
        <v>50</v>
      </c>
      <c r="C54" s="221"/>
      <c r="D54" s="221"/>
      <c r="E54" s="117"/>
      <c r="F54" s="104"/>
      <c r="G54" s="104"/>
      <c r="H54" s="36"/>
      <c r="I54" s="36"/>
    </row>
    <row r="55" spans="2:9" x14ac:dyDescent="0.3">
      <c r="B55" s="8">
        <v>51</v>
      </c>
      <c r="C55" s="221"/>
      <c r="D55" s="221"/>
      <c r="E55" s="117"/>
      <c r="F55" s="104"/>
      <c r="G55" s="104"/>
      <c r="H55" s="36"/>
      <c r="I55" s="36"/>
    </row>
    <row r="56" spans="2:9" x14ac:dyDescent="0.3">
      <c r="B56" s="8">
        <v>52</v>
      </c>
      <c r="C56" s="159"/>
      <c r="D56" s="159"/>
      <c r="E56" s="117"/>
      <c r="F56" s="104"/>
      <c r="G56" s="104"/>
      <c r="H56" s="36"/>
      <c r="I56" s="36"/>
    </row>
    <row r="57" spans="2:9" x14ac:dyDescent="0.3">
      <c r="B57" s="8">
        <v>53</v>
      </c>
      <c r="C57" s="221"/>
      <c r="D57" s="221"/>
      <c r="E57" s="117"/>
      <c r="F57" s="104"/>
      <c r="G57" s="104"/>
      <c r="H57" s="36"/>
      <c r="I57" s="36"/>
    </row>
    <row r="58" spans="2:9" x14ac:dyDescent="0.3">
      <c r="B58" s="8">
        <v>54</v>
      </c>
      <c r="C58" s="221"/>
      <c r="D58" s="221"/>
      <c r="E58" s="117"/>
      <c r="F58" s="104"/>
      <c r="G58" s="104"/>
      <c r="H58" s="36"/>
      <c r="I58" s="36"/>
    </row>
    <row r="59" spans="2:9" x14ac:dyDescent="0.3">
      <c r="B59" s="8">
        <v>55</v>
      </c>
      <c r="C59" s="159"/>
      <c r="D59" s="159"/>
      <c r="E59" s="117"/>
      <c r="F59" s="104"/>
      <c r="G59" s="104"/>
      <c r="H59" s="36"/>
      <c r="I59" s="36"/>
    </row>
    <row r="60" spans="2:9" x14ac:dyDescent="0.3">
      <c r="B60" s="8">
        <v>56</v>
      </c>
      <c r="C60" s="159"/>
      <c r="D60" s="159"/>
      <c r="E60" s="117"/>
      <c r="F60" s="104"/>
      <c r="G60" s="104"/>
      <c r="H60" s="36"/>
      <c r="I60" s="36"/>
    </row>
    <row r="61" spans="2:9" x14ac:dyDescent="0.3">
      <c r="B61" s="8">
        <v>57</v>
      </c>
      <c r="C61" s="221"/>
      <c r="D61" s="221"/>
      <c r="E61" s="117"/>
      <c r="F61" s="104"/>
      <c r="G61" s="104"/>
      <c r="H61" s="36"/>
      <c r="I61" s="36"/>
    </row>
    <row r="62" spans="2:9" x14ac:dyDescent="0.3">
      <c r="B62" s="8">
        <v>58</v>
      </c>
      <c r="C62" s="221"/>
      <c r="D62" s="221"/>
      <c r="E62" s="117"/>
      <c r="F62" s="104"/>
      <c r="G62" s="104"/>
      <c r="H62" s="36"/>
      <c r="I62" s="36"/>
    </row>
    <row r="63" spans="2:9" x14ac:dyDescent="0.3">
      <c r="B63" s="8">
        <v>59</v>
      </c>
      <c r="C63" s="221"/>
      <c r="D63" s="221"/>
      <c r="E63" s="117"/>
      <c r="F63" s="104"/>
      <c r="G63" s="104"/>
      <c r="H63" s="36"/>
      <c r="I63" s="36"/>
    </row>
    <row r="64" spans="2:9" x14ac:dyDescent="0.3">
      <c r="B64" s="8">
        <v>60</v>
      </c>
      <c r="C64" s="221"/>
      <c r="D64" s="221"/>
      <c r="E64" s="117"/>
      <c r="F64" s="104"/>
      <c r="G64" s="104"/>
      <c r="H64" s="36"/>
      <c r="I64" s="36"/>
    </row>
    <row r="65" spans="2:9" x14ac:dyDescent="0.3">
      <c r="B65" s="8">
        <v>61</v>
      </c>
      <c r="C65" s="221"/>
      <c r="D65" s="221"/>
      <c r="E65" s="117"/>
      <c r="F65" s="104"/>
      <c r="G65" s="104"/>
      <c r="H65" s="36"/>
      <c r="I65" s="36"/>
    </row>
    <row r="66" spans="2:9" x14ac:dyDescent="0.3">
      <c r="B66" s="8">
        <v>62</v>
      </c>
      <c r="C66" s="221"/>
      <c r="D66" s="221"/>
      <c r="E66" s="117"/>
      <c r="F66" s="104"/>
      <c r="G66" s="104"/>
      <c r="H66" s="36"/>
      <c r="I66" s="36"/>
    </row>
    <row r="67" spans="2:9" x14ac:dyDescent="0.3">
      <c r="B67" s="8">
        <v>63</v>
      </c>
      <c r="C67" s="221"/>
      <c r="D67" s="221"/>
      <c r="E67" s="117"/>
      <c r="F67" s="104"/>
      <c r="G67" s="104"/>
      <c r="H67" s="36"/>
      <c r="I67" s="36"/>
    </row>
    <row r="68" spans="2:9" x14ac:dyDescent="0.3">
      <c r="B68" s="8">
        <v>64</v>
      </c>
      <c r="C68" s="221"/>
      <c r="D68" s="221"/>
      <c r="E68" s="117"/>
      <c r="F68" s="104"/>
      <c r="G68" s="104"/>
      <c r="H68" s="36"/>
      <c r="I68" s="36"/>
    </row>
    <row r="69" spans="2:9" x14ac:dyDescent="0.3">
      <c r="B69" s="8">
        <v>65</v>
      </c>
      <c r="C69" s="221"/>
      <c r="D69" s="221"/>
      <c r="E69" s="117"/>
      <c r="F69" s="104"/>
      <c r="G69" s="104"/>
      <c r="H69" s="36"/>
      <c r="I69" s="36"/>
    </row>
    <row r="70" spans="2:9" x14ac:dyDescent="0.3">
      <c r="B70" s="8">
        <v>66</v>
      </c>
      <c r="C70" s="221"/>
      <c r="D70" s="221"/>
      <c r="E70" s="117"/>
      <c r="F70" s="104"/>
      <c r="G70" s="104"/>
      <c r="H70" s="36"/>
      <c r="I70" s="36"/>
    </row>
    <row r="71" spans="2:9" x14ac:dyDescent="0.3">
      <c r="B71" s="8">
        <v>67</v>
      </c>
      <c r="C71" s="221"/>
      <c r="D71" s="221"/>
      <c r="E71" s="117"/>
      <c r="F71" s="104"/>
      <c r="G71" s="104"/>
      <c r="H71" s="36"/>
      <c r="I71" s="36"/>
    </row>
    <row r="72" spans="2:9" x14ac:dyDescent="0.3">
      <c r="B72" s="8">
        <v>68</v>
      </c>
      <c r="C72" s="221"/>
      <c r="D72" s="221"/>
      <c r="E72" s="117"/>
      <c r="F72" s="104"/>
      <c r="G72" s="104"/>
      <c r="H72" s="36"/>
      <c r="I72" s="36"/>
    </row>
    <row r="73" spans="2:9" x14ac:dyDescent="0.3">
      <c r="B73" s="8">
        <v>69</v>
      </c>
      <c r="C73" s="221"/>
      <c r="D73" s="221"/>
      <c r="E73" s="117"/>
      <c r="F73" s="104"/>
      <c r="G73" s="104"/>
      <c r="H73" s="36"/>
      <c r="I73" s="36"/>
    </row>
    <row r="74" spans="2:9" x14ac:dyDescent="0.3">
      <c r="B74" s="8">
        <v>70</v>
      </c>
      <c r="C74" s="221"/>
      <c r="D74" s="221"/>
      <c r="E74" s="117"/>
      <c r="F74" s="104"/>
      <c r="G74" s="104"/>
      <c r="H74" s="36"/>
      <c r="I74" s="36"/>
    </row>
    <row r="75" spans="2:9" x14ac:dyDescent="0.3">
      <c r="B75" s="8">
        <v>71</v>
      </c>
      <c r="C75" s="221"/>
      <c r="D75" s="221"/>
      <c r="E75" s="117"/>
      <c r="F75" s="104"/>
      <c r="G75" s="104"/>
      <c r="H75" s="36"/>
      <c r="I75" s="36"/>
    </row>
    <row r="76" spans="2:9" x14ac:dyDescent="0.3">
      <c r="B76" s="8">
        <v>72</v>
      </c>
      <c r="C76" s="221"/>
      <c r="D76" s="221"/>
      <c r="E76" s="117"/>
      <c r="F76" s="104"/>
      <c r="G76" s="104"/>
      <c r="H76" s="36"/>
      <c r="I76" s="36"/>
    </row>
    <row r="77" spans="2:9" x14ac:dyDescent="0.3">
      <c r="B77" s="8">
        <v>73</v>
      </c>
      <c r="C77" s="221"/>
      <c r="D77" s="221"/>
      <c r="E77" s="117"/>
      <c r="F77" s="104"/>
      <c r="G77" s="104"/>
      <c r="H77" s="36"/>
      <c r="I77" s="36"/>
    </row>
    <row r="78" spans="2:9" x14ac:dyDescent="0.3">
      <c r="B78" s="8">
        <v>74</v>
      </c>
      <c r="C78" s="221"/>
      <c r="D78" s="221"/>
      <c r="E78" s="117"/>
      <c r="F78" s="104"/>
      <c r="G78" s="104"/>
      <c r="H78" s="36"/>
      <c r="I78" s="36"/>
    </row>
    <row r="79" spans="2:9" x14ac:dyDescent="0.3">
      <c r="B79" s="8">
        <v>75</v>
      </c>
      <c r="C79" s="221"/>
      <c r="D79" s="221"/>
      <c r="E79" s="117"/>
      <c r="F79" s="104"/>
      <c r="G79" s="104"/>
      <c r="H79" s="36"/>
      <c r="I79" s="36"/>
    </row>
    <row r="80" spans="2:9" x14ac:dyDescent="0.3">
      <c r="B80" s="8">
        <v>76</v>
      </c>
      <c r="C80" s="221"/>
      <c r="D80" s="221"/>
      <c r="E80" s="117"/>
      <c r="F80" s="104"/>
      <c r="G80" s="104"/>
      <c r="H80" s="36"/>
      <c r="I80" s="36"/>
    </row>
    <row r="81" spans="2:9" x14ac:dyDescent="0.3">
      <c r="B81" s="8">
        <v>77</v>
      </c>
      <c r="C81" s="221"/>
      <c r="D81" s="221"/>
      <c r="E81" s="117"/>
      <c r="F81" s="104"/>
      <c r="G81" s="104"/>
      <c r="H81" s="36"/>
      <c r="I81" s="36"/>
    </row>
    <row r="82" spans="2:9" x14ac:dyDescent="0.3">
      <c r="B82" s="8">
        <v>78</v>
      </c>
      <c r="C82" s="221"/>
      <c r="D82" s="221"/>
      <c r="E82" s="117"/>
      <c r="F82" s="104"/>
      <c r="G82" s="104"/>
      <c r="H82" s="36"/>
      <c r="I82" s="36"/>
    </row>
    <row r="83" spans="2:9" x14ac:dyDescent="0.3">
      <c r="B83" s="8">
        <v>79</v>
      </c>
      <c r="C83" s="221"/>
      <c r="D83" s="221"/>
      <c r="E83" s="117"/>
      <c r="F83" s="104"/>
      <c r="G83" s="104"/>
      <c r="H83" s="36"/>
      <c r="I83" s="36"/>
    </row>
    <row r="84" spans="2:9" x14ac:dyDescent="0.3">
      <c r="B84" s="8">
        <v>80</v>
      </c>
      <c r="C84" s="221"/>
      <c r="D84" s="221"/>
      <c r="E84" s="117"/>
      <c r="F84" s="104"/>
      <c r="G84" s="104"/>
      <c r="H84" s="36"/>
      <c r="I84" s="36"/>
    </row>
    <row r="85" spans="2:9" x14ac:dyDescent="0.3">
      <c r="B85" s="8">
        <v>81</v>
      </c>
      <c r="C85" s="221"/>
      <c r="D85" s="221"/>
      <c r="E85" s="117"/>
      <c r="F85" s="104"/>
      <c r="G85" s="104"/>
      <c r="H85" s="36"/>
      <c r="I85" s="36"/>
    </row>
    <row r="86" spans="2:9" x14ac:dyDescent="0.3">
      <c r="B86" s="8">
        <v>82</v>
      </c>
      <c r="C86" s="221"/>
      <c r="D86" s="221"/>
      <c r="E86" s="117"/>
      <c r="F86" s="104"/>
      <c r="G86" s="104"/>
      <c r="H86" s="36"/>
      <c r="I86" s="36"/>
    </row>
    <row r="87" spans="2:9" x14ac:dyDescent="0.3">
      <c r="B87" s="8">
        <v>83</v>
      </c>
      <c r="C87" s="221"/>
      <c r="D87" s="221"/>
      <c r="E87" s="117"/>
      <c r="F87" s="104"/>
      <c r="G87" s="104"/>
      <c r="H87" s="36"/>
      <c r="I87" s="36"/>
    </row>
    <row r="88" spans="2:9" x14ac:dyDescent="0.3">
      <c r="B88" s="8">
        <v>84</v>
      </c>
      <c r="C88" s="221"/>
      <c r="D88" s="221"/>
      <c r="E88" s="117"/>
      <c r="F88" s="104"/>
      <c r="G88" s="104"/>
      <c r="H88" s="36"/>
      <c r="I88" s="36"/>
    </row>
    <row r="89" spans="2:9" x14ac:dyDescent="0.3">
      <c r="B89" s="8">
        <v>85</v>
      </c>
      <c r="C89" s="221"/>
      <c r="D89" s="221"/>
      <c r="E89" s="117"/>
      <c r="F89" s="104"/>
      <c r="G89" s="104"/>
      <c r="H89" s="36"/>
      <c r="I89" s="36"/>
    </row>
    <row r="94" spans="2:9" x14ac:dyDescent="0.3">
      <c r="F94" s="299"/>
      <c r="G94" s="299"/>
    </row>
  </sheetData>
  <mergeCells count="1">
    <mergeCell ref="C2:H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BA328"/>
  <sheetViews>
    <sheetView topLeftCell="B1" zoomScale="80" zoomScaleNormal="80" workbookViewId="0">
      <pane xSplit="1" ySplit="8" topLeftCell="R9" activePane="bottomRight" state="frozen"/>
      <selection activeCell="I4" sqref="I4"/>
      <selection pane="topRight" activeCell="I4" sqref="I4"/>
      <selection pane="bottomLeft" activeCell="I4" sqref="I4"/>
      <selection pane="bottomRight" activeCell="AE9" sqref="AE9"/>
    </sheetView>
  </sheetViews>
  <sheetFormatPr defaultColWidth="9.109375" defaultRowHeight="14.4" x14ac:dyDescent="0.3"/>
  <cols>
    <col min="1" max="1" width="6.33203125" customWidth="1"/>
    <col min="2" max="2" width="8.6640625" style="9" customWidth="1"/>
    <col min="3" max="3" width="17.44140625" style="9" bestFit="1" customWidth="1"/>
    <col min="4" max="4" width="11.33203125" style="9" bestFit="1" customWidth="1"/>
    <col min="5" max="5" width="11" style="101" bestFit="1" customWidth="1"/>
    <col min="6" max="6" width="16.33203125" style="101" bestFit="1" customWidth="1"/>
    <col min="7" max="7" width="19.33203125" style="101" customWidth="1"/>
    <col min="8" max="8" width="19.88671875" style="27" bestFit="1" customWidth="1"/>
    <col min="9" max="9" width="31.33203125" style="27" customWidth="1"/>
    <col min="10" max="10" width="23.33203125" style="27" bestFit="1" customWidth="1"/>
    <col min="11" max="11" width="18.33203125" style="8" customWidth="1"/>
    <col min="12" max="12" width="14.6640625" style="27" customWidth="1"/>
    <col min="13" max="13" width="17.5546875" style="27" customWidth="1"/>
    <col min="14" max="14" width="20.6640625" style="42" customWidth="1"/>
    <col min="15" max="15" width="21.33203125" style="42" customWidth="1"/>
    <col min="16" max="16" width="20.44140625" style="42" customWidth="1"/>
    <col min="17" max="17" width="24.6640625" style="42" customWidth="1"/>
    <col min="18" max="18" width="16.6640625" style="42" customWidth="1"/>
    <col min="19" max="19" width="10.5546875" style="42" customWidth="1"/>
    <col min="20" max="20" width="11.109375" style="42" customWidth="1"/>
    <col min="21" max="21" width="9.5546875" style="42" customWidth="1"/>
    <col min="22" max="22" width="14.109375" style="42" customWidth="1"/>
    <col min="23" max="23" width="12.33203125" style="42" customWidth="1"/>
    <col min="24" max="24" width="21.33203125" style="42" bestFit="1" customWidth="1"/>
    <col min="25" max="25" width="22.6640625" style="42" bestFit="1" customWidth="1"/>
    <col min="26" max="26" width="25.33203125" style="42" bestFit="1" customWidth="1"/>
    <col min="27" max="27" width="17.6640625" style="42" bestFit="1" customWidth="1"/>
    <col min="28" max="28" width="14.44140625" style="42" customWidth="1"/>
    <col min="29" max="31" width="21.6640625" style="42" customWidth="1"/>
    <col min="32" max="32" width="18" style="42" customWidth="1"/>
    <col min="33" max="33" width="20.44140625" customWidth="1"/>
    <col min="34" max="34" width="18.44140625" style="8" customWidth="1"/>
    <col min="35" max="35" width="13.109375" customWidth="1"/>
    <col min="36" max="36" width="12.33203125" customWidth="1"/>
    <col min="37" max="37" width="21.109375" style="8" customWidth="1"/>
    <col min="38" max="38" width="13.88671875" bestFit="1" customWidth="1"/>
    <col min="39" max="39" width="9.6640625" customWidth="1"/>
    <col min="40" max="40" width="8" customWidth="1"/>
    <col min="41" max="41" width="67.6640625" customWidth="1"/>
    <col min="42" max="42" width="4.5546875" customWidth="1"/>
    <col min="43" max="44" width="20.88671875" style="343" customWidth="1"/>
    <col min="45" max="45" width="9.109375" style="343" customWidth="1"/>
    <col min="46" max="46" width="12.33203125" style="343" bestFit="1" customWidth="1"/>
    <col min="47" max="47" width="21.109375" style="342" bestFit="1" customWidth="1"/>
    <col min="48" max="48" width="13.44140625" style="342" bestFit="1" customWidth="1"/>
    <col min="49" max="49" width="10.5546875" style="342" bestFit="1" customWidth="1"/>
    <col min="50" max="50" width="9.109375" style="342" customWidth="1"/>
    <col min="51" max="51" width="14.33203125" style="342" customWidth="1"/>
    <col min="52" max="53" width="9.109375" style="342" customWidth="1"/>
  </cols>
  <sheetData>
    <row r="1" spans="1:53" ht="15.75" customHeight="1" x14ac:dyDescent="0.3">
      <c r="B1" s="407"/>
      <c r="C1" s="408"/>
      <c r="D1" s="408"/>
      <c r="E1" s="409"/>
      <c r="F1" s="409"/>
      <c r="G1" s="409"/>
      <c r="H1" s="401"/>
      <c r="I1" s="401"/>
      <c r="J1" s="401"/>
      <c r="K1" s="402"/>
      <c r="L1" s="401"/>
      <c r="M1" s="401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392"/>
      <c r="AH1" s="402"/>
      <c r="AI1" s="392"/>
      <c r="AJ1" s="392"/>
      <c r="AK1" s="402"/>
      <c r="AL1" s="392"/>
      <c r="AM1" s="392"/>
      <c r="AN1" s="392"/>
      <c r="AO1" s="392"/>
      <c r="AP1" s="113"/>
      <c r="AQ1" s="341"/>
      <c r="AR1" s="341"/>
      <c r="AS1" s="342"/>
      <c r="AT1" s="342"/>
    </row>
    <row r="2" spans="1:53" ht="15.75" customHeight="1" x14ac:dyDescent="0.3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25"/>
      <c r="M2" s="25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31"/>
      <c r="AH2" s="113"/>
      <c r="AI2" s="113"/>
      <c r="AJ2" s="31"/>
      <c r="AK2" s="31"/>
      <c r="AL2" s="113"/>
      <c r="AM2" s="31"/>
      <c r="AS2" s="342"/>
      <c r="AT2" s="342"/>
    </row>
    <row r="3" spans="1:53" ht="23.25" customHeight="1" x14ac:dyDescent="0.45">
      <c r="E3" s="9"/>
      <c r="F3" s="9"/>
      <c r="G3" s="9"/>
      <c r="H3" s="23"/>
      <c r="I3" s="400" t="s">
        <v>0</v>
      </c>
      <c r="J3" s="401"/>
      <c r="K3" s="402"/>
      <c r="L3" s="401"/>
      <c r="V3" s="8"/>
      <c r="W3" s="8"/>
      <c r="X3" s="8"/>
      <c r="AC3" s="32"/>
      <c r="AD3" s="32"/>
      <c r="AE3" s="32"/>
      <c r="AF3" s="8"/>
      <c r="AG3" s="8"/>
      <c r="AH3" s="32"/>
      <c r="AI3" s="32"/>
      <c r="AK3" s="32"/>
      <c r="AO3" s="8"/>
      <c r="AP3" s="8"/>
      <c r="AQ3" s="342"/>
      <c r="AR3" s="342"/>
      <c r="AS3" s="342"/>
      <c r="AT3" s="342"/>
    </row>
    <row r="4" spans="1:53" ht="18.75" customHeight="1" x14ac:dyDescent="0.35">
      <c r="E4" s="9"/>
      <c r="F4" s="9"/>
      <c r="G4" s="9"/>
      <c r="H4" s="4"/>
      <c r="I4" s="112"/>
      <c r="J4" s="112"/>
      <c r="K4" s="112"/>
      <c r="S4" s="4"/>
      <c r="T4" s="131" t="s">
        <v>1</v>
      </c>
      <c r="U4" s="23"/>
      <c r="V4" s="23"/>
      <c r="W4" s="5"/>
      <c r="X4" s="8"/>
      <c r="Z4" s="4"/>
      <c r="AA4" s="4"/>
      <c r="AB4" s="4"/>
      <c r="AC4" s="4"/>
      <c r="AD4" s="4"/>
      <c r="AE4" s="4"/>
      <c r="AF4" s="112"/>
      <c r="AG4" s="112"/>
      <c r="AH4" s="4"/>
      <c r="AI4" s="4"/>
      <c r="AJ4" s="4"/>
      <c r="AK4" s="4"/>
      <c r="AL4" s="4"/>
      <c r="AO4" s="8"/>
      <c r="AP4" s="8"/>
      <c r="AQ4" s="342"/>
      <c r="AR4" s="342"/>
      <c r="AS4" s="342"/>
      <c r="AT4" s="342"/>
    </row>
    <row r="5" spans="1:53" ht="18.75" customHeight="1" x14ac:dyDescent="0.35">
      <c r="E5" s="9"/>
      <c r="F5" s="9"/>
      <c r="G5" s="9"/>
      <c r="H5" s="4"/>
      <c r="I5" s="112"/>
      <c r="J5" s="112"/>
      <c r="K5" s="112"/>
      <c r="S5" s="4"/>
      <c r="T5" s="132" t="s">
        <v>2</v>
      </c>
      <c r="U5" s="4"/>
      <c r="V5" s="4"/>
      <c r="W5" s="5"/>
      <c r="X5" s="8"/>
      <c r="Y5" s="4"/>
      <c r="Z5" s="4"/>
      <c r="AA5" s="4"/>
      <c r="AB5" s="112" t="s">
        <v>3</v>
      </c>
      <c r="AC5" s="4"/>
      <c r="AD5" s="4"/>
      <c r="AE5" s="4"/>
      <c r="AF5" s="112"/>
      <c r="AG5" s="112"/>
      <c r="AH5" s="4"/>
      <c r="AI5" s="4"/>
      <c r="AJ5" s="4"/>
      <c r="AK5" s="4"/>
      <c r="AL5" s="4"/>
      <c r="AO5" s="8"/>
      <c r="AP5" s="8"/>
      <c r="AQ5" s="342"/>
      <c r="AR5" s="342"/>
      <c r="AS5" s="342"/>
      <c r="AT5" s="342"/>
    </row>
    <row r="6" spans="1:53" ht="18.75" customHeight="1" x14ac:dyDescent="0.35">
      <c r="E6" s="9"/>
      <c r="F6" s="9"/>
      <c r="G6" s="9"/>
      <c r="H6" s="112"/>
      <c r="I6" s="4"/>
      <c r="J6" s="4"/>
      <c r="K6" s="112"/>
      <c r="L6" s="112"/>
      <c r="M6" s="112"/>
      <c r="U6" s="4"/>
      <c r="V6" s="132"/>
      <c r="W6" s="4"/>
      <c r="X6" s="4"/>
      <c r="Y6" s="5"/>
      <c r="Z6" s="8"/>
      <c r="AA6" s="4"/>
      <c r="AB6" s="4"/>
      <c r="AC6" s="4"/>
      <c r="AD6" s="4"/>
      <c r="AE6" s="4"/>
      <c r="AF6" s="112"/>
      <c r="AG6" s="4"/>
      <c r="AH6" s="112"/>
      <c r="AI6" s="112"/>
      <c r="AJ6" s="4"/>
      <c r="AK6" s="4"/>
      <c r="AL6" s="4"/>
      <c r="AM6" s="4"/>
      <c r="AN6" s="4"/>
      <c r="AS6" s="342"/>
      <c r="AT6" s="342"/>
    </row>
    <row r="7" spans="1:53" x14ac:dyDescent="0.3">
      <c r="H7" s="27" t="s">
        <v>4</v>
      </c>
      <c r="O7" s="281"/>
      <c r="P7" s="281"/>
      <c r="Q7" s="281"/>
      <c r="AB7" s="139"/>
      <c r="AG7" s="8"/>
      <c r="AI7" s="8"/>
      <c r="AJ7" s="8"/>
      <c r="AL7" s="8"/>
      <c r="AM7" s="8"/>
      <c r="AN7" s="8"/>
      <c r="AO7" s="8"/>
      <c r="AT7" s="406" t="s">
        <v>5</v>
      </c>
      <c r="AU7" s="404"/>
      <c r="AV7" s="405"/>
      <c r="AW7" s="344"/>
      <c r="AY7" s="345" t="s">
        <v>6</v>
      </c>
    </row>
    <row r="8" spans="1:53" s="7" customFormat="1" ht="20.399999999999999" customHeight="1" x14ac:dyDescent="0.3">
      <c r="B8" s="271" t="s">
        <v>7</v>
      </c>
      <c r="C8" s="271" t="s">
        <v>8</v>
      </c>
      <c r="D8" s="271" t="s">
        <v>9</v>
      </c>
      <c r="E8" s="277" t="s">
        <v>10</v>
      </c>
      <c r="F8" s="278" t="s">
        <v>11</v>
      </c>
      <c r="G8" s="273" t="s">
        <v>12</v>
      </c>
      <c r="H8" s="279" t="s">
        <v>13</v>
      </c>
      <c r="I8" s="274" t="s">
        <v>14</v>
      </c>
      <c r="J8" s="274" t="s">
        <v>15</v>
      </c>
      <c r="K8" s="274" t="s">
        <v>16</v>
      </c>
      <c r="L8" s="278" t="s">
        <v>17</v>
      </c>
      <c r="M8" s="278" t="s">
        <v>18</v>
      </c>
      <c r="N8" s="275" t="s">
        <v>19</v>
      </c>
      <c r="O8" s="280" t="s">
        <v>20</v>
      </c>
      <c r="P8" s="280" t="s">
        <v>21</v>
      </c>
      <c r="Q8" s="280" t="s">
        <v>22</v>
      </c>
      <c r="R8" s="275" t="s">
        <v>23</v>
      </c>
      <c r="S8" s="275" t="s">
        <v>24</v>
      </c>
      <c r="T8" s="275" t="s">
        <v>25</v>
      </c>
      <c r="U8" s="275" t="s">
        <v>26</v>
      </c>
      <c r="V8" s="275" t="s">
        <v>27</v>
      </c>
      <c r="W8" s="275" t="s">
        <v>28</v>
      </c>
      <c r="X8" s="275" t="s">
        <v>29</v>
      </c>
      <c r="Y8" s="275" t="s">
        <v>30</v>
      </c>
      <c r="Z8" s="275" t="s">
        <v>31</v>
      </c>
      <c r="AA8" s="275" t="s">
        <v>32</v>
      </c>
      <c r="AB8" s="282" t="s">
        <v>33</v>
      </c>
      <c r="AC8" s="272" t="s">
        <v>34</v>
      </c>
      <c r="AD8" s="272" t="s">
        <v>35</v>
      </c>
      <c r="AE8" s="272" t="s">
        <v>36</v>
      </c>
      <c r="AF8" s="283" t="s">
        <v>37</v>
      </c>
      <c r="AG8" s="315" t="s">
        <v>38</v>
      </c>
      <c r="AH8" s="315" t="s">
        <v>39</v>
      </c>
      <c r="AI8" s="315" t="s">
        <v>40</v>
      </c>
      <c r="AJ8" s="315" t="s">
        <v>41</v>
      </c>
      <c r="AK8" s="315" t="s">
        <v>42</v>
      </c>
      <c r="AL8" s="315" t="s">
        <v>43</v>
      </c>
      <c r="AM8" s="315" t="s">
        <v>44</v>
      </c>
      <c r="AN8" s="315" t="s">
        <v>45</v>
      </c>
      <c r="AO8" s="316" t="s">
        <v>46</v>
      </c>
      <c r="AQ8" s="346" t="s">
        <v>47</v>
      </c>
      <c r="AR8" s="346" t="s">
        <v>48</v>
      </c>
      <c r="AS8" s="347"/>
      <c r="AT8" s="348" t="s">
        <v>49</v>
      </c>
      <c r="AU8" s="349" t="s">
        <v>50</v>
      </c>
      <c r="AV8" s="350" t="s">
        <v>51</v>
      </c>
      <c r="AW8" s="351"/>
      <c r="AX8" s="352"/>
      <c r="AY8" s="351"/>
      <c r="AZ8" s="352"/>
      <c r="BA8" s="352"/>
    </row>
    <row r="9" spans="1:53" x14ac:dyDescent="0.3">
      <c r="A9" s="42"/>
      <c r="B9" s="11">
        <v>1</v>
      </c>
      <c r="C9" s="11"/>
      <c r="D9" s="11"/>
      <c r="E9" s="1"/>
      <c r="F9" s="153"/>
      <c r="G9" s="153"/>
      <c r="H9" s="225"/>
      <c r="I9" s="159"/>
      <c r="J9" s="159"/>
      <c r="K9" s="104"/>
      <c r="L9" s="16"/>
      <c r="M9" s="16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>
        <f t="shared" ref="AA9:AA54" si="0">SUM(N9:Z9)</f>
        <v>0</v>
      </c>
      <c r="AB9" s="52">
        <f>T9+W9</f>
        <v>0</v>
      </c>
      <c r="AC9" s="133">
        <f t="shared" ref="AC9:AC54" si="1">AA9-AB9</f>
        <v>0</v>
      </c>
      <c r="AD9" s="133"/>
      <c r="AE9" s="133">
        <f t="shared" ref="AE9:AE54" si="2">AA9-AD9</f>
        <v>0</v>
      </c>
      <c r="AF9" s="138"/>
      <c r="AG9" s="29"/>
      <c r="AH9" s="29"/>
      <c r="AI9" s="104"/>
      <c r="AJ9" s="16"/>
      <c r="AK9" s="226"/>
      <c r="AL9" s="16"/>
      <c r="AM9" s="16"/>
      <c r="AN9" s="16"/>
      <c r="AO9" s="36"/>
      <c r="AP9" s="32"/>
      <c r="AQ9" s="353"/>
      <c r="AR9" s="354"/>
      <c r="AS9" s="342"/>
      <c r="AT9" s="355">
        <f t="shared" ref="AT9:AT54" si="3">N9+O9+P9+Q9+R9</f>
        <v>0</v>
      </c>
      <c r="AU9" s="355">
        <f t="shared" ref="AU9:AU54" si="4">S9+T9+U9+V9+X9+Y9</f>
        <v>0</v>
      </c>
      <c r="AV9" s="355">
        <f t="shared" ref="AV9:AV54" si="5">SUM(AT9:AU9)</f>
        <v>0</v>
      </c>
      <c r="AW9" s="356">
        <f t="shared" ref="AW9:AW55" si="6">AV9-AA9+W9+Z9</f>
        <v>0</v>
      </c>
      <c r="AY9" s="357">
        <f t="shared" ref="AY9:AY54" si="7">AA9-AV9</f>
        <v>0</v>
      </c>
      <c r="AZ9" s="358">
        <f t="shared" ref="AZ9:AZ54" si="8">AY9-AB9</f>
        <v>0</v>
      </c>
    </row>
    <row r="10" spans="1:53" x14ac:dyDescent="0.3">
      <c r="B10" s="11">
        <v>2</v>
      </c>
      <c r="C10" s="11"/>
      <c r="D10" s="11"/>
      <c r="E10" s="1"/>
      <c r="F10" s="153"/>
      <c r="G10" s="153"/>
      <c r="H10" s="225"/>
      <c r="I10" s="159"/>
      <c r="J10" s="159"/>
      <c r="K10" s="104"/>
      <c r="L10" s="16"/>
      <c r="M10" s="16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>
        <f t="shared" si="0"/>
        <v>0</v>
      </c>
      <c r="AB10" s="52">
        <f t="shared" ref="AB10:AB54" si="9">T10+W10</f>
        <v>0</v>
      </c>
      <c r="AC10" s="133">
        <f t="shared" si="1"/>
        <v>0</v>
      </c>
      <c r="AD10" s="133"/>
      <c r="AE10" s="133">
        <f t="shared" si="2"/>
        <v>0</v>
      </c>
      <c r="AF10" s="138"/>
      <c r="AG10" s="29"/>
      <c r="AH10" s="29"/>
      <c r="AI10" s="104"/>
      <c r="AJ10" s="16"/>
      <c r="AK10" s="226"/>
      <c r="AL10" s="16"/>
      <c r="AM10" s="16"/>
      <c r="AN10" s="16"/>
      <c r="AO10" s="36"/>
      <c r="AP10" s="32"/>
      <c r="AQ10" s="353"/>
      <c r="AR10" s="354"/>
      <c r="AT10" s="355">
        <f t="shared" si="3"/>
        <v>0</v>
      </c>
      <c r="AU10" s="355">
        <f t="shared" si="4"/>
        <v>0</v>
      </c>
      <c r="AV10" s="355">
        <f t="shared" si="5"/>
        <v>0</v>
      </c>
      <c r="AW10" s="356">
        <f t="shared" si="6"/>
        <v>0</v>
      </c>
      <c r="AY10" s="357">
        <f t="shared" si="7"/>
        <v>0</v>
      </c>
      <c r="AZ10" s="358">
        <f t="shared" si="8"/>
        <v>0</v>
      </c>
    </row>
    <row r="11" spans="1:53" x14ac:dyDescent="0.3">
      <c r="A11" s="42"/>
      <c r="B11" s="11">
        <v>3</v>
      </c>
      <c r="C11" s="11"/>
      <c r="D11" s="11"/>
      <c r="E11" s="1"/>
      <c r="F11" s="153"/>
      <c r="G11" s="153"/>
      <c r="H11" s="225"/>
      <c r="I11" s="159"/>
      <c r="J11" s="159"/>
      <c r="K11" s="104"/>
      <c r="L11" s="16"/>
      <c r="M11" s="16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>
        <f t="shared" si="0"/>
        <v>0</v>
      </c>
      <c r="AB11" s="52">
        <f t="shared" si="9"/>
        <v>0</v>
      </c>
      <c r="AC11" s="133">
        <f t="shared" si="1"/>
        <v>0</v>
      </c>
      <c r="AD11" s="133"/>
      <c r="AE11" s="133">
        <f t="shared" si="2"/>
        <v>0</v>
      </c>
      <c r="AF11" s="138"/>
      <c r="AG11" s="29"/>
      <c r="AH11" s="29"/>
      <c r="AI11" s="104"/>
      <c r="AJ11" s="16"/>
      <c r="AK11" s="226"/>
      <c r="AL11" s="16"/>
      <c r="AM11" s="16"/>
      <c r="AN11" s="16"/>
      <c r="AO11" s="36"/>
      <c r="AP11" s="32"/>
      <c r="AQ11" s="353"/>
      <c r="AR11" s="354"/>
      <c r="AS11" s="342"/>
      <c r="AT11" s="355">
        <f t="shared" si="3"/>
        <v>0</v>
      </c>
      <c r="AU11" s="355">
        <f t="shared" si="4"/>
        <v>0</v>
      </c>
      <c r="AV11" s="355">
        <f t="shared" si="5"/>
        <v>0</v>
      </c>
      <c r="AW11" s="356">
        <f t="shared" si="6"/>
        <v>0</v>
      </c>
      <c r="AY11" s="357">
        <f t="shared" si="7"/>
        <v>0</v>
      </c>
      <c r="AZ11" s="358">
        <f t="shared" si="8"/>
        <v>0</v>
      </c>
    </row>
    <row r="12" spans="1:53" x14ac:dyDescent="0.3">
      <c r="A12" s="42"/>
      <c r="B12" s="11">
        <v>4</v>
      </c>
      <c r="C12" s="11"/>
      <c r="D12" s="11"/>
      <c r="E12" s="1"/>
      <c r="F12" s="153"/>
      <c r="G12" s="153"/>
      <c r="H12" s="225"/>
      <c r="I12" s="159"/>
      <c r="J12" s="159"/>
      <c r="K12" s="104"/>
      <c r="L12" s="16"/>
      <c r="M12" s="16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>
        <f t="shared" si="0"/>
        <v>0</v>
      </c>
      <c r="AB12" s="52">
        <f t="shared" si="9"/>
        <v>0</v>
      </c>
      <c r="AC12" s="133">
        <f t="shared" si="1"/>
        <v>0</v>
      </c>
      <c r="AD12" s="133"/>
      <c r="AE12" s="133">
        <f t="shared" si="2"/>
        <v>0</v>
      </c>
      <c r="AF12" s="138"/>
      <c r="AG12" s="29"/>
      <c r="AH12" s="29"/>
      <c r="AI12" s="104"/>
      <c r="AJ12" s="16"/>
      <c r="AK12" s="160"/>
      <c r="AL12" s="16"/>
      <c r="AM12" s="16"/>
      <c r="AN12" s="16"/>
      <c r="AO12" s="36"/>
      <c r="AP12" s="32"/>
      <c r="AQ12" s="353"/>
      <c r="AR12" s="354"/>
      <c r="AS12" s="342"/>
      <c r="AT12" s="355">
        <f t="shared" si="3"/>
        <v>0</v>
      </c>
      <c r="AU12" s="355">
        <f t="shared" si="4"/>
        <v>0</v>
      </c>
      <c r="AV12" s="355">
        <f t="shared" si="5"/>
        <v>0</v>
      </c>
      <c r="AW12" s="356">
        <f t="shared" si="6"/>
        <v>0</v>
      </c>
      <c r="AY12" s="357">
        <f t="shared" si="7"/>
        <v>0</v>
      </c>
      <c r="AZ12" s="358">
        <f t="shared" si="8"/>
        <v>0</v>
      </c>
    </row>
    <row r="13" spans="1:53" x14ac:dyDescent="0.3">
      <c r="A13" s="42"/>
      <c r="B13" s="11">
        <v>5</v>
      </c>
      <c r="C13" s="11"/>
      <c r="D13" s="11"/>
      <c r="E13" s="1"/>
      <c r="F13" s="153"/>
      <c r="G13" s="153"/>
      <c r="H13" s="225"/>
      <c r="I13" s="159"/>
      <c r="J13" s="159"/>
      <c r="K13" s="104"/>
      <c r="L13" s="16"/>
      <c r="M13" s="16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>
        <f t="shared" si="0"/>
        <v>0</v>
      </c>
      <c r="AB13" s="52">
        <f t="shared" si="9"/>
        <v>0</v>
      </c>
      <c r="AC13" s="133">
        <f t="shared" si="1"/>
        <v>0</v>
      </c>
      <c r="AD13" s="133"/>
      <c r="AE13" s="133">
        <f t="shared" si="2"/>
        <v>0</v>
      </c>
      <c r="AF13" s="138"/>
      <c r="AG13" s="29"/>
      <c r="AH13" s="29"/>
      <c r="AI13" s="104"/>
      <c r="AJ13" s="16"/>
      <c r="AK13" s="160"/>
      <c r="AL13" s="16"/>
      <c r="AM13" s="16"/>
      <c r="AN13" s="16"/>
      <c r="AO13" s="36"/>
      <c r="AP13" s="32"/>
      <c r="AQ13" s="353"/>
      <c r="AR13" s="354"/>
      <c r="AS13" s="342"/>
      <c r="AT13" s="355">
        <f t="shared" si="3"/>
        <v>0</v>
      </c>
      <c r="AU13" s="355">
        <f t="shared" si="4"/>
        <v>0</v>
      </c>
      <c r="AV13" s="355">
        <f t="shared" si="5"/>
        <v>0</v>
      </c>
      <c r="AW13" s="356">
        <f t="shared" si="6"/>
        <v>0</v>
      </c>
      <c r="AY13" s="357">
        <f t="shared" si="7"/>
        <v>0</v>
      </c>
      <c r="AZ13" s="358">
        <f t="shared" si="8"/>
        <v>0</v>
      </c>
    </row>
    <row r="14" spans="1:53" x14ac:dyDescent="0.3">
      <c r="A14" s="42"/>
      <c r="B14" s="11">
        <v>6</v>
      </c>
      <c r="C14" s="11"/>
      <c r="D14" s="11"/>
      <c r="E14" s="1"/>
      <c r="F14" s="153"/>
      <c r="G14" s="153"/>
      <c r="H14" s="225"/>
      <c r="I14" s="159"/>
      <c r="J14" s="159"/>
      <c r="K14" s="104"/>
      <c r="L14" s="16"/>
      <c r="M14" s="16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>
        <f t="shared" si="0"/>
        <v>0</v>
      </c>
      <c r="AB14" s="52">
        <f t="shared" si="9"/>
        <v>0</v>
      </c>
      <c r="AC14" s="133">
        <f t="shared" si="1"/>
        <v>0</v>
      </c>
      <c r="AD14" s="133"/>
      <c r="AE14" s="133">
        <f t="shared" si="2"/>
        <v>0</v>
      </c>
      <c r="AF14" s="138"/>
      <c r="AG14" s="29"/>
      <c r="AH14" s="29"/>
      <c r="AI14" s="104"/>
      <c r="AJ14" s="16"/>
      <c r="AK14" s="160"/>
      <c r="AL14" s="16"/>
      <c r="AM14" s="16"/>
      <c r="AN14" s="16"/>
      <c r="AO14" s="36"/>
      <c r="AP14" s="32"/>
      <c r="AQ14" s="353"/>
      <c r="AR14" s="354"/>
      <c r="AT14" s="355">
        <f t="shared" si="3"/>
        <v>0</v>
      </c>
      <c r="AU14" s="355">
        <f t="shared" si="4"/>
        <v>0</v>
      </c>
      <c r="AV14" s="355">
        <f t="shared" si="5"/>
        <v>0</v>
      </c>
      <c r="AW14" s="356">
        <f t="shared" si="6"/>
        <v>0</v>
      </c>
      <c r="AY14" s="357">
        <f t="shared" si="7"/>
        <v>0</v>
      </c>
      <c r="AZ14" s="358">
        <f t="shared" si="8"/>
        <v>0</v>
      </c>
    </row>
    <row r="15" spans="1:53" x14ac:dyDescent="0.3">
      <c r="B15" s="11">
        <v>7</v>
      </c>
      <c r="C15" s="11"/>
      <c r="D15" s="11"/>
      <c r="E15" s="1"/>
      <c r="F15" s="153"/>
      <c r="G15" s="153"/>
      <c r="H15" s="225"/>
      <c r="I15" s="159"/>
      <c r="J15" s="159"/>
      <c r="K15" s="104"/>
      <c r="L15" s="16"/>
      <c r="M15" s="16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>
        <f t="shared" si="0"/>
        <v>0</v>
      </c>
      <c r="AB15" s="52">
        <f t="shared" si="9"/>
        <v>0</v>
      </c>
      <c r="AC15" s="133">
        <f t="shared" si="1"/>
        <v>0</v>
      </c>
      <c r="AD15" s="133"/>
      <c r="AE15" s="133">
        <f t="shared" si="2"/>
        <v>0</v>
      </c>
      <c r="AF15" s="138"/>
      <c r="AG15" s="29"/>
      <c r="AH15" s="29"/>
      <c r="AI15" s="104"/>
      <c r="AJ15" s="16"/>
      <c r="AK15" s="160"/>
      <c r="AL15" s="16"/>
      <c r="AM15" s="16"/>
      <c r="AN15" s="227"/>
      <c r="AO15" s="36"/>
      <c r="AP15" s="32"/>
      <c r="AQ15" s="353"/>
      <c r="AR15" s="354"/>
      <c r="AT15" s="355">
        <f t="shared" si="3"/>
        <v>0</v>
      </c>
      <c r="AU15" s="355">
        <f t="shared" si="4"/>
        <v>0</v>
      </c>
      <c r="AV15" s="355">
        <f t="shared" si="5"/>
        <v>0</v>
      </c>
      <c r="AW15" s="356">
        <f t="shared" si="6"/>
        <v>0</v>
      </c>
      <c r="AY15" s="357">
        <f t="shared" si="7"/>
        <v>0</v>
      </c>
      <c r="AZ15" s="358">
        <f t="shared" si="8"/>
        <v>0</v>
      </c>
    </row>
    <row r="16" spans="1:53" x14ac:dyDescent="0.3">
      <c r="A16" s="42"/>
      <c r="B16" s="11">
        <v>8</v>
      </c>
      <c r="C16" s="11"/>
      <c r="D16" s="11"/>
      <c r="E16" s="1"/>
      <c r="F16" s="153"/>
      <c r="G16" s="153"/>
      <c r="H16" s="225"/>
      <c r="I16" s="159"/>
      <c r="J16" s="159"/>
      <c r="K16" s="104"/>
      <c r="L16" s="16"/>
      <c r="M16" s="16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>
        <f t="shared" si="0"/>
        <v>0</v>
      </c>
      <c r="AB16" s="52">
        <f t="shared" si="9"/>
        <v>0</v>
      </c>
      <c r="AC16" s="133">
        <f t="shared" si="1"/>
        <v>0</v>
      </c>
      <c r="AD16" s="133"/>
      <c r="AE16" s="133">
        <f t="shared" si="2"/>
        <v>0</v>
      </c>
      <c r="AF16" s="138"/>
      <c r="AG16" s="29"/>
      <c r="AH16" s="29"/>
      <c r="AI16" s="104"/>
      <c r="AJ16" s="16"/>
      <c r="AK16" s="160"/>
      <c r="AL16" s="16"/>
      <c r="AM16" s="16"/>
      <c r="AN16" s="227"/>
      <c r="AO16" s="36"/>
      <c r="AP16" s="32"/>
      <c r="AQ16" s="353"/>
      <c r="AR16" s="354"/>
      <c r="AS16" s="342"/>
      <c r="AT16" s="355">
        <f t="shared" si="3"/>
        <v>0</v>
      </c>
      <c r="AU16" s="355">
        <f t="shared" si="4"/>
        <v>0</v>
      </c>
      <c r="AV16" s="355">
        <f t="shared" si="5"/>
        <v>0</v>
      </c>
      <c r="AW16" s="356">
        <f t="shared" si="6"/>
        <v>0</v>
      </c>
      <c r="AY16" s="357">
        <f t="shared" si="7"/>
        <v>0</v>
      </c>
      <c r="AZ16" s="358">
        <f t="shared" si="8"/>
        <v>0</v>
      </c>
    </row>
    <row r="17" spans="1:52" x14ac:dyDescent="0.3">
      <c r="B17" s="11">
        <v>9</v>
      </c>
      <c r="C17" s="11"/>
      <c r="D17" s="11"/>
      <c r="E17" s="1"/>
      <c r="F17" s="153"/>
      <c r="G17" s="153"/>
      <c r="H17" s="225"/>
      <c r="I17" s="159"/>
      <c r="J17" s="159"/>
      <c r="K17" s="104"/>
      <c r="L17" s="16"/>
      <c r="M17" s="16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>
        <f t="shared" si="0"/>
        <v>0</v>
      </c>
      <c r="AB17" s="52">
        <f t="shared" si="9"/>
        <v>0</v>
      </c>
      <c r="AC17" s="133">
        <f t="shared" si="1"/>
        <v>0</v>
      </c>
      <c r="AD17" s="133"/>
      <c r="AE17" s="133">
        <f t="shared" si="2"/>
        <v>0</v>
      </c>
      <c r="AF17" s="138"/>
      <c r="AG17" s="29"/>
      <c r="AH17" s="29"/>
      <c r="AI17" s="104"/>
      <c r="AJ17" s="16"/>
      <c r="AK17" s="160"/>
      <c r="AL17" s="16"/>
      <c r="AM17" s="16"/>
      <c r="AN17" s="227"/>
      <c r="AO17" s="36"/>
      <c r="AP17" s="32"/>
      <c r="AQ17" s="353"/>
      <c r="AR17" s="354"/>
      <c r="AT17" s="355">
        <f t="shared" si="3"/>
        <v>0</v>
      </c>
      <c r="AU17" s="355">
        <f t="shared" si="4"/>
        <v>0</v>
      </c>
      <c r="AV17" s="355">
        <f t="shared" si="5"/>
        <v>0</v>
      </c>
      <c r="AW17" s="356">
        <f t="shared" si="6"/>
        <v>0</v>
      </c>
      <c r="AY17" s="357">
        <f t="shared" si="7"/>
        <v>0</v>
      </c>
      <c r="AZ17" s="358">
        <f t="shared" si="8"/>
        <v>0</v>
      </c>
    </row>
    <row r="18" spans="1:52" x14ac:dyDescent="0.3">
      <c r="B18" s="11">
        <v>10</v>
      </c>
      <c r="C18" s="11"/>
      <c r="D18" s="11"/>
      <c r="E18" s="1"/>
      <c r="F18" s="153"/>
      <c r="G18" s="153"/>
      <c r="H18" s="225"/>
      <c r="I18" s="159"/>
      <c r="J18" s="159"/>
      <c r="K18" s="104"/>
      <c r="L18" s="16"/>
      <c r="M18" s="16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>
        <f t="shared" si="0"/>
        <v>0</v>
      </c>
      <c r="AB18" s="52">
        <f t="shared" si="9"/>
        <v>0</v>
      </c>
      <c r="AC18" s="133">
        <f t="shared" si="1"/>
        <v>0</v>
      </c>
      <c r="AD18" s="133"/>
      <c r="AE18" s="133">
        <f t="shared" si="2"/>
        <v>0</v>
      </c>
      <c r="AF18" s="138"/>
      <c r="AG18" s="29"/>
      <c r="AH18" s="29"/>
      <c r="AI18" s="104"/>
      <c r="AJ18" s="16"/>
      <c r="AK18" s="160"/>
      <c r="AL18" s="16"/>
      <c r="AM18" s="16"/>
      <c r="AN18" s="227"/>
      <c r="AO18" s="36"/>
      <c r="AP18" s="32"/>
      <c r="AQ18" s="353"/>
      <c r="AR18" s="354"/>
      <c r="AT18" s="355">
        <f t="shared" si="3"/>
        <v>0</v>
      </c>
      <c r="AU18" s="355">
        <f t="shared" si="4"/>
        <v>0</v>
      </c>
      <c r="AV18" s="355">
        <f t="shared" si="5"/>
        <v>0</v>
      </c>
      <c r="AW18" s="356">
        <f t="shared" si="6"/>
        <v>0</v>
      </c>
      <c r="AY18" s="357">
        <f t="shared" si="7"/>
        <v>0</v>
      </c>
      <c r="AZ18" s="358">
        <f t="shared" si="8"/>
        <v>0</v>
      </c>
    </row>
    <row r="19" spans="1:52" x14ac:dyDescent="0.3">
      <c r="A19" s="42"/>
      <c r="B19" s="11">
        <v>11</v>
      </c>
      <c r="C19" s="11"/>
      <c r="D19" s="11"/>
      <c r="E19" s="1"/>
      <c r="F19" s="153"/>
      <c r="G19" s="153"/>
      <c r="H19" s="225"/>
      <c r="I19" s="159"/>
      <c r="J19" s="159"/>
      <c r="K19" s="104"/>
      <c r="L19" s="16"/>
      <c r="M19" s="16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>
        <f t="shared" si="0"/>
        <v>0</v>
      </c>
      <c r="AB19" s="52">
        <f t="shared" si="9"/>
        <v>0</v>
      </c>
      <c r="AC19" s="133">
        <f t="shared" si="1"/>
        <v>0</v>
      </c>
      <c r="AD19" s="133"/>
      <c r="AE19" s="133">
        <f t="shared" si="2"/>
        <v>0</v>
      </c>
      <c r="AF19" s="138"/>
      <c r="AG19" s="29"/>
      <c r="AH19" s="29"/>
      <c r="AI19" s="104"/>
      <c r="AJ19" s="16"/>
      <c r="AK19" s="160"/>
      <c r="AL19" s="16"/>
      <c r="AM19" s="16"/>
      <c r="AN19" s="227"/>
      <c r="AO19" s="36"/>
      <c r="AP19" s="32"/>
      <c r="AQ19" s="353"/>
      <c r="AR19" s="354"/>
      <c r="AS19" s="342"/>
      <c r="AT19" s="355">
        <f t="shared" si="3"/>
        <v>0</v>
      </c>
      <c r="AU19" s="355">
        <f t="shared" si="4"/>
        <v>0</v>
      </c>
      <c r="AV19" s="355">
        <f t="shared" si="5"/>
        <v>0</v>
      </c>
      <c r="AW19" s="356">
        <f t="shared" si="6"/>
        <v>0</v>
      </c>
      <c r="AY19" s="357">
        <f t="shared" si="7"/>
        <v>0</v>
      </c>
      <c r="AZ19" s="358">
        <f t="shared" si="8"/>
        <v>0</v>
      </c>
    </row>
    <row r="20" spans="1:52" x14ac:dyDescent="0.3">
      <c r="A20" s="42"/>
      <c r="B20" s="11">
        <v>12</v>
      </c>
      <c r="C20" s="11"/>
      <c r="D20" s="11"/>
      <c r="E20" s="1"/>
      <c r="F20" s="153"/>
      <c r="G20" s="153"/>
      <c r="H20" s="225"/>
      <c r="I20" s="159"/>
      <c r="J20" s="159"/>
      <c r="K20" s="104"/>
      <c r="L20" s="16"/>
      <c r="M20" s="16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>
        <f t="shared" si="0"/>
        <v>0</v>
      </c>
      <c r="AB20" s="52">
        <f t="shared" si="9"/>
        <v>0</v>
      </c>
      <c r="AC20" s="133">
        <f t="shared" si="1"/>
        <v>0</v>
      </c>
      <c r="AD20" s="133"/>
      <c r="AE20" s="133">
        <f t="shared" si="2"/>
        <v>0</v>
      </c>
      <c r="AF20" s="138"/>
      <c r="AG20" s="29"/>
      <c r="AH20" s="29"/>
      <c r="AI20" s="104"/>
      <c r="AJ20" s="16"/>
      <c r="AK20" s="160"/>
      <c r="AL20" s="16"/>
      <c r="AM20" s="16"/>
      <c r="AN20" s="227"/>
      <c r="AO20" s="36"/>
      <c r="AP20" s="32"/>
      <c r="AQ20" s="353"/>
      <c r="AR20" s="354"/>
      <c r="AS20" s="342"/>
      <c r="AT20" s="355">
        <f t="shared" si="3"/>
        <v>0</v>
      </c>
      <c r="AU20" s="355">
        <f t="shared" si="4"/>
        <v>0</v>
      </c>
      <c r="AV20" s="355">
        <f t="shared" si="5"/>
        <v>0</v>
      </c>
      <c r="AW20" s="356">
        <f t="shared" si="6"/>
        <v>0</v>
      </c>
      <c r="AY20" s="357">
        <f t="shared" si="7"/>
        <v>0</v>
      </c>
      <c r="AZ20" s="358">
        <f t="shared" si="8"/>
        <v>0</v>
      </c>
    </row>
    <row r="21" spans="1:52" x14ac:dyDescent="0.3">
      <c r="A21" s="42"/>
      <c r="B21" s="11">
        <v>13</v>
      </c>
      <c r="C21" s="11"/>
      <c r="D21" s="11"/>
      <c r="E21" s="1"/>
      <c r="F21" s="153"/>
      <c r="G21" s="153"/>
      <c r="H21" s="225"/>
      <c r="I21" s="159"/>
      <c r="J21" s="159"/>
      <c r="K21" s="104"/>
      <c r="L21" s="16"/>
      <c r="M21" s="16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>
        <f t="shared" si="0"/>
        <v>0</v>
      </c>
      <c r="AB21" s="52">
        <f t="shared" si="9"/>
        <v>0</v>
      </c>
      <c r="AC21" s="133">
        <f t="shared" si="1"/>
        <v>0</v>
      </c>
      <c r="AD21" s="133"/>
      <c r="AE21" s="133">
        <f t="shared" si="2"/>
        <v>0</v>
      </c>
      <c r="AF21" s="138"/>
      <c r="AG21" s="29"/>
      <c r="AH21" s="29"/>
      <c r="AI21" s="104"/>
      <c r="AJ21" s="16"/>
      <c r="AK21" s="160"/>
      <c r="AL21" s="16"/>
      <c r="AM21" s="16"/>
      <c r="AN21" s="227"/>
      <c r="AO21" s="36"/>
      <c r="AP21" s="32"/>
      <c r="AQ21" s="353"/>
      <c r="AR21" s="354"/>
      <c r="AS21" s="342"/>
      <c r="AT21" s="355">
        <f t="shared" si="3"/>
        <v>0</v>
      </c>
      <c r="AU21" s="355">
        <f t="shared" si="4"/>
        <v>0</v>
      </c>
      <c r="AV21" s="355">
        <f t="shared" si="5"/>
        <v>0</v>
      </c>
      <c r="AW21" s="356">
        <f t="shared" si="6"/>
        <v>0</v>
      </c>
      <c r="AY21" s="357">
        <f t="shared" si="7"/>
        <v>0</v>
      </c>
      <c r="AZ21" s="358">
        <f t="shared" si="8"/>
        <v>0</v>
      </c>
    </row>
    <row r="22" spans="1:52" x14ac:dyDescent="0.3">
      <c r="A22" s="42"/>
      <c r="B22" s="11">
        <v>14</v>
      </c>
      <c r="C22" s="11"/>
      <c r="D22" s="11"/>
      <c r="E22" s="1"/>
      <c r="F22" s="153"/>
      <c r="G22" s="153"/>
      <c r="H22" s="225"/>
      <c r="I22" s="159"/>
      <c r="J22" s="159"/>
      <c r="K22" s="104"/>
      <c r="L22" s="16"/>
      <c r="M22" s="16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>
        <f t="shared" si="0"/>
        <v>0</v>
      </c>
      <c r="AB22" s="52">
        <f t="shared" si="9"/>
        <v>0</v>
      </c>
      <c r="AC22" s="133">
        <f t="shared" si="1"/>
        <v>0</v>
      </c>
      <c r="AD22" s="133"/>
      <c r="AE22" s="133">
        <f t="shared" si="2"/>
        <v>0</v>
      </c>
      <c r="AF22" s="138"/>
      <c r="AG22" s="29"/>
      <c r="AH22" s="29"/>
      <c r="AI22" s="104"/>
      <c r="AJ22" s="16"/>
      <c r="AK22" s="160"/>
      <c r="AL22" s="16"/>
      <c r="AM22" s="16"/>
      <c r="AN22" s="227"/>
      <c r="AO22" s="36"/>
      <c r="AP22" s="32"/>
      <c r="AQ22" s="353"/>
      <c r="AR22" s="354"/>
      <c r="AT22" s="355">
        <f t="shared" si="3"/>
        <v>0</v>
      </c>
      <c r="AU22" s="355">
        <f t="shared" si="4"/>
        <v>0</v>
      </c>
      <c r="AV22" s="355">
        <f t="shared" si="5"/>
        <v>0</v>
      </c>
      <c r="AW22" s="356">
        <f t="shared" si="6"/>
        <v>0</v>
      </c>
      <c r="AY22" s="357">
        <f t="shared" si="7"/>
        <v>0</v>
      </c>
      <c r="AZ22" s="358">
        <f t="shared" si="8"/>
        <v>0</v>
      </c>
    </row>
    <row r="23" spans="1:52" x14ac:dyDescent="0.3">
      <c r="A23" s="42"/>
      <c r="B23" s="11">
        <v>15</v>
      </c>
      <c r="C23" s="11"/>
      <c r="D23" s="11"/>
      <c r="E23" s="1"/>
      <c r="F23" s="153"/>
      <c r="G23" s="153"/>
      <c r="H23" s="225"/>
      <c r="I23" s="159"/>
      <c r="J23" s="159"/>
      <c r="K23" s="104"/>
      <c r="L23" s="16"/>
      <c r="M23" s="16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>
        <f t="shared" si="0"/>
        <v>0</v>
      </c>
      <c r="AB23" s="52">
        <f t="shared" si="9"/>
        <v>0</v>
      </c>
      <c r="AC23" s="133">
        <f t="shared" si="1"/>
        <v>0</v>
      </c>
      <c r="AD23" s="133"/>
      <c r="AE23" s="133">
        <f t="shared" si="2"/>
        <v>0</v>
      </c>
      <c r="AF23" s="138"/>
      <c r="AG23" s="29"/>
      <c r="AH23" s="29"/>
      <c r="AI23" s="104"/>
      <c r="AJ23" s="16"/>
      <c r="AK23" s="160"/>
      <c r="AL23" s="16"/>
      <c r="AM23" s="16"/>
      <c r="AN23" s="227"/>
      <c r="AO23" s="36"/>
      <c r="AP23" s="32"/>
      <c r="AQ23" s="353"/>
      <c r="AR23" s="354"/>
      <c r="AS23" s="342"/>
      <c r="AT23" s="355">
        <f t="shared" si="3"/>
        <v>0</v>
      </c>
      <c r="AU23" s="355">
        <f t="shared" si="4"/>
        <v>0</v>
      </c>
      <c r="AV23" s="355">
        <f t="shared" si="5"/>
        <v>0</v>
      </c>
      <c r="AW23" s="356">
        <f t="shared" si="6"/>
        <v>0</v>
      </c>
      <c r="AY23" s="357">
        <f t="shared" si="7"/>
        <v>0</v>
      </c>
      <c r="AZ23" s="358">
        <f t="shared" si="8"/>
        <v>0</v>
      </c>
    </row>
    <row r="24" spans="1:52" x14ac:dyDescent="0.3">
      <c r="B24" s="11">
        <v>16</v>
      </c>
      <c r="C24" s="11"/>
      <c r="D24" s="11"/>
      <c r="E24" s="1"/>
      <c r="F24" s="153"/>
      <c r="G24" s="153"/>
      <c r="H24" s="225"/>
      <c r="I24" s="159"/>
      <c r="J24" s="159"/>
      <c r="K24" s="104"/>
      <c r="L24" s="16"/>
      <c r="M24" s="16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>
        <f t="shared" si="0"/>
        <v>0</v>
      </c>
      <c r="AB24" s="52">
        <f t="shared" si="9"/>
        <v>0</v>
      </c>
      <c r="AC24" s="133">
        <f t="shared" si="1"/>
        <v>0</v>
      </c>
      <c r="AD24" s="133"/>
      <c r="AE24" s="133">
        <f t="shared" si="2"/>
        <v>0</v>
      </c>
      <c r="AF24" s="138"/>
      <c r="AG24" s="29"/>
      <c r="AH24" s="29"/>
      <c r="AI24" s="104"/>
      <c r="AJ24" s="16"/>
      <c r="AK24" s="160"/>
      <c r="AL24" s="16"/>
      <c r="AM24" s="16"/>
      <c r="AN24" s="227"/>
      <c r="AO24" s="36"/>
      <c r="AP24" s="32"/>
      <c r="AQ24" s="353"/>
      <c r="AR24" s="354"/>
      <c r="AT24" s="355">
        <f t="shared" si="3"/>
        <v>0</v>
      </c>
      <c r="AU24" s="355">
        <f t="shared" si="4"/>
        <v>0</v>
      </c>
      <c r="AV24" s="355">
        <f t="shared" si="5"/>
        <v>0</v>
      </c>
      <c r="AW24" s="356">
        <f t="shared" si="6"/>
        <v>0</v>
      </c>
      <c r="AY24" s="357">
        <f t="shared" si="7"/>
        <v>0</v>
      </c>
      <c r="AZ24" s="358">
        <f t="shared" si="8"/>
        <v>0</v>
      </c>
    </row>
    <row r="25" spans="1:52" x14ac:dyDescent="0.3">
      <c r="B25" s="11">
        <v>17</v>
      </c>
      <c r="C25" s="11"/>
      <c r="D25" s="11"/>
      <c r="E25" s="1"/>
      <c r="F25" s="153"/>
      <c r="G25" s="153"/>
      <c r="H25" s="225"/>
      <c r="I25" s="159"/>
      <c r="J25" s="159"/>
      <c r="K25" s="104"/>
      <c r="L25" s="16"/>
      <c r="M25" s="16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>
        <f t="shared" si="0"/>
        <v>0</v>
      </c>
      <c r="AB25" s="52">
        <f t="shared" si="9"/>
        <v>0</v>
      </c>
      <c r="AC25" s="133">
        <f t="shared" si="1"/>
        <v>0</v>
      </c>
      <c r="AD25" s="133"/>
      <c r="AE25" s="133">
        <f t="shared" si="2"/>
        <v>0</v>
      </c>
      <c r="AF25" s="138"/>
      <c r="AG25" s="29"/>
      <c r="AH25" s="29"/>
      <c r="AI25" s="104"/>
      <c r="AJ25" s="16"/>
      <c r="AK25" s="160"/>
      <c r="AL25" s="16"/>
      <c r="AM25" s="16"/>
      <c r="AN25" s="227"/>
      <c r="AO25" s="36"/>
      <c r="AP25" s="32"/>
      <c r="AQ25" s="353"/>
      <c r="AR25" s="354"/>
      <c r="AT25" s="355">
        <f t="shared" si="3"/>
        <v>0</v>
      </c>
      <c r="AU25" s="355">
        <f t="shared" si="4"/>
        <v>0</v>
      </c>
      <c r="AV25" s="355">
        <f t="shared" si="5"/>
        <v>0</v>
      </c>
      <c r="AW25" s="356">
        <f t="shared" si="6"/>
        <v>0</v>
      </c>
      <c r="AY25" s="357">
        <f t="shared" si="7"/>
        <v>0</v>
      </c>
      <c r="AZ25" s="358">
        <f t="shared" si="8"/>
        <v>0</v>
      </c>
    </row>
    <row r="26" spans="1:52" x14ac:dyDescent="0.3">
      <c r="A26" s="42"/>
      <c r="B26" s="11">
        <v>18</v>
      </c>
      <c r="C26" s="11"/>
      <c r="D26" s="11"/>
      <c r="E26" s="1"/>
      <c r="F26" s="153"/>
      <c r="G26" s="153"/>
      <c r="H26" s="225"/>
      <c r="I26" s="159"/>
      <c r="J26" s="159"/>
      <c r="K26" s="104"/>
      <c r="L26" s="16"/>
      <c r="M26" s="16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>
        <f t="shared" si="0"/>
        <v>0</v>
      </c>
      <c r="AB26" s="52">
        <f t="shared" si="9"/>
        <v>0</v>
      </c>
      <c r="AC26" s="133">
        <f t="shared" si="1"/>
        <v>0</v>
      </c>
      <c r="AD26" s="133"/>
      <c r="AE26" s="133">
        <f t="shared" si="2"/>
        <v>0</v>
      </c>
      <c r="AF26" s="138"/>
      <c r="AG26" s="29"/>
      <c r="AH26" s="29"/>
      <c r="AI26" s="104"/>
      <c r="AJ26" s="16"/>
      <c r="AK26" s="226"/>
      <c r="AL26" s="16"/>
      <c r="AM26" s="16"/>
      <c r="AN26" s="16"/>
      <c r="AO26" s="36"/>
      <c r="AP26" s="32"/>
      <c r="AQ26" s="353"/>
      <c r="AR26" s="354"/>
      <c r="AS26" s="342"/>
      <c r="AT26" s="355">
        <f t="shared" si="3"/>
        <v>0</v>
      </c>
      <c r="AU26" s="355">
        <f t="shared" si="4"/>
        <v>0</v>
      </c>
      <c r="AV26" s="355">
        <f t="shared" si="5"/>
        <v>0</v>
      </c>
      <c r="AW26" s="356">
        <f t="shared" si="6"/>
        <v>0</v>
      </c>
      <c r="AY26" s="357">
        <f t="shared" si="7"/>
        <v>0</v>
      </c>
      <c r="AZ26" s="358">
        <f t="shared" si="8"/>
        <v>0</v>
      </c>
    </row>
    <row r="27" spans="1:52" x14ac:dyDescent="0.3">
      <c r="A27" s="42"/>
      <c r="B27" s="11">
        <v>19</v>
      </c>
      <c r="C27" s="11"/>
      <c r="D27" s="11"/>
      <c r="E27" s="1"/>
      <c r="F27" s="153"/>
      <c r="G27" s="153"/>
      <c r="H27" s="225"/>
      <c r="I27" s="159"/>
      <c r="J27" s="159"/>
      <c r="K27" s="104"/>
      <c r="L27" s="16"/>
      <c r="M27" s="16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>
        <f t="shared" si="0"/>
        <v>0</v>
      </c>
      <c r="AB27" s="52">
        <f t="shared" si="9"/>
        <v>0</v>
      </c>
      <c r="AC27" s="133">
        <f t="shared" si="1"/>
        <v>0</v>
      </c>
      <c r="AD27" s="133"/>
      <c r="AE27" s="133">
        <f t="shared" si="2"/>
        <v>0</v>
      </c>
      <c r="AF27" s="138"/>
      <c r="AG27" s="29"/>
      <c r="AH27" s="29"/>
      <c r="AI27" s="104"/>
      <c r="AJ27" s="16"/>
      <c r="AK27" s="226"/>
      <c r="AL27" s="16"/>
      <c r="AM27" s="16"/>
      <c r="AN27" s="16"/>
      <c r="AO27" s="36"/>
      <c r="AP27" s="32"/>
      <c r="AQ27" s="353"/>
      <c r="AR27" s="354"/>
      <c r="AS27" s="342"/>
      <c r="AT27" s="355">
        <f t="shared" si="3"/>
        <v>0</v>
      </c>
      <c r="AU27" s="355">
        <f t="shared" si="4"/>
        <v>0</v>
      </c>
      <c r="AV27" s="355">
        <f t="shared" si="5"/>
        <v>0</v>
      </c>
      <c r="AW27" s="356">
        <f t="shared" si="6"/>
        <v>0</v>
      </c>
      <c r="AY27" s="357">
        <f t="shared" si="7"/>
        <v>0</v>
      </c>
      <c r="AZ27" s="358">
        <f t="shared" si="8"/>
        <v>0</v>
      </c>
    </row>
    <row r="28" spans="1:52" x14ac:dyDescent="0.3">
      <c r="A28" s="42"/>
      <c r="B28" s="11">
        <v>20</v>
      </c>
      <c r="C28" s="11"/>
      <c r="D28" s="11"/>
      <c r="E28" s="1"/>
      <c r="F28" s="153"/>
      <c r="G28" s="153"/>
      <c r="H28" s="225"/>
      <c r="I28" s="159"/>
      <c r="J28" s="159"/>
      <c r="K28" s="104"/>
      <c r="L28" s="16"/>
      <c r="M28" s="16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>
        <f t="shared" si="0"/>
        <v>0</v>
      </c>
      <c r="AB28" s="52">
        <f t="shared" si="9"/>
        <v>0</v>
      </c>
      <c r="AC28" s="133">
        <f t="shared" si="1"/>
        <v>0</v>
      </c>
      <c r="AD28" s="133"/>
      <c r="AE28" s="133">
        <f t="shared" si="2"/>
        <v>0</v>
      </c>
      <c r="AF28" s="138"/>
      <c r="AG28" s="29"/>
      <c r="AH28" s="29"/>
      <c r="AI28" s="104"/>
      <c r="AJ28" s="16"/>
      <c r="AK28" s="160"/>
      <c r="AL28" s="16"/>
      <c r="AM28" s="16"/>
      <c r="AN28" s="227"/>
      <c r="AO28" s="36"/>
      <c r="AP28" s="32"/>
      <c r="AQ28" s="353"/>
      <c r="AR28" s="354"/>
      <c r="AS28" s="342"/>
      <c r="AT28" s="355">
        <f t="shared" si="3"/>
        <v>0</v>
      </c>
      <c r="AU28" s="355">
        <f t="shared" si="4"/>
        <v>0</v>
      </c>
      <c r="AV28" s="355">
        <f t="shared" si="5"/>
        <v>0</v>
      </c>
      <c r="AW28" s="356">
        <f t="shared" si="6"/>
        <v>0</v>
      </c>
      <c r="AY28" s="357">
        <f t="shared" si="7"/>
        <v>0</v>
      </c>
      <c r="AZ28" s="358">
        <f t="shared" si="8"/>
        <v>0</v>
      </c>
    </row>
    <row r="29" spans="1:52" x14ac:dyDescent="0.3">
      <c r="A29" s="42"/>
      <c r="B29" s="11">
        <v>21</v>
      </c>
      <c r="C29" s="11"/>
      <c r="D29" s="11"/>
      <c r="E29" s="1"/>
      <c r="F29" s="153"/>
      <c r="G29" s="153"/>
      <c r="H29" s="225"/>
      <c r="I29" s="159"/>
      <c r="J29" s="159"/>
      <c r="K29" s="104"/>
      <c r="L29" s="16"/>
      <c r="M29" s="16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>
        <f t="shared" si="0"/>
        <v>0</v>
      </c>
      <c r="AB29" s="52">
        <f t="shared" si="9"/>
        <v>0</v>
      </c>
      <c r="AC29" s="133">
        <f t="shared" si="1"/>
        <v>0</v>
      </c>
      <c r="AD29" s="133"/>
      <c r="AE29" s="133">
        <f t="shared" si="2"/>
        <v>0</v>
      </c>
      <c r="AF29" s="138"/>
      <c r="AG29" s="29"/>
      <c r="AH29" s="29"/>
      <c r="AI29" s="104"/>
      <c r="AJ29" s="16"/>
      <c r="AK29" s="160"/>
      <c r="AL29" s="16"/>
      <c r="AM29" s="16"/>
      <c r="AN29" s="227"/>
      <c r="AO29" s="36"/>
      <c r="AP29" s="32"/>
      <c r="AQ29" s="353"/>
      <c r="AR29" s="354"/>
      <c r="AS29" s="342"/>
      <c r="AT29" s="355">
        <f t="shared" si="3"/>
        <v>0</v>
      </c>
      <c r="AU29" s="355">
        <f t="shared" si="4"/>
        <v>0</v>
      </c>
      <c r="AV29" s="355">
        <f t="shared" si="5"/>
        <v>0</v>
      </c>
      <c r="AW29" s="356">
        <f t="shared" si="6"/>
        <v>0</v>
      </c>
      <c r="AY29" s="357">
        <f t="shared" si="7"/>
        <v>0</v>
      </c>
      <c r="AZ29" s="358">
        <f t="shared" si="8"/>
        <v>0</v>
      </c>
    </row>
    <row r="30" spans="1:52" x14ac:dyDescent="0.3">
      <c r="A30" s="42"/>
      <c r="B30" s="11">
        <v>22</v>
      </c>
      <c r="C30" s="11"/>
      <c r="D30" s="11"/>
      <c r="E30" s="1"/>
      <c r="F30" s="153"/>
      <c r="G30" s="153"/>
      <c r="H30" s="225"/>
      <c r="I30" s="159"/>
      <c r="J30" s="159"/>
      <c r="K30" s="104"/>
      <c r="L30" s="16"/>
      <c r="M30" s="16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>
        <f t="shared" si="0"/>
        <v>0</v>
      </c>
      <c r="AB30" s="52">
        <f t="shared" si="9"/>
        <v>0</v>
      </c>
      <c r="AC30" s="133">
        <f t="shared" si="1"/>
        <v>0</v>
      </c>
      <c r="AD30" s="133"/>
      <c r="AE30" s="133">
        <f t="shared" si="2"/>
        <v>0</v>
      </c>
      <c r="AF30" s="138"/>
      <c r="AG30" s="29"/>
      <c r="AH30" s="29"/>
      <c r="AI30" s="104"/>
      <c r="AJ30" s="16"/>
      <c r="AK30" s="160"/>
      <c r="AL30" s="16"/>
      <c r="AM30" s="16"/>
      <c r="AN30" s="227"/>
      <c r="AO30" s="36"/>
      <c r="AP30" s="32"/>
      <c r="AQ30" s="353"/>
      <c r="AR30" s="354"/>
      <c r="AT30" s="355">
        <f t="shared" si="3"/>
        <v>0</v>
      </c>
      <c r="AU30" s="355">
        <f t="shared" si="4"/>
        <v>0</v>
      </c>
      <c r="AV30" s="355">
        <f t="shared" si="5"/>
        <v>0</v>
      </c>
      <c r="AW30" s="356">
        <f t="shared" si="6"/>
        <v>0</v>
      </c>
      <c r="AY30" s="357">
        <f t="shared" si="7"/>
        <v>0</v>
      </c>
      <c r="AZ30" s="358">
        <f t="shared" si="8"/>
        <v>0</v>
      </c>
    </row>
    <row r="31" spans="1:52" x14ac:dyDescent="0.3">
      <c r="A31" s="42"/>
      <c r="B31" s="11">
        <v>23</v>
      </c>
      <c r="C31" s="11"/>
      <c r="D31" s="11"/>
      <c r="E31" s="1"/>
      <c r="F31" s="153"/>
      <c r="G31" s="153"/>
      <c r="H31" s="225"/>
      <c r="I31" s="159"/>
      <c r="J31" s="159"/>
      <c r="K31" s="104"/>
      <c r="L31" s="16"/>
      <c r="M31" s="16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>
        <f t="shared" si="0"/>
        <v>0</v>
      </c>
      <c r="AB31" s="52">
        <f t="shared" si="9"/>
        <v>0</v>
      </c>
      <c r="AC31" s="133">
        <f t="shared" si="1"/>
        <v>0</v>
      </c>
      <c r="AD31" s="133"/>
      <c r="AE31" s="133">
        <f t="shared" si="2"/>
        <v>0</v>
      </c>
      <c r="AF31" s="138"/>
      <c r="AG31" s="29"/>
      <c r="AH31" s="29"/>
      <c r="AI31" s="104"/>
      <c r="AJ31" s="16"/>
      <c r="AK31" s="160"/>
      <c r="AL31" s="16"/>
      <c r="AM31" s="16"/>
      <c r="AN31" s="227"/>
      <c r="AO31" s="36"/>
      <c r="AP31" s="32"/>
      <c r="AQ31" s="353"/>
      <c r="AR31" s="354"/>
      <c r="AS31" s="342"/>
      <c r="AT31" s="355">
        <f t="shared" si="3"/>
        <v>0</v>
      </c>
      <c r="AU31" s="355">
        <f t="shared" si="4"/>
        <v>0</v>
      </c>
      <c r="AV31" s="355">
        <f t="shared" si="5"/>
        <v>0</v>
      </c>
      <c r="AW31" s="356">
        <f t="shared" si="6"/>
        <v>0</v>
      </c>
      <c r="AY31" s="357">
        <f t="shared" si="7"/>
        <v>0</v>
      </c>
      <c r="AZ31" s="358">
        <f t="shared" si="8"/>
        <v>0</v>
      </c>
    </row>
    <row r="32" spans="1:52" x14ac:dyDescent="0.3">
      <c r="A32" s="42"/>
      <c r="B32" s="11">
        <v>24</v>
      </c>
      <c r="C32" s="11"/>
      <c r="D32" s="11"/>
      <c r="E32" s="1"/>
      <c r="F32" s="153"/>
      <c r="G32" s="153"/>
      <c r="H32" s="225"/>
      <c r="I32" s="159"/>
      <c r="J32" s="159"/>
      <c r="K32" s="104"/>
      <c r="L32" s="16"/>
      <c r="M32" s="16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>
        <f t="shared" si="0"/>
        <v>0</v>
      </c>
      <c r="AB32" s="52">
        <f t="shared" si="9"/>
        <v>0</v>
      </c>
      <c r="AC32" s="133">
        <f t="shared" si="1"/>
        <v>0</v>
      </c>
      <c r="AD32" s="133"/>
      <c r="AE32" s="133">
        <f t="shared" si="2"/>
        <v>0</v>
      </c>
      <c r="AF32" s="138"/>
      <c r="AG32" s="29"/>
      <c r="AH32" s="29"/>
      <c r="AI32" s="104"/>
      <c r="AJ32" s="16"/>
      <c r="AK32" s="160"/>
      <c r="AL32" s="16"/>
      <c r="AM32" s="16"/>
      <c r="AN32" s="227"/>
      <c r="AO32" s="36"/>
      <c r="AP32" s="32"/>
      <c r="AQ32" s="353"/>
      <c r="AR32" s="354"/>
      <c r="AS32" s="342"/>
      <c r="AT32" s="355">
        <f t="shared" si="3"/>
        <v>0</v>
      </c>
      <c r="AU32" s="355">
        <f t="shared" si="4"/>
        <v>0</v>
      </c>
      <c r="AV32" s="355">
        <f t="shared" si="5"/>
        <v>0</v>
      </c>
      <c r="AW32" s="356">
        <f t="shared" si="6"/>
        <v>0</v>
      </c>
      <c r="AY32" s="357">
        <f t="shared" si="7"/>
        <v>0</v>
      </c>
      <c r="AZ32" s="358">
        <f t="shared" si="8"/>
        <v>0</v>
      </c>
    </row>
    <row r="33" spans="1:52" x14ac:dyDescent="0.3">
      <c r="A33" s="42"/>
      <c r="B33" s="11">
        <v>25</v>
      </c>
      <c r="C33" s="11"/>
      <c r="D33" s="11"/>
      <c r="E33" s="1"/>
      <c r="F33" s="153"/>
      <c r="G33" s="153"/>
      <c r="H33" s="225"/>
      <c r="I33" s="159"/>
      <c r="J33" s="159"/>
      <c r="K33" s="104"/>
      <c r="L33" s="16"/>
      <c r="M33" s="16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>
        <f t="shared" si="0"/>
        <v>0</v>
      </c>
      <c r="AB33" s="52">
        <f t="shared" si="9"/>
        <v>0</v>
      </c>
      <c r="AC33" s="133">
        <f t="shared" si="1"/>
        <v>0</v>
      </c>
      <c r="AD33" s="133"/>
      <c r="AE33" s="133">
        <f t="shared" si="2"/>
        <v>0</v>
      </c>
      <c r="AF33" s="138"/>
      <c r="AG33" s="29"/>
      <c r="AH33" s="29"/>
      <c r="AI33" s="104"/>
      <c r="AJ33" s="16"/>
      <c r="AK33" s="160"/>
      <c r="AL33" s="16"/>
      <c r="AM33" s="16"/>
      <c r="AN33" s="227"/>
      <c r="AO33" s="36"/>
      <c r="AP33" s="32"/>
      <c r="AQ33" s="353"/>
      <c r="AR33" s="354"/>
      <c r="AS33" s="342"/>
      <c r="AT33" s="355">
        <f t="shared" si="3"/>
        <v>0</v>
      </c>
      <c r="AU33" s="355">
        <f t="shared" si="4"/>
        <v>0</v>
      </c>
      <c r="AV33" s="355">
        <f t="shared" si="5"/>
        <v>0</v>
      </c>
      <c r="AW33" s="356">
        <f t="shared" si="6"/>
        <v>0</v>
      </c>
      <c r="AY33" s="357">
        <f t="shared" si="7"/>
        <v>0</v>
      </c>
      <c r="AZ33" s="358">
        <f t="shared" si="8"/>
        <v>0</v>
      </c>
    </row>
    <row r="34" spans="1:52" x14ac:dyDescent="0.3">
      <c r="A34" s="42"/>
      <c r="B34" s="11">
        <v>26</v>
      </c>
      <c r="C34" s="11"/>
      <c r="D34" s="11"/>
      <c r="E34" s="1"/>
      <c r="F34" s="153"/>
      <c r="G34" s="153"/>
      <c r="H34" s="225"/>
      <c r="I34" s="159"/>
      <c r="J34" s="159"/>
      <c r="K34" s="104"/>
      <c r="L34" s="16"/>
      <c r="M34" s="16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>
        <f t="shared" si="0"/>
        <v>0</v>
      </c>
      <c r="AB34" s="52">
        <f t="shared" si="9"/>
        <v>0</v>
      </c>
      <c r="AC34" s="133">
        <f t="shared" si="1"/>
        <v>0</v>
      </c>
      <c r="AD34" s="133"/>
      <c r="AE34" s="133">
        <f t="shared" si="2"/>
        <v>0</v>
      </c>
      <c r="AF34" s="138"/>
      <c r="AG34" s="29"/>
      <c r="AH34" s="29"/>
      <c r="AI34" s="104"/>
      <c r="AJ34" s="16"/>
      <c r="AK34" s="160"/>
      <c r="AL34" s="16"/>
      <c r="AM34" s="16"/>
      <c r="AN34" s="227"/>
      <c r="AO34" s="36"/>
      <c r="AP34" s="32"/>
      <c r="AQ34" s="353"/>
      <c r="AR34" s="354"/>
      <c r="AS34" s="342"/>
      <c r="AT34" s="355">
        <f t="shared" si="3"/>
        <v>0</v>
      </c>
      <c r="AU34" s="355">
        <f t="shared" si="4"/>
        <v>0</v>
      </c>
      <c r="AV34" s="355">
        <f t="shared" si="5"/>
        <v>0</v>
      </c>
      <c r="AW34" s="356">
        <f t="shared" si="6"/>
        <v>0</v>
      </c>
      <c r="AY34" s="357">
        <f t="shared" si="7"/>
        <v>0</v>
      </c>
      <c r="AZ34" s="358">
        <f t="shared" si="8"/>
        <v>0</v>
      </c>
    </row>
    <row r="35" spans="1:52" x14ac:dyDescent="0.3">
      <c r="B35" s="11">
        <v>27</v>
      </c>
      <c r="C35" s="11"/>
      <c r="D35" s="11"/>
      <c r="E35" s="1"/>
      <c r="F35" s="153"/>
      <c r="G35" s="153"/>
      <c r="H35" s="225"/>
      <c r="I35" s="159"/>
      <c r="J35" s="159"/>
      <c r="K35" s="104"/>
      <c r="L35" s="16"/>
      <c r="M35" s="16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>
        <f t="shared" si="0"/>
        <v>0</v>
      </c>
      <c r="AB35" s="52">
        <f t="shared" si="9"/>
        <v>0</v>
      </c>
      <c r="AC35" s="133">
        <f t="shared" si="1"/>
        <v>0</v>
      </c>
      <c r="AD35" s="133"/>
      <c r="AE35" s="133">
        <f t="shared" si="2"/>
        <v>0</v>
      </c>
      <c r="AF35" s="138"/>
      <c r="AG35" s="29"/>
      <c r="AH35" s="29"/>
      <c r="AI35" s="104"/>
      <c r="AJ35" s="16"/>
      <c r="AK35" s="160"/>
      <c r="AL35" s="16"/>
      <c r="AM35" s="16"/>
      <c r="AN35" s="227"/>
      <c r="AO35" s="36"/>
      <c r="AP35" s="32"/>
      <c r="AQ35" s="353"/>
      <c r="AR35" s="354"/>
      <c r="AT35" s="355">
        <f t="shared" si="3"/>
        <v>0</v>
      </c>
      <c r="AU35" s="355">
        <f t="shared" si="4"/>
        <v>0</v>
      </c>
      <c r="AV35" s="355">
        <f t="shared" si="5"/>
        <v>0</v>
      </c>
      <c r="AW35" s="356">
        <f t="shared" si="6"/>
        <v>0</v>
      </c>
      <c r="AY35" s="357">
        <f t="shared" si="7"/>
        <v>0</v>
      </c>
      <c r="AZ35" s="358">
        <f t="shared" si="8"/>
        <v>0</v>
      </c>
    </row>
    <row r="36" spans="1:52" x14ac:dyDescent="0.3">
      <c r="B36" s="11">
        <v>28</v>
      </c>
      <c r="C36" s="11"/>
      <c r="D36" s="11"/>
      <c r="E36" s="1"/>
      <c r="F36" s="153"/>
      <c r="G36" s="153"/>
      <c r="H36" s="225"/>
      <c r="I36" s="159"/>
      <c r="J36" s="159"/>
      <c r="K36" s="104"/>
      <c r="L36" s="16"/>
      <c r="M36" s="16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>
        <f t="shared" si="0"/>
        <v>0</v>
      </c>
      <c r="AB36" s="52">
        <f t="shared" si="9"/>
        <v>0</v>
      </c>
      <c r="AC36" s="133">
        <f t="shared" si="1"/>
        <v>0</v>
      </c>
      <c r="AD36" s="133"/>
      <c r="AE36" s="133">
        <f t="shared" si="2"/>
        <v>0</v>
      </c>
      <c r="AF36" s="138"/>
      <c r="AG36" s="29"/>
      <c r="AH36" s="29"/>
      <c r="AI36" s="104"/>
      <c r="AJ36" s="16"/>
      <c r="AK36" s="160"/>
      <c r="AL36" s="16"/>
      <c r="AM36" s="16"/>
      <c r="AN36" s="227"/>
      <c r="AO36" s="36"/>
      <c r="AP36" s="32"/>
      <c r="AQ36" s="353"/>
      <c r="AR36" s="354"/>
      <c r="AT36" s="355">
        <f t="shared" si="3"/>
        <v>0</v>
      </c>
      <c r="AU36" s="355">
        <f t="shared" si="4"/>
        <v>0</v>
      </c>
      <c r="AV36" s="355">
        <f t="shared" si="5"/>
        <v>0</v>
      </c>
      <c r="AW36" s="356">
        <f t="shared" si="6"/>
        <v>0</v>
      </c>
      <c r="AY36" s="357">
        <f t="shared" si="7"/>
        <v>0</v>
      </c>
      <c r="AZ36" s="358">
        <f t="shared" si="8"/>
        <v>0</v>
      </c>
    </row>
    <row r="37" spans="1:52" x14ac:dyDescent="0.3">
      <c r="A37" s="42"/>
      <c r="B37" s="11">
        <v>29</v>
      </c>
      <c r="C37" s="11"/>
      <c r="D37" s="11"/>
      <c r="E37" s="1"/>
      <c r="F37" s="153"/>
      <c r="G37" s="153"/>
      <c r="H37" s="225"/>
      <c r="I37" s="159"/>
      <c r="J37" s="159"/>
      <c r="K37" s="104"/>
      <c r="L37" s="16"/>
      <c r="M37" s="16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>
        <f t="shared" si="0"/>
        <v>0</v>
      </c>
      <c r="AB37" s="52">
        <f t="shared" si="9"/>
        <v>0</v>
      </c>
      <c r="AC37" s="133">
        <f t="shared" si="1"/>
        <v>0</v>
      </c>
      <c r="AD37" s="133"/>
      <c r="AE37" s="133">
        <f t="shared" si="2"/>
        <v>0</v>
      </c>
      <c r="AF37" s="138"/>
      <c r="AG37" s="29"/>
      <c r="AH37" s="29"/>
      <c r="AI37" s="104"/>
      <c r="AJ37" s="16"/>
      <c r="AK37" s="226"/>
      <c r="AL37" s="16"/>
      <c r="AM37" s="16"/>
      <c r="AN37" s="16"/>
      <c r="AO37" s="36"/>
      <c r="AP37" s="32"/>
      <c r="AQ37" s="353"/>
      <c r="AR37" s="354"/>
      <c r="AS37" s="342"/>
      <c r="AT37" s="355">
        <f t="shared" si="3"/>
        <v>0</v>
      </c>
      <c r="AU37" s="355">
        <f t="shared" si="4"/>
        <v>0</v>
      </c>
      <c r="AV37" s="355">
        <f t="shared" si="5"/>
        <v>0</v>
      </c>
      <c r="AW37" s="356">
        <f t="shared" si="6"/>
        <v>0</v>
      </c>
      <c r="AY37" s="357">
        <f t="shared" si="7"/>
        <v>0</v>
      </c>
      <c r="AZ37" s="358">
        <f t="shared" si="8"/>
        <v>0</v>
      </c>
    </row>
    <row r="38" spans="1:52" x14ac:dyDescent="0.3">
      <c r="A38" s="42"/>
      <c r="B38" s="11">
        <v>30</v>
      </c>
      <c r="C38" s="11"/>
      <c r="D38" s="11"/>
      <c r="E38" s="1"/>
      <c r="F38" s="153"/>
      <c r="G38" s="153"/>
      <c r="H38" s="225"/>
      <c r="I38" s="159"/>
      <c r="J38" s="159"/>
      <c r="K38" s="104"/>
      <c r="L38" s="16"/>
      <c r="M38" s="1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>
        <f t="shared" si="0"/>
        <v>0</v>
      </c>
      <c r="AB38" s="52">
        <f t="shared" si="9"/>
        <v>0</v>
      </c>
      <c r="AC38" s="133">
        <f t="shared" si="1"/>
        <v>0</v>
      </c>
      <c r="AD38" s="133"/>
      <c r="AE38" s="133">
        <f t="shared" si="2"/>
        <v>0</v>
      </c>
      <c r="AF38" s="138"/>
      <c r="AG38" s="29"/>
      <c r="AH38" s="29"/>
      <c r="AI38" s="104"/>
      <c r="AJ38" s="16"/>
      <c r="AK38" s="160"/>
      <c r="AL38" s="16"/>
      <c r="AM38" s="16"/>
      <c r="AN38" s="227"/>
      <c r="AO38" s="36"/>
      <c r="AP38" s="32"/>
      <c r="AQ38" s="353"/>
      <c r="AR38" s="354"/>
      <c r="AS38" s="342"/>
      <c r="AT38" s="355">
        <f t="shared" si="3"/>
        <v>0</v>
      </c>
      <c r="AU38" s="355">
        <f t="shared" si="4"/>
        <v>0</v>
      </c>
      <c r="AV38" s="355">
        <f t="shared" si="5"/>
        <v>0</v>
      </c>
      <c r="AW38" s="356">
        <f t="shared" si="6"/>
        <v>0</v>
      </c>
      <c r="AY38" s="357">
        <f t="shared" si="7"/>
        <v>0</v>
      </c>
      <c r="AZ38" s="358">
        <f t="shared" si="8"/>
        <v>0</v>
      </c>
    </row>
    <row r="39" spans="1:52" x14ac:dyDescent="0.3">
      <c r="A39" s="42"/>
      <c r="B39" s="11">
        <v>31</v>
      </c>
      <c r="C39" s="11"/>
      <c r="D39" s="11"/>
      <c r="E39" s="1"/>
      <c r="F39" s="153"/>
      <c r="G39" s="153"/>
      <c r="H39" s="225"/>
      <c r="I39" s="159"/>
      <c r="J39" s="159"/>
      <c r="K39" s="104"/>
      <c r="L39" s="16"/>
      <c r="M39" s="16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>
        <f t="shared" si="0"/>
        <v>0</v>
      </c>
      <c r="AB39" s="52">
        <f t="shared" si="9"/>
        <v>0</v>
      </c>
      <c r="AC39" s="133">
        <f t="shared" si="1"/>
        <v>0</v>
      </c>
      <c r="AD39" s="133"/>
      <c r="AE39" s="133">
        <f t="shared" si="2"/>
        <v>0</v>
      </c>
      <c r="AF39" s="138"/>
      <c r="AG39" s="29"/>
      <c r="AH39" s="29"/>
      <c r="AI39" s="104"/>
      <c r="AJ39" s="16"/>
      <c r="AK39" s="160"/>
      <c r="AL39" s="16"/>
      <c r="AM39" s="16"/>
      <c r="AN39" s="227"/>
      <c r="AO39" s="36"/>
      <c r="AP39" s="32"/>
      <c r="AQ39" s="353"/>
      <c r="AR39" s="354"/>
      <c r="AS39" s="342"/>
      <c r="AT39" s="355">
        <f t="shared" si="3"/>
        <v>0</v>
      </c>
      <c r="AU39" s="355">
        <f t="shared" si="4"/>
        <v>0</v>
      </c>
      <c r="AV39" s="355">
        <f t="shared" si="5"/>
        <v>0</v>
      </c>
      <c r="AW39" s="356">
        <f t="shared" si="6"/>
        <v>0</v>
      </c>
      <c r="AY39" s="357">
        <f t="shared" si="7"/>
        <v>0</v>
      </c>
      <c r="AZ39" s="358">
        <f t="shared" si="8"/>
        <v>0</v>
      </c>
    </row>
    <row r="40" spans="1:52" x14ac:dyDescent="0.3">
      <c r="A40" s="42"/>
      <c r="B40" s="11">
        <v>32</v>
      </c>
      <c r="C40" s="11"/>
      <c r="D40" s="11"/>
      <c r="E40" s="1"/>
      <c r="F40" s="153"/>
      <c r="G40" s="153"/>
      <c r="H40" s="225"/>
      <c r="I40" s="159"/>
      <c r="J40" s="159"/>
      <c r="K40" s="104"/>
      <c r="L40" s="16"/>
      <c r="M40" s="16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>
        <f t="shared" si="0"/>
        <v>0</v>
      </c>
      <c r="AB40" s="52">
        <f t="shared" si="9"/>
        <v>0</v>
      </c>
      <c r="AC40" s="133">
        <f t="shared" si="1"/>
        <v>0</v>
      </c>
      <c r="AD40" s="133"/>
      <c r="AE40" s="133">
        <f t="shared" si="2"/>
        <v>0</v>
      </c>
      <c r="AF40" s="138"/>
      <c r="AG40" s="29"/>
      <c r="AH40" s="29"/>
      <c r="AI40" s="104"/>
      <c r="AJ40" s="16"/>
      <c r="AK40" s="160"/>
      <c r="AL40" s="16"/>
      <c r="AM40" s="16"/>
      <c r="AN40" s="227"/>
      <c r="AO40" s="36"/>
      <c r="AP40" s="32"/>
      <c r="AQ40" s="353"/>
      <c r="AR40" s="354"/>
      <c r="AS40" s="342"/>
      <c r="AT40" s="355">
        <f t="shared" si="3"/>
        <v>0</v>
      </c>
      <c r="AU40" s="355">
        <f t="shared" si="4"/>
        <v>0</v>
      </c>
      <c r="AV40" s="355">
        <f t="shared" si="5"/>
        <v>0</v>
      </c>
      <c r="AW40" s="356">
        <f t="shared" si="6"/>
        <v>0</v>
      </c>
      <c r="AY40" s="357">
        <f t="shared" si="7"/>
        <v>0</v>
      </c>
      <c r="AZ40" s="358">
        <f t="shared" si="8"/>
        <v>0</v>
      </c>
    </row>
    <row r="41" spans="1:52" x14ac:dyDescent="0.3">
      <c r="A41" s="42"/>
      <c r="B41" s="11">
        <v>33</v>
      </c>
      <c r="C41" s="11"/>
      <c r="D41" s="11"/>
      <c r="E41" s="1"/>
      <c r="F41" s="153"/>
      <c r="G41" s="153"/>
      <c r="H41" s="225"/>
      <c r="I41" s="159"/>
      <c r="J41" s="159"/>
      <c r="K41" s="104"/>
      <c r="L41" s="16"/>
      <c r="M41" s="16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>
        <f t="shared" si="0"/>
        <v>0</v>
      </c>
      <c r="AB41" s="52">
        <f t="shared" si="9"/>
        <v>0</v>
      </c>
      <c r="AC41" s="133">
        <f t="shared" si="1"/>
        <v>0</v>
      </c>
      <c r="AD41" s="133"/>
      <c r="AE41" s="133">
        <f t="shared" si="2"/>
        <v>0</v>
      </c>
      <c r="AF41" s="138"/>
      <c r="AG41" s="29"/>
      <c r="AH41" s="29"/>
      <c r="AI41" s="104"/>
      <c r="AJ41" s="16"/>
      <c r="AK41" s="160"/>
      <c r="AL41" s="16"/>
      <c r="AM41" s="16"/>
      <c r="AN41" s="227"/>
      <c r="AO41" s="36"/>
      <c r="AP41" s="32"/>
      <c r="AQ41" s="353"/>
      <c r="AR41" s="354"/>
      <c r="AT41" s="355">
        <f t="shared" si="3"/>
        <v>0</v>
      </c>
      <c r="AU41" s="355">
        <f t="shared" si="4"/>
        <v>0</v>
      </c>
      <c r="AV41" s="355">
        <f t="shared" si="5"/>
        <v>0</v>
      </c>
      <c r="AW41" s="356">
        <f t="shared" si="6"/>
        <v>0</v>
      </c>
      <c r="AY41" s="357">
        <f t="shared" si="7"/>
        <v>0</v>
      </c>
      <c r="AZ41" s="358">
        <f t="shared" si="8"/>
        <v>0</v>
      </c>
    </row>
    <row r="42" spans="1:52" x14ac:dyDescent="0.3">
      <c r="A42" s="42"/>
      <c r="B42" s="11">
        <v>34</v>
      </c>
      <c r="C42" s="11"/>
      <c r="D42" s="11"/>
      <c r="E42" s="1"/>
      <c r="F42" s="153"/>
      <c r="G42" s="153"/>
      <c r="H42" s="225"/>
      <c r="I42" s="159"/>
      <c r="J42" s="159"/>
      <c r="K42" s="104"/>
      <c r="L42" s="16"/>
      <c r="M42" s="16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>
        <f t="shared" si="0"/>
        <v>0</v>
      </c>
      <c r="AB42" s="52">
        <f t="shared" si="9"/>
        <v>0</v>
      </c>
      <c r="AC42" s="133">
        <f t="shared" si="1"/>
        <v>0</v>
      </c>
      <c r="AD42" s="133"/>
      <c r="AE42" s="133">
        <f t="shared" si="2"/>
        <v>0</v>
      </c>
      <c r="AF42" s="138"/>
      <c r="AG42" s="29"/>
      <c r="AH42" s="29"/>
      <c r="AI42" s="104"/>
      <c r="AJ42" s="16"/>
      <c r="AK42" s="160"/>
      <c r="AL42" s="16"/>
      <c r="AM42" s="16"/>
      <c r="AN42" s="227"/>
      <c r="AO42" s="36"/>
      <c r="AP42" s="32"/>
      <c r="AQ42" s="353"/>
      <c r="AR42" s="354"/>
      <c r="AS42" s="342"/>
      <c r="AT42" s="355">
        <f t="shared" si="3"/>
        <v>0</v>
      </c>
      <c r="AU42" s="355">
        <f t="shared" si="4"/>
        <v>0</v>
      </c>
      <c r="AV42" s="355">
        <f t="shared" si="5"/>
        <v>0</v>
      </c>
      <c r="AW42" s="356">
        <f t="shared" si="6"/>
        <v>0</v>
      </c>
      <c r="AY42" s="357">
        <f t="shared" si="7"/>
        <v>0</v>
      </c>
      <c r="AZ42" s="358">
        <f t="shared" si="8"/>
        <v>0</v>
      </c>
    </row>
    <row r="43" spans="1:52" x14ac:dyDescent="0.3">
      <c r="A43" s="42"/>
      <c r="B43" s="11">
        <v>35</v>
      </c>
      <c r="C43" s="11"/>
      <c r="D43" s="11"/>
      <c r="E43" s="1"/>
      <c r="F43" s="153"/>
      <c r="G43" s="153"/>
      <c r="H43" s="225"/>
      <c r="I43" s="159"/>
      <c r="J43" s="159"/>
      <c r="K43" s="104"/>
      <c r="L43" s="16"/>
      <c r="M43" s="16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>
        <f t="shared" si="0"/>
        <v>0</v>
      </c>
      <c r="AB43" s="52">
        <f t="shared" si="9"/>
        <v>0</v>
      </c>
      <c r="AC43" s="133">
        <f t="shared" si="1"/>
        <v>0</v>
      </c>
      <c r="AD43" s="133"/>
      <c r="AE43" s="133">
        <f t="shared" si="2"/>
        <v>0</v>
      </c>
      <c r="AF43" s="138"/>
      <c r="AG43" s="29"/>
      <c r="AH43" s="29"/>
      <c r="AI43" s="104"/>
      <c r="AJ43" s="16"/>
      <c r="AK43" s="160"/>
      <c r="AL43" s="16"/>
      <c r="AM43" s="16"/>
      <c r="AN43" s="16"/>
      <c r="AO43" s="36"/>
      <c r="AP43" s="32"/>
      <c r="AQ43" s="353"/>
      <c r="AR43" s="354"/>
      <c r="AS43" s="342"/>
      <c r="AT43" s="355">
        <f t="shared" si="3"/>
        <v>0</v>
      </c>
      <c r="AU43" s="355">
        <f t="shared" si="4"/>
        <v>0</v>
      </c>
      <c r="AV43" s="355">
        <f t="shared" si="5"/>
        <v>0</v>
      </c>
      <c r="AW43" s="356">
        <f t="shared" si="6"/>
        <v>0</v>
      </c>
      <c r="AY43" s="357">
        <f t="shared" si="7"/>
        <v>0</v>
      </c>
      <c r="AZ43" s="358">
        <f t="shared" si="8"/>
        <v>0</v>
      </c>
    </row>
    <row r="44" spans="1:52" x14ac:dyDescent="0.3">
      <c r="A44" s="42"/>
      <c r="B44" s="11">
        <v>36</v>
      </c>
      <c r="C44" s="11"/>
      <c r="D44" s="11"/>
      <c r="E44" s="1"/>
      <c r="F44" s="153"/>
      <c r="G44" s="153"/>
      <c r="H44" s="225"/>
      <c r="I44" s="159"/>
      <c r="J44" s="159"/>
      <c r="K44" s="104"/>
      <c r="L44" s="16"/>
      <c r="M44" s="16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>
        <f t="shared" si="0"/>
        <v>0</v>
      </c>
      <c r="AB44" s="52">
        <f t="shared" si="9"/>
        <v>0</v>
      </c>
      <c r="AC44" s="133">
        <f t="shared" si="1"/>
        <v>0</v>
      </c>
      <c r="AD44" s="133"/>
      <c r="AE44" s="133">
        <f t="shared" si="2"/>
        <v>0</v>
      </c>
      <c r="AF44" s="138"/>
      <c r="AG44" s="29"/>
      <c r="AH44" s="29"/>
      <c r="AI44" s="104"/>
      <c r="AJ44" s="16"/>
      <c r="AK44" s="160"/>
      <c r="AL44" s="16"/>
      <c r="AM44" s="16"/>
      <c r="AN44" s="227"/>
      <c r="AO44" s="36"/>
      <c r="AP44" s="32"/>
      <c r="AQ44" s="353"/>
      <c r="AR44" s="354"/>
      <c r="AS44" s="342"/>
      <c r="AT44" s="355">
        <f t="shared" si="3"/>
        <v>0</v>
      </c>
      <c r="AU44" s="355">
        <f t="shared" si="4"/>
        <v>0</v>
      </c>
      <c r="AV44" s="355">
        <f t="shared" si="5"/>
        <v>0</v>
      </c>
      <c r="AW44" s="356">
        <f t="shared" si="6"/>
        <v>0</v>
      </c>
      <c r="AY44" s="357">
        <f t="shared" si="7"/>
        <v>0</v>
      </c>
      <c r="AZ44" s="358">
        <f t="shared" si="8"/>
        <v>0</v>
      </c>
    </row>
    <row r="45" spans="1:52" x14ac:dyDescent="0.3">
      <c r="A45" s="42"/>
      <c r="B45" s="11">
        <v>37</v>
      </c>
      <c r="C45" s="11"/>
      <c r="D45" s="11"/>
      <c r="E45" s="1"/>
      <c r="F45" s="153"/>
      <c r="G45" s="153"/>
      <c r="H45" s="225"/>
      <c r="I45" s="159"/>
      <c r="J45" s="159"/>
      <c r="K45" s="104"/>
      <c r="L45" s="16"/>
      <c r="M45" s="16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>
        <f t="shared" si="0"/>
        <v>0</v>
      </c>
      <c r="AB45" s="52">
        <f t="shared" si="9"/>
        <v>0</v>
      </c>
      <c r="AC45" s="133">
        <f t="shared" si="1"/>
        <v>0</v>
      </c>
      <c r="AD45" s="133"/>
      <c r="AE45" s="133">
        <f t="shared" si="2"/>
        <v>0</v>
      </c>
      <c r="AF45" s="138"/>
      <c r="AG45" s="29"/>
      <c r="AH45" s="29"/>
      <c r="AI45" s="104"/>
      <c r="AJ45" s="16"/>
      <c r="AK45" s="160"/>
      <c r="AL45" s="16"/>
      <c r="AM45" s="16"/>
      <c r="AN45" s="227"/>
      <c r="AO45" s="36"/>
      <c r="AP45" s="32"/>
      <c r="AQ45" s="353"/>
      <c r="AR45" s="354"/>
      <c r="AT45" s="355">
        <f t="shared" si="3"/>
        <v>0</v>
      </c>
      <c r="AU45" s="355">
        <f t="shared" si="4"/>
        <v>0</v>
      </c>
      <c r="AV45" s="355">
        <f t="shared" si="5"/>
        <v>0</v>
      </c>
      <c r="AW45" s="356">
        <f t="shared" si="6"/>
        <v>0</v>
      </c>
      <c r="AY45" s="357">
        <f t="shared" si="7"/>
        <v>0</v>
      </c>
      <c r="AZ45" s="358">
        <f t="shared" si="8"/>
        <v>0</v>
      </c>
    </row>
    <row r="46" spans="1:52" x14ac:dyDescent="0.3">
      <c r="B46" s="11">
        <v>38</v>
      </c>
      <c r="C46" s="11"/>
      <c r="D46" s="11"/>
      <c r="E46" s="1"/>
      <c r="F46" s="153"/>
      <c r="G46" s="153"/>
      <c r="H46" s="225"/>
      <c r="I46" s="159"/>
      <c r="J46" s="159"/>
      <c r="K46" s="104"/>
      <c r="L46" s="16"/>
      <c r="M46" s="16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>
        <f t="shared" si="0"/>
        <v>0</v>
      </c>
      <c r="AB46" s="52">
        <f t="shared" si="9"/>
        <v>0</v>
      </c>
      <c r="AC46" s="133">
        <f t="shared" si="1"/>
        <v>0</v>
      </c>
      <c r="AD46" s="133"/>
      <c r="AE46" s="133">
        <f t="shared" si="2"/>
        <v>0</v>
      </c>
      <c r="AF46" s="138"/>
      <c r="AG46" s="29"/>
      <c r="AH46" s="29"/>
      <c r="AI46" s="104"/>
      <c r="AJ46" s="16"/>
      <c r="AK46" s="160"/>
      <c r="AL46" s="16"/>
      <c r="AM46" s="16"/>
      <c r="AN46" s="227"/>
      <c r="AO46" s="36"/>
      <c r="AP46" s="32"/>
      <c r="AQ46" s="353"/>
      <c r="AR46" s="354"/>
      <c r="AT46" s="355">
        <f t="shared" si="3"/>
        <v>0</v>
      </c>
      <c r="AU46" s="355">
        <f t="shared" si="4"/>
        <v>0</v>
      </c>
      <c r="AV46" s="355">
        <f t="shared" si="5"/>
        <v>0</v>
      </c>
      <c r="AW46" s="356">
        <f t="shared" si="6"/>
        <v>0</v>
      </c>
      <c r="AY46" s="357">
        <f t="shared" si="7"/>
        <v>0</v>
      </c>
      <c r="AZ46" s="358">
        <f t="shared" si="8"/>
        <v>0</v>
      </c>
    </row>
    <row r="47" spans="1:52" x14ac:dyDescent="0.3">
      <c r="B47" s="11">
        <v>39</v>
      </c>
      <c r="C47" s="11"/>
      <c r="D47" s="11"/>
      <c r="E47" s="1"/>
      <c r="F47" s="153"/>
      <c r="G47" s="153"/>
      <c r="H47" s="225"/>
      <c r="I47" s="159"/>
      <c r="J47" s="159"/>
      <c r="K47" s="104"/>
      <c r="L47" s="16"/>
      <c r="M47" s="16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>
        <f t="shared" si="0"/>
        <v>0</v>
      </c>
      <c r="AB47" s="52">
        <f t="shared" si="9"/>
        <v>0</v>
      </c>
      <c r="AC47" s="133">
        <f t="shared" si="1"/>
        <v>0</v>
      </c>
      <c r="AD47" s="133"/>
      <c r="AE47" s="133">
        <f t="shared" si="2"/>
        <v>0</v>
      </c>
      <c r="AF47" s="138"/>
      <c r="AG47" s="29"/>
      <c r="AH47" s="29"/>
      <c r="AI47" s="104"/>
      <c r="AJ47" s="16"/>
      <c r="AK47" s="160"/>
      <c r="AL47" s="16"/>
      <c r="AM47" s="16"/>
      <c r="AN47" s="227"/>
      <c r="AO47" s="36"/>
      <c r="AP47" s="32"/>
      <c r="AQ47" s="353"/>
      <c r="AR47" s="354"/>
      <c r="AT47" s="355">
        <f t="shared" si="3"/>
        <v>0</v>
      </c>
      <c r="AU47" s="355">
        <f t="shared" si="4"/>
        <v>0</v>
      </c>
      <c r="AV47" s="355">
        <f t="shared" si="5"/>
        <v>0</v>
      </c>
      <c r="AW47" s="356">
        <f t="shared" si="6"/>
        <v>0</v>
      </c>
      <c r="AY47" s="357">
        <f t="shared" si="7"/>
        <v>0</v>
      </c>
      <c r="AZ47" s="358">
        <f t="shared" si="8"/>
        <v>0</v>
      </c>
    </row>
    <row r="48" spans="1:52" x14ac:dyDescent="0.3">
      <c r="A48" s="42"/>
      <c r="B48" s="11">
        <v>40</v>
      </c>
      <c r="C48" s="11"/>
      <c r="D48" s="11"/>
      <c r="E48" s="1"/>
      <c r="F48" s="153"/>
      <c r="G48" s="153"/>
      <c r="H48" s="225"/>
      <c r="I48" s="159"/>
      <c r="J48" s="159"/>
      <c r="K48" s="104"/>
      <c r="L48" s="16"/>
      <c r="M48" s="16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>
        <f t="shared" si="0"/>
        <v>0</v>
      </c>
      <c r="AB48" s="52">
        <f t="shared" si="9"/>
        <v>0</v>
      </c>
      <c r="AC48" s="133">
        <f t="shared" si="1"/>
        <v>0</v>
      </c>
      <c r="AD48" s="133"/>
      <c r="AE48" s="133">
        <f t="shared" si="2"/>
        <v>0</v>
      </c>
      <c r="AF48" s="138"/>
      <c r="AG48" s="29"/>
      <c r="AH48" s="29"/>
      <c r="AI48" s="104"/>
      <c r="AJ48" s="16"/>
      <c r="AK48" s="160"/>
      <c r="AL48" s="16"/>
      <c r="AM48" s="16"/>
      <c r="AN48" s="227"/>
      <c r="AO48" s="36"/>
      <c r="AP48" s="32"/>
      <c r="AQ48" s="353"/>
      <c r="AR48" s="354"/>
      <c r="AS48" s="342"/>
      <c r="AT48" s="355">
        <f t="shared" si="3"/>
        <v>0</v>
      </c>
      <c r="AU48" s="355">
        <f t="shared" si="4"/>
        <v>0</v>
      </c>
      <c r="AV48" s="355">
        <f t="shared" si="5"/>
        <v>0</v>
      </c>
      <c r="AW48" s="356">
        <f t="shared" si="6"/>
        <v>0</v>
      </c>
      <c r="AY48" s="357">
        <f t="shared" si="7"/>
        <v>0</v>
      </c>
      <c r="AZ48" s="358">
        <f t="shared" si="8"/>
        <v>0</v>
      </c>
    </row>
    <row r="49" spans="1:52" x14ac:dyDescent="0.3">
      <c r="A49" s="42"/>
      <c r="B49" s="11">
        <v>41</v>
      </c>
      <c r="C49" s="11"/>
      <c r="D49" s="11"/>
      <c r="E49" s="1"/>
      <c r="F49" s="153"/>
      <c r="G49" s="153"/>
      <c r="H49" s="225"/>
      <c r="I49" s="159"/>
      <c r="J49" s="159"/>
      <c r="K49" s="104"/>
      <c r="L49" s="16"/>
      <c r="M49" s="16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>
        <f t="shared" si="0"/>
        <v>0</v>
      </c>
      <c r="AB49" s="52">
        <f t="shared" si="9"/>
        <v>0</v>
      </c>
      <c r="AC49" s="133">
        <f t="shared" si="1"/>
        <v>0</v>
      </c>
      <c r="AD49" s="133"/>
      <c r="AE49" s="133">
        <f t="shared" si="2"/>
        <v>0</v>
      </c>
      <c r="AF49" s="138"/>
      <c r="AG49" s="29"/>
      <c r="AH49" s="29"/>
      <c r="AI49" s="104"/>
      <c r="AJ49" s="16"/>
      <c r="AK49" s="160"/>
      <c r="AL49" s="16"/>
      <c r="AM49" s="16"/>
      <c r="AN49" s="227"/>
      <c r="AO49" s="36"/>
      <c r="AP49" s="32"/>
      <c r="AQ49" s="353"/>
      <c r="AR49" s="354"/>
      <c r="AS49" s="342"/>
      <c r="AT49" s="355">
        <f t="shared" si="3"/>
        <v>0</v>
      </c>
      <c r="AU49" s="355">
        <f t="shared" si="4"/>
        <v>0</v>
      </c>
      <c r="AV49" s="355">
        <f t="shared" si="5"/>
        <v>0</v>
      </c>
      <c r="AW49" s="356">
        <f t="shared" si="6"/>
        <v>0</v>
      </c>
      <c r="AY49" s="357">
        <f t="shared" si="7"/>
        <v>0</v>
      </c>
      <c r="AZ49" s="358">
        <f t="shared" si="8"/>
        <v>0</v>
      </c>
    </row>
    <row r="50" spans="1:52" x14ac:dyDescent="0.3">
      <c r="A50" s="42"/>
      <c r="B50" s="11">
        <v>42</v>
      </c>
      <c r="C50" s="11"/>
      <c r="D50" s="11"/>
      <c r="E50" s="1"/>
      <c r="F50" s="153"/>
      <c r="G50" s="153"/>
      <c r="H50" s="225"/>
      <c r="I50" s="159"/>
      <c r="J50" s="159"/>
      <c r="K50" s="104"/>
      <c r="L50" s="16"/>
      <c r="M50" s="16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>
        <f t="shared" si="0"/>
        <v>0</v>
      </c>
      <c r="AB50" s="52">
        <f t="shared" si="9"/>
        <v>0</v>
      </c>
      <c r="AC50" s="133">
        <f t="shared" si="1"/>
        <v>0</v>
      </c>
      <c r="AD50" s="133"/>
      <c r="AE50" s="133">
        <f t="shared" si="2"/>
        <v>0</v>
      </c>
      <c r="AF50" s="138"/>
      <c r="AG50" s="29"/>
      <c r="AH50" s="29"/>
      <c r="AI50" s="104"/>
      <c r="AJ50" s="16"/>
      <c r="AK50" s="160"/>
      <c r="AL50" s="16"/>
      <c r="AM50" s="16"/>
      <c r="AN50" s="227"/>
      <c r="AO50" s="36"/>
      <c r="AP50" s="32"/>
      <c r="AQ50" s="353"/>
      <c r="AR50" s="354"/>
      <c r="AS50" s="342"/>
      <c r="AT50" s="355">
        <f t="shared" si="3"/>
        <v>0</v>
      </c>
      <c r="AU50" s="355">
        <f t="shared" si="4"/>
        <v>0</v>
      </c>
      <c r="AV50" s="355">
        <f t="shared" si="5"/>
        <v>0</v>
      </c>
      <c r="AW50" s="356">
        <f t="shared" si="6"/>
        <v>0</v>
      </c>
      <c r="AY50" s="357">
        <f t="shared" si="7"/>
        <v>0</v>
      </c>
      <c r="AZ50" s="358">
        <f t="shared" si="8"/>
        <v>0</v>
      </c>
    </row>
    <row r="51" spans="1:52" x14ac:dyDescent="0.3">
      <c r="A51" s="42"/>
      <c r="B51" s="11">
        <v>43</v>
      </c>
      <c r="C51" s="11"/>
      <c r="D51" s="11"/>
      <c r="E51" s="1"/>
      <c r="F51" s="153"/>
      <c r="G51" s="153"/>
      <c r="H51" s="225"/>
      <c r="I51" s="159"/>
      <c r="J51" s="159"/>
      <c r="K51" s="104"/>
      <c r="L51" s="16"/>
      <c r="M51" s="16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>
        <f t="shared" si="0"/>
        <v>0</v>
      </c>
      <c r="AB51" s="52">
        <f t="shared" si="9"/>
        <v>0</v>
      </c>
      <c r="AC51" s="133">
        <f t="shared" si="1"/>
        <v>0</v>
      </c>
      <c r="AD51" s="133"/>
      <c r="AE51" s="133">
        <f t="shared" si="2"/>
        <v>0</v>
      </c>
      <c r="AF51" s="138"/>
      <c r="AG51" s="29"/>
      <c r="AH51" s="29"/>
      <c r="AI51" s="104"/>
      <c r="AJ51" s="16"/>
      <c r="AK51" s="160"/>
      <c r="AL51" s="16"/>
      <c r="AM51" s="16"/>
      <c r="AN51" s="227"/>
      <c r="AO51" s="36"/>
      <c r="AP51" s="32"/>
      <c r="AQ51" s="353"/>
      <c r="AR51" s="354"/>
      <c r="AS51" s="342"/>
      <c r="AT51" s="355">
        <f t="shared" si="3"/>
        <v>0</v>
      </c>
      <c r="AU51" s="355">
        <f t="shared" si="4"/>
        <v>0</v>
      </c>
      <c r="AV51" s="355">
        <f t="shared" si="5"/>
        <v>0</v>
      </c>
      <c r="AW51" s="356">
        <f t="shared" si="6"/>
        <v>0</v>
      </c>
      <c r="AY51" s="357">
        <f t="shared" si="7"/>
        <v>0</v>
      </c>
      <c r="AZ51" s="358">
        <f t="shared" si="8"/>
        <v>0</v>
      </c>
    </row>
    <row r="52" spans="1:52" x14ac:dyDescent="0.3">
      <c r="A52" s="42"/>
      <c r="B52" s="11">
        <v>44</v>
      </c>
      <c r="C52" s="11"/>
      <c r="D52" s="11"/>
      <c r="E52" s="1"/>
      <c r="F52" s="153"/>
      <c r="G52" s="153"/>
      <c r="H52" s="225"/>
      <c r="I52" s="159"/>
      <c r="J52" s="159"/>
      <c r="K52" s="104"/>
      <c r="L52" s="16"/>
      <c r="M52" s="16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>
        <f t="shared" si="0"/>
        <v>0</v>
      </c>
      <c r="AB52" s="52">
        <f t="shared" si="9"/>
        <v>0</v>
      </c>
      <c r="AC52" s="133">
        <f t="shared" si="1"/>
        <v>0</v>
      </c>
      <c r="AD52" s="133"/>
      <c r="AE52" s="133">
        <f t="shared" si="2"/>
        <v>0</v>
      </c>
      <c r="AF52" s="138"/>
      <c r="AG52" s="29"/>
      <c r="AH52" s="29"/>
      <c r="AI52" s="104"/>
      <c r="AJ52" s="16"/>
      <c r="AK52" s="160"/>
      <c r="AL52" s="16"/>
      <c r="AM52" s="16"/>
      <c r="AN52" s="227"/>
      <c r="AO52" s="36"/>
      <c r="AP52" s="32"/>
      <c r="AQ52" s="353"/>
      <c r="AR52" s="354"/>
      <c r="AS52" s="342"/>
      <c r="AT52" s="355">
        <f t="shared" si="3"/>
        <v>0</v>
      </c>
      <c r="AU52" s="355">
        <f t="shared" si="4"/>
        <v>0</v>
      </c>
      <c r="AV52" s="355">
        <f t="shared" si="5"/>
        <v>0</v>
      </c>
      <c r="AW52" s="356">
        <f t="shared" si="6"/>
        <v>0</v>
      </c>
      <c r="AY52" s="357">
        <f t="shared" si="7"/>
        <v>0</v>
      </c>
      <c r="AZ52" s="358">
        <f t="shared" si="8"/>
        <v>0</v>
      </c>
    </row>
    <row r="53" spans="1:52" x14ac:dyDescent="0.3">
      <c r="A53" s="42"/>
      <c r="B53" s="11">
        <v>45</v>
      </c>
      <c r="C53" s="11"/>
      <c r="D53" s="11"/>
      <c r="E53" s="1"/>
      <c r="F53" s="153"/>
      <c r="G53" s="153"/>
      <c r="H53" s="225"/>
      <c r="I53" s="159"/>
      <c r="J53" s="159"/>
      <c r="K53" s="104"/>
      <c r="L53" s="16"/>
      <c r="M53" s="16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>
        <f t="shared" si="0"/>
        <v>0</v>
      </c>
      <c r="AB53" s="52">
        <f t="shared" si="9"/>
        <v>0</v>
      </c>
      <c r="AC53" s="133">
        <f t="shared" si="1"/>
        <v>0</v>
      </c>
      <c r="AD53" s="133"/>
      <c r="AE53" s="133">
        <f t="shared" si="2"/>
        <v>0</v>
      </c>
      <c r="AF53" s="138"/>
      <c r="AG53" s="29"/>
      <c r="AH53" s="29"/>
      <c r="AI53" s="104"/>
      <c r="AJ53" s="16"/>
      <c r="AK53" s="160"/>
      <c r="AL53" s="16"/>
      <c r="AM53" s="16"/>
      <c r="AN53" s="227"/>
      <c r="AO53" s="36"/>
      <c r="AP53" s="32"/>
      <c r="AQ53" s="353"/>
      <c r="AR53" s="354"/>
      <c r="AS53" s="342"/>
      <c r="AT53" s="355">
        <f t="shared" si="3"/>
        <v>0</v>
      </c>
      <c r="AU53" s="355">
        <f t="shared" si="4"/>
        <v>0</v>
      </c>
      <c r="AV53" s="355">
        <f t="shared" si="5"/>
        <v>0</v>
      </c>
      <c r="AW53" s="356">
        <f t="shared" si="6"/>
        <v>0</v>
      </c>
      <c r="AY53" s="357">
        <f t="shared" si="7"/>
        <v>0</v>
      </c>
      <c r="AZ53" s="358">
        <f t="shared" si="8"/>
        <v>0</v>
      </c>
    </row>
    <row r="54" spans="1:52" x14ac:dyDescent="0.3">
      <c r="A54" s="42"/>
      <c r="B54" s="11">
        <v>46</v>
      </c>
      <c r="C54" s="11"/>
      <c r="D54" s="11"/>
      <c r="E54" s="104"/>
      <c r="F54" s="104"/>
      <c r="G54" s="104"/>
      <c r="H54" s="117"/>
      <c r="I54" s="159"/>
      <c r="J54" s="159"/>
      <c r="K54" s="104"/>
      <c r="L54" s="16"/>
      <c r="M54" s="16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>
        <f t="shared" si="0"/>
        <v>0</v>
      </c>
      <c r="AB54" s="52">
        <f t="shared" si="9"/>
        <v>0</v>
      </c>
      <c r="AC54" s="133">
        <f t="shared" si="1"/>
        <v>0</v>
      </c>
      <c r="AD54" s="133"/>
      <c r="AE54" s="133">
        <f t="shared" si="2"/>
        <v>0</v>
      </c>
      <c r="AF54" s="138"/>
      <c r="AG54" s="29"/>
      <c r="AH54" s="36"/>
      <c r="AI54" s="104"/>
      <c r="AJ54" s="16"/>
      <c r="AK54" s="160"/>
      <c r="AL54" s="16"/>
      <c r="AM54" s="16"/>
      <c r="AN54" s="227"/>
      <c r="AO54" s="36"/>
      <c r="AP54" s="32"/>
      <c r="AQ54" s="353"/>
      <c r="AR54" s="354"/>
      <c r="AS54" s="342"/>
      <c r="AT54" s="355">
        <f t="shared" si="3"/>
        <v>0</v>
      </c>
      <c r="AU54" s="355">
        <f t="shared" si="4"/>
        <v>0</v>
      </c>
      <c r="AV54" s="355">
        <f t="shared" si="5"/>
        <v>0</v>
      </c>
      <c r="AW54" s="356">
        <f t="shared" si="6"/>
        <v>0</v>
      </c>
      <c r="AY54" s="357">
        <f t="shared" si="7"/>
        <v>0</v>
      </c>
      <c r="AZ54" s="358">
        <f t="shared" si="8"/>
        <v>0</v>
      </c>
    </row>
    <row r="55" spans="1:52" x14ac:dyDescent="0.3">
      <c r="B55" s="43"/>
      <c r="C55" s="43"/>
      <c r="D55" s="43"/>
      <c r="E55" s="105"/>
      <c r="F55" s="105"/>
      <c r="G55" s="105"/>
      <c r="H55" s="47"/>
      <c r="I55" s="154"/>
      <c r="J55" s="28"/>
      <c r="K55" s="114"/>
      <c r="L55" s="47"/>
      <c r="M55" s="47"/>
      <c r="N55" s="53">
        <f t="shared" ref="N55:AC55" si="10">SUBTOTAL(9,N9:N54)</f>
        <v>0</v>
      </c>
      <c r="O55" s="53">
        <f t="shared" si="10"/>
        <v>0</v>
      </c>
      <c r="P55" s="53">
        <f t="shared" si="10"/>
        <v>0</v>
      </c>
      <c r="Q55" s="53">
        <f t="shared" si="10"/>
        <v>0</v>
      </c>
      <c r="R55" s="53">
        <f t="shared" si="10"/>
        <v>0</v>
      </c>
      <c r="S55" s="53">
        <f t="shared" si="10"/>
        <v>0</v>
      </c>
      <c r="T55" s="53">
        <f t="shared" si="10"/>
        <v>0</v>
      </c>
      <c r="U55" s="53">
        <f t="shared" si="10"/>
        <v>0</v>
      </c>
      <c r="V55" s="53">
        <f t="shared" si="10"/>
        <v>0</v>
      </c>
      <c r="W55" s="53">
        <f t="shared" si="10"/>
        <v>0</v>
      </c>
      <c r="X55" s="53">
        <f t="shared" si="10"/>
        <v>0</v>
      </c>
      <c r="Y55" s="53">
        <f t="shared" si="10"/>
        <v>0</v>
      </c>
      <c r="Z55" s="53">
        <f t="shared" si="10"/>
        <v>0</v>
      </c>
      <c r="AA55" s="53">
        <f t="shared" si="10"/>
        <v>0</v>
      </c>
      <c r="AB55" s="53">
        <f t="shared" si="10"/>
        <v>0</v>
      </c>
      <c r="AC55" s="53">
        <f t="shared" si="10"/>
        <v>0</v>
      </c>
      <c r="AD55" s="93"/>
      <c r="AE55" s="93"/>
      <c r="AF55" s="115"/>
      <c r="AG55" s="3"/>
      <c r="AH55" s="32"/>
      <c r="AI55" s="3"/>
      <c r="AJ55" s="3"/>
      <c r="AK55" s="14"/>
      <c r="AL55" s="3"/>
      <c r="AM55" s="3"/>
      <c r="AN55" s="14"/>
      <c r="AS55" s="342"/>
      <c r="AT55" s="359">
        <f>SUBTOTAL(9,AT9:AT54)</f>
        <v>0</v>
      </c>
      <c r="AU55" s="359">
        <f>SUBTOTAL(9,AU9:AU54)</f>
        <v>0</v>
      </c>
      <c r="AV55" s="359">
        <f>SUBTOTAL(9,AV9:AV54)</f>
        <v>0</v>
      </c>
      <c r="AW55" s="356">
        <f t="shared" si="6"/>
        <v>0</v>
      </c>
      <c r="AY55" s="357">
        <f>SUM(AY9:AY54)</f>
        <v>0</v>
      </c>
    </row>
    <row r="56" spans="1:52" x14ac:dyDescent="0.3">
      <c r="H56" s="47"/>
      <c r="I56" s="154"/>
      <c r="J56" s="28"/>
      <c r="K56" s="14"/>
      <c r="L56" s="47"/>
      <c r="M56" s="47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119"/>
      <c r="AG56" s="3"/>
      <c r="AH56" s="32"/>
      <c r="AI56" s="3"/>
      <c r="AJ56" s="3"/>
      <c r="AK56" s="14"/>
      <c r="AL56" s="3"/>
      <c r="AM56" s="3"/>
      <c r="AN56" s="14"/>
      <c r="AS56" s="342"/>
      <c r="AY56" s="357"/>
    </row>
    <row r="57" spans="1:52" ht="15.75" customHeight="1" thickBot="1" x14ac:dyDescent="0.35">
      <c r="I57" s="154"/>
      <c r="AF57" s="139"/>
      <c r="AN57" s="8"/>
      <c r="AT57" s="360">
        <f>SUM(AT9:AT54)</f>
        <v>0</v>
      </c>
      <c r="AU57" s="360">
        <f>SUM(AU9:AU54)</f>
        <v>0</v>
      </c>
      <c r="AV57" s="360">
        <f>SUM(AV9:AV54)</f>
        <v>0</v>
      </c>
      <c r="AY57" s="360">
        <f>SUM(AY9:AY54)</f>
        <v>0</v>
      </c>
    </row>
    <row r="58" spans="1:52" ht="16.5" customHeight="1" thickTop="1" thickBot="1" x14ac:dyDescent="0.35">
      <c r="A58" s="50"/>
      <c r="I58" s="154"/>
      <c r="N58" s="100">
        <f t="shared" ref="N58:AC58" si="11">SUM(N9:N54)</f>
        <v>0</v>
      </c>
      <c r="O58" s="100">
        <f t="shared" si="11"/>
        <v>0</v>
      </c>
      <c r="P58" s="100">
        <f t="shared" si="11"/>
        <v>0</v>
      </c>
      <c r="Q58" s="100">
        <f t="shared" si="11"/>
        <v>0</v>
      </c>
      <c r="R58" s="100">
        <f t="shared" si="11"/>
        <v>0</v>
      </c>
      <c r="S58" s="100">
        <f t="shared" si="11"/>
        <v>0</v>
      </c>
      <c r="T58" s="100">
        <f t="shared" si="11"/>
        <v>0</v>
      </c>
      <c r="U58" s="100">
        <f t="shared" si="11"/>
        <v>0</v>
      </c>
      <c r="V58" s="100">
        <f t="shared" si="11"/>
        <v>0</v>
      </c>
      <c r="W58" s="100">
        <f t="shared" si="11"/>
        <v>0</v>
      </c>
      <c r="X58" s="100">
        <f t="shared" si="11"/>
        <v>0</v>
      </c>
      <c r="Y58" s="100">
        <f t="shared" si="11"/>
        <v>0</v>
      </c>
      <c r="Z58" s="100">
        <f t="shared" si="11"/>
        <v>0</v>
      </c>
      <c r="AA58" s="100">
        <f t="shared" si="11"/>
        <v>0</v>
      </c>
      <c r="AB58" s="100">
        <f t="shared" si="11"/>
        <v>0</v>
      </c>
      <c r="AC58" s="100">
        <f t="shared" si="11"/>
        <v>0</v>
      </c>
      <c r="AD58" s="137"/>
      <c r="AE58" s="137"/>
      <c r="AF58" s="137"/>
      <c r="AY58" s="357"/>
    </row>
    <row r="59" spans="1:52" ht="15.75" customHeight="1" thickTop="1" x14ac:dyDescent="0.3">
      <c r="F59" s="264" t="s">
        <v>52</v>
      </c>
      <c r="G59" s="264" t="s">
        <v>32</v>
      </c>
      <c r="H59" s="265" t="s">
        <v>53</v>
      </c>
      <c r="I59" s="266" t="s">
        <v>54</v>
      </c>
      <c r="AY59" s="357"/>
    </row>
    <row r="60" spans="1:52" x14ac:dyDescent="0.3">
      <c r="G60" s="223">
        <f>SUMIF($E$9:$E$54,$F60,$AA$9:$AA$54)</f>
        <v>0</v>
      </c>
      <c r="H60" s="89">
        <f>SUMIFS($AC$9:$AC$54,$AJ$9:$AJ$54,"YES",$E$9:$E$54,$F60)</f>
        <v>0</v>
      </c>
      <c r="I60" s="50">
        <f>G60-H60</f>
        <v>0</v>
      </c>
      <c r="AY60" s="357"/>
    </row>
    <row r="61" spans="1:52" x14ac:dyDescent="0.3">
      <c r="G61" s="223">
        <f>SUMIF($E$9:$E$54,$F61,$AA$9:$AA$54)</f>
        <v>0</v>
      </c>
      <c r="H61" s="89">
        <f>SUMIFS($AC$9:$AC$54,$AJ$9:$AJ$54,"YES",$E$9:$E$54,$F61)</f>
        <v>0</v>
      </c>
      <c r="I61" s="50">
        <f>G61-H61</f>
        <v>0</v>
      </c>
      <c r="AY61" s="357"/>
    </row>
    <row r="62" spans="1:52" x14ac:dyDescent="0.3">
      <c r="G62" s="223">
        <f>SUMIF($E$9:$E$54,$F62,$AA$9:$AA$54)</f>
        <v>0</v>
      </c>
      <c r="H62" s="89">
        <f>SUMIFS($AC$9:$AC$54,$AJ$9:$AJ$54,"YES",$E$9:$E$54,$F62)</f>
        <v>0</v>
      </c>
      <c r="I62" s="50">
        <f>G62-H62</f>
        <v>0</v>
      </c>
      <c r="J62" s="41"/>
      <c r="L62" s="41"/>
      <c r="M62" s="41"/>
      <c r="N62" s="46"/>
      <c r="O62" s="46"/>
      <c r="P62" s="46"/>
      <c r="Q62" s="46"/>
      <c r="R62" s="46"/>
      <c r="S62" s="46"/>
      <c r="T62" s="46"/>
      <c r="U62" s="46"/>
      <c r="V62" s="46"/>
      <c r="W62" s="403" t="s">
        <v>55</v>
      </c>
      <c r="X62" s="404"/>
      <c r="Y62" s="405"/>
      <c r="Z62" s="46"/>
      <c r="AA62" s="8"/>
      <c r="AB62" s="403" t="s">
        <v>56</v>
      </c>
      <c r="AC62" s="404"/>
      <c r="AD62" s="404"/>
      <c r="AE62" s="404"/>
      <c r="AF62" s="405"/>
      <c r="AG62" s="8"/>
      <c r="AY62" s="357"/>
    </row>
    <row r="63" spans="1:52" ht="15.75" customHeight="1" thickBot="1" x14ac:dyDescent="0.35">
      <c r="F63" s="197"/>
      <c r="G63" s="267">
        <f>SUMIF($E$9:$E$54,$F63,$AA$9:$AA$54)</f>
        <v>0</v>
      </c>
      <c r="H63" s="198">
        <f>SUMIFS($AC$9:$AC$54,$AJ$9:$AJ$54,"YES",$E$9:$E$54,$F63)</f>
        <v>0</v>
      </c>
      <c r="I63" s="170">
        <f>G63-H63</f>
        <v>0</v>
      </c>
      <c r="J63" s="41"/>
      <c r="L63" s="41"/>
      <c r="M63" s="41"/>
      <c r="N63" s="46"/>
      <c r="O63" s="46"/>
      <c r="P63" s="46"/>
      <c r="Q63" s="46"/>
      <c r="R63" s="46"/>
      <c r="S63" s="46"/>
      <c r="T63" s="46"/>
      <c r="U63" s="46"/>
      <c r="V63" s="46"/>
      <c r="W63" s="16" t="s">
        <v>57</v>
      </c>
      <c r="X63" s="90" t="s">
        <v>58</v>
      </c>
      <c r="Y63" s="98" t="s">
        <v>59</v>
      </c>
      <c r="Z63" s="46"/>
      <c r="AA63" s="89"/>
      <c r="AB63" s="16" t="s">
        <v>57</v>
      </c>
      <c r="AC63" s="90" t="s">
        <v>58</v>
      </c>
      <c r="AD63" s="390"/>
      <c r="AE63" s="390"/>
      <c r="AF63" s="91" t="s">
        <v>59</v>
      </c>
      <c r="AG63" s="8"/>
      <c r="AY63" s="357"/>
    </row>
    <row r="64" spans="1:52" ht="15.75" customHeight="1" thickTop="1" x14ac:dyDescent="0.3">
      <c r="F64" s="8" t="s">
        <v>32</v>
      </c>
      <c r="G64" s="156">
        <f>SUM(G60:G63)</f>
        <v>0</v>
      </c>
      <c r="H64" s="156">
        <f>SUM(H60:H63)</f>
        <v>0</v>
      </c>
      <c r="I64" s="223">
        <f>SUM(I60:I63)</f>
        <v>0</v>
      </c>
      <c r="J64" s="41"/>
      <c r="L64" s="41"/>
      <c r="M64" s="41"/>
      <c r="N64" s="46"/>
      <c r="O64" s="46"/>
      <c r="P64" s="46"/>
      <c r="Q64" s="46"/>
      <c r="R64" s="46"/>
      <c r="S64" s="46"/>
      <c r="T64" s="46"/>
      <c r="U64" s="46"/>
      <c r="V64" s="46"/>
      <c r="W64" s="92">
        <f>SUMIF($AJ$9:$AJ$54,W63,$AV$9:$AV$54)</f>
        <v>0</v>
      </c>
      <c r="X64" s="92">
        <f>SUMIF($AJ$9:$AJ$54,X63,$AV$9:$AV$54)</f>
        <v>0</v>
      </c>
      <c r="Y64" s="92">
        <f>SUMIF($AJ$9:$AJ$54,Y63,$AV$9:$AV$54)</f>
        <v>0</v>
      </c>
      <c r="Z64" s="93">
        <f>SUM(W64:Y64)</f>
        <v>0</v>
      </c>
      <c r="AA64" s="94"/>
      <c r="AB64" s="92">
        <f>SUMIF($AJ$9:$AJ$54,AB63,$AY$9:$AY$54)</f>
        <v>0</v>
      </c>
      <c r="AC64" s="92">
        <f>SUMIF($AJ$9:$AJ$54,AC63,$AY$9:$AY$54)</f>
        <v>0</v>
      </c>
      <c r="AD64" s="92"/>
      <c r="AE64" s="92"/>
      <c r="AF64" s="92">
        <f>SUMIF($AJ$9:$AJ$54,AF63,$AY$9:$AY$54)</f>
        <v>0</v>
      </c>
      <c r="AG64" s="115">
        <f>SUM(AB64:AF64)</f>
        <v>0</v>
      </c>
      <c r="AY64" s="357"/>
    </row>
    <row r="65" spans="6:51" x14ac:dyDescent="0.3">
      <c r="F65" s="8"/>
      <c r="G65" s="224">
        <f>G64-AA58</f>
        <v>0</v>
      </c>
      <c r="H65" s="224">
        <f>H64-AA67</f>
        <v>0</v>
      </c>
      <c r="I65" s="224">
        <f>I64-AA68</f>
        <v>0</v>
      </c>
      <c r="J65" s="41"/>
      <c r="L65" s="41"/>
      <c r="M65" s="41"/>
      <c r="N65" s="46"/>
      <c r="O65" s="46"/>
      <c r="P65" s="46"/>
      <c r="Q65" s="46"/>
      <c r="R65" s="46"/>
      <c r="S65" s="46"/>
      <c r="T65" s="46"/>
      <c r="U65" s="46"/>
      <c r="V65" s="46"/>
      <c r="W65" s="8"/>
      <c r="Z65" s="95">
        <f>Z64-AV57</f>
        <v>0</v>
      </c>
      <c r="AA65" s="89"/>
      <c r="AB65" s="32"/>
      <c r="AC65" s="32"/>
      <c r="AD65" s="32"/>
      <c r="AE65" s="32"/>
      <c r="AF65" s="96"/>
      <c r="AG65" s="95">
        <f>AG64-AY57</f>
        <v>0</v>
      </c>
      <c r="AY65" s="357"/>
    </row>
    <row r="66" spans="6:51" x14ac:dyDescent="0.3">
      <c r="F66" s="8"/>
      <c r="I66" s="154"/>
      <c r="W66" s="46"/>
      <c r="X66" s="46"/>
      <c r="Y66" s="46"/>
      <c r="Z66" s="46"/>
      <c r="AA66" s="66"/>
      <c r="AC66" s="8"/>
      <c r="AD66" s="8"/>
      <c r="AE66" s="8"/>
      <c r="AY66" s="357"/>
    </row>
    <row r="67" spans="6:51" x14ac:dyDescent="0.3">
      <c r="I67" s="154"/>
      <c r="W67" s="8"/>
      <c r="X67" s="27"/>
      <c r="Y67" s="46"/>
      <c r="Z67" s="46" t="s">
        <v>60</v>
      </c>
      <c r="AA67" s="46">
        <f>Y64</f>
        <v>0</v>
      </c>
      <c r="AB67" s="46"/>
      <c r="AC67" s="46"/>
      <c r="AD67" s="46"/>
      <c r="AE67" s="46"/>
      <c r="AF67" s="46"/>
      <c r="AY67" s="357"/>
    </row>
    <row r="68" spans="6:51" ht="15.75" customHeight="1" thickBot="1" x14ac:dyDescent="0.35">
      <c r="I68" s="154"/>
      <c r="W68" s="8"/>
      <c r="X68" s="27"/>
      <c r="Y68" s="46"/>
      <c r="Z68" s="97" t="s">
        <v>61</v>
      </c>
      <c r="AA68" s="97">
        <f>W64+X64+AB64+AC64+AF64</f>
        <v>0</v>
      </c>
      <c r="AB68" s="46"/>
      <c r="AC68" s="46"/>
      <c r="AD68" s="46"/>
      <c r="AE68" s="46"/>
      <c r="AF68" s="46"/>
      <c r="AY68" s="357"/>
    </row>
    <row r="69" spans="6:51" ht="15.75" customHeight="1" thickTop="1" x14ac:dyDescent="0.3">
      <c r="I69" s="154"/>
      <c r="W69" s="8"/>
      <c r="X69" s="27"/>
      <c r="Y69" s="46"/>
      <c r="Z69" s="46" t="s">
        <v>62</v>
      </c>
      <c r="AA69" s="46">
        <f>SUM(AA67:AA68)</f>
        <v>0</v>
      </c>
      <c r="AC69" s="46"/>
      <c r="AD69" s="46"/>
      <c r="AE69" s="46"/>
      <c r="AF69" s="46"/>
      <c r="AG69" s="66"/>
      <c r="AH69" s="116"/>
      <c r="AY69" s="357"/>
    </row>
    <row r="70" spans="6:51" x14ac:dyDescent="0.3">
      <c r="I70" s="154"/>
      <c r="W70" s="8"/>
      <c r="X70" s="27"/>
      <c r="Y70" s="46"/>
      <c r="Z70" s="46"/>
      <c r="AA70" s="95">
        <f>AA69-AA58</f>
        <v>0</v>
      </c>
      <c r="AC70" s="95"/>
      <c r="AD70" s="95"/>
      <c r="AE70" s="95"/>
      <c r="AF70" s="95"/>
      <c r="AG70" s="66"/>
      <c r="AH70" s="116"/>
      <c r="AY70" s="357"/>
    </row>
    <row r="71" spans="6:51" x14ac:dyDescent="0.3">
      <c r="I71" s="154"/>
      <c r="AY71" s="357"/>
    </row>
    <row r="72" spans="6:51" x14ac:dyDescent="0.3">
      <c r="I72" s="154"/>
      <c r="AY72" s="357"/>
    </row>
    <row r="73" spans="6:51" x14ac:dyDescent="0.3">
      <c r="I73" s="28"/>
      <c r="AY73" s="357"/>
    </row>
    <row r="74" spans="6:51" x14ac:dyDescent="0.3">
      <c r="I74" s="28"/>
      <c r="AY74" s="357"/>
    </row>
    <row r="75" spans="6:51" x14ac:dyDescent="0.3">
      <c r="AY75" s="357"/>
    </row>
    <row r="76" spans="6:51" x14ac:dyDescent="0.3">
      <c r="AY76" s="357"/>
    </row>
    <row r="77" spans="6:51" x14ac:dyDescent="0.3">
      <c r="AY77" s="357"/>
    </row>
    <row r="78" spans="6:51" x14ac:dyDescent="0.3">
      <c r="AY78" s="357"/>
    </row>
    <row r="79" spans="6:51" x14ac:dyDescent="0.3">
      <c r="AY79" s="357"/>
    </row>
    <row r="80" spans="6:51" x14ac:dyDescent="0.3">
      <c r="I80" s="41"/>
      <c r="AY80" s="357"/>
    </row>
    <row r="81" spans="9:51" x14ac:dyDescent="0.3">
      <c r="I81" s="41"/>
      <c r="AY81" s="357"/>
    </row>
    <row r="82" spans="9:51" x14ac:dyDescent="0.3">
      <c r="I82" s="41"/>
      <c r="AY82" s="357"/>
    </row>
    <row r="83" spans="9:51" x14ac:dyDescent="0.3">
      <c r="I83" s="41"/>
      <c r="AY83" s="357"/>
    </row>
    <row r="84" spans="9:51" x14ac:dyDescent="0.3">
      <c r="AY84" s="357"/>
    </row>
    <row r="85" spans="9:51" x14ac:dyDescent="0.3">
      <c r="AY85" s="357"/>
    </row>
    <row r="86" spans="9:51" x14ac:dyDescent="0.3">
      <c r="AY86" s="357"/>
    </row>
    <row r="87" spans="9:51" x14ac:dyDescent="0.3">
      <c r="AY87" s="357"/>
    </row>
    <row r="88" spans="9:51" x14ac:dyDescent="0.3">
      <c r="AY88" s="357"/>
    </row>
    <row r="89" spans="9:51" x14ac:dyDescent="0.3">
      <c r="AY89" s="357"/>
    </row>
    <row r="90" spans="9:51" x14ac:dyDescent="0.3">
      <c r="AY90" s="357"/>
    </row>
    <row r="91" spans="9:51" x14ac:dyDescent="0.3">
      <c r="AY91" s="357"/>
    </row>
    <row r="92" spans="9:51" x14ac:dyDescent="0.3">
      <c r="AY92" s="357"/>
    </row>
    <row r="93" spans="9:51" x14ac:dyDescent="0.3">
      <c r="AY93" s="357"/>
    </row>
    <row r="94" spans="9:51" x14ac:dyDescent="0.3">
      <c r="AY94" s="357"/>
    </row>
    <row r="95" spans="9:51" x14ac:dyDescent="0.3">
      <c r="AY95" s="357"/>
    </row>
    <row r="96" spans="9:51" x14ac:dyDescent="0.3">
      <c r="AY96" s="357"/>
    </row>
    <row r="97" spans="51:51" x14ac:dyDescent="0.3">
      <c r="AY97" s="357"/>
    </row>
    <row r="98" spans="51:51" x14ac:dyDescent="0.3">
      <c r="AY98" s="357"/>
    </row>
    <row r="99" spans="51:51" x14ac:dyDescent="0.3">
      <c r="AY99" s="357"/>
    </row>
    <row r="100" spans="51:51" x14ac:dyDescent="0.3">
      <c r="AY100" s="357"/>
    </row>
    <row r="101" spans="51:51" x14ac:dyDescent="0.3">
      <c r="AY101" s="357"/>
    </row>
    <row r="102" spans="51:51" x14ac:dyDescent="0.3">
      <c r="AY102" s="357"/>
    </row>
    <row r="103" spans="51:51" x14ac:dyDescent="0.3">
      <c r="AY103" s="357"/>
    </row>
    <row r="104" spans="51:51" x14ac:dyDescent="0.3">
      <c r="AY104" s="357"/>
    </row>
    <row r="105" spans="51:51" x14ac:dyDescent="0.3">
      <c r="AY105" s="357"/>
    </row>
    <row r="106" spans="51:51" x14ac:dyDescent="0.3">
      <c r="AY106" s="357"/>
    </row>
    <row r="107" spans="51:51" x14ac:dyDescent="0.3">
      <c r="AY107" s="357"/>
    </row>
    <row r="108" spans="51:51" x14ac:dyDescent="0.3">
      <c r="AY108" s="357"/>
    </row>
    <row r="109" spans="51:51" x14ac:dyDescent="0.3">
      <c r="AY109" s="357"/>
    </row>
    <row r="110" spans="51:51" x14ac:dyDescent="0.3">
      <c r="AY110" s="357"/>
    </row>
    <row r="111" spans="51:51" x14ac:dyDescent="0.3">
      <c r="AY111" s="357"/>
    </row>
    <row r="112" spans="51:51" x14ac:dyDescent="0.3">
      <c r="AY112" s="357"/>
    </row>
    <row r="113" spans="51:51" x14ac:dyDescent="0.3">
      <c r="AY113" s="357"/>
    </row>
    <row r="114" spans="51:51" x14ac:dyDescent="0.3">
      <c r="AY114" s="357"/>
    </row>
    <row r="115" spans="51:51" x14ac:dyDescent="0.3">
      <c r="AY115" s="357"/>
    </row>
    <row r="116" spans="51:51" x14ac:dyDescent="0.3">
      <c r="AY116" s="357"/>
    </row>
    <row r="117" spans="51:51" x14ac:dyDescent="0.3">
      <c r="AY117" s="357"/>
    </row>
    <row r="118" spans="51:51" x14ac:dyDescent="0.3">
      <c r="AY118" s="357"/>
    </row>
    <row r="119" spans="51:51" x14ac:dyDescent="0.3">
      <c r="AY119" s="357"/>
    </row>
    <row r="120" spans="51:51" x14ac:dyDescent="0.3">
      <c r="AY120" s="357"/>
    </row>
    <row r="121" spans="51:51" x14ac:dyDescent="0.3">
      <c r="AY121" s="357"/>
    </row>
    <row r="122" spans="51:51" x14ac:dyDescent="0.3">
      <c r="AY122" s="357"/>
    </row>
    <row r="123" spans="51:51" x14ac:dyDescent="0.3">
      <c r="AY123" s="357"/>
    </row>
    <row r="124" spans="51:51" x14ac:dyDescent="0.3">
      <c r="AY124" s="357"/>
    </row>
    <row r="125" spans="51:51" x14ac:dyDescent="0.3">
      <c r="AY125" s="357"/>
    </row>
    <row r="126" spans="51:51" x14ac:dyDescent="0.3">
      <c r="AY126" s="357"/>
    </row>
    <row r="127" spans="51:51" x14ac:dyDescent="0.3">
      <c r="AY127" s="357"/>
    </row>
    <row r="128" spans="51:51" x14ac:dyDescent="0.3">
      <c r="AY128" s="357"/>
    </row>
    <row r="129" spans="51:51" x14ac:dyDescent="0.3">
      <c r="AY129" s="357"/>
    </row>
    <row r="130" spans="51:51" x14ac:dyDescent="0.3">
      <c r="AY130" s="357"/>
    </row>
    <row r="131" spans="51:51" x14ac:dyDescent="0.3">
      <c r="AY131" s="357"/>
    </row>
    <row r="132" spans="51:51" x14ac:dyDescent="0.3">
      <c r="AY132" s="357"/>
    </row>
    <row r="133" spans="51:51" x14ac:dyDescent="0.3">
      <c r="AY133" s="357"/>
    </row>
    <row r="134" spans="51:51" x14ac:dyDescent="0.3">
      <c r="AY134" s="357"/>
    </row>
    <row r="135" spans="51:51" x14ac:dyDescent="0.3">
      <c r="AY135" s="357"/>
    </row>
    <row r="136" spans="51:51" x14ac:dyDescent="0.3">
      <c r="AY136" s="357"/>
    </row>
    <row r="137" spans="51:51" x14ac:dyDescent="0.3">
      <c r="AY137" s="357"/>
    </row>
    <row r="138" spans="51:51" x14ac:dyDescent="0.3">
      <c r="AY138" s="357"/>
    </row>
    <row r="139" spans="51:51" x14ac:dyDescent="0.3">
      <c r="AY139" s="357"/>
    </row>
    <row r="140" spans="51:51" x14ac:dyDescent="0.3">
      <c r="AY140" s="357"/>
    </row>
    <row r="141" spans="51:51" x14ac:dyDescent="0.3">
      <c r="AY141" s="357"/>
    </row>
    <row r="142" spans="51:51" x14ac:dyDescent="0.3">
      <c r="AY142" s="357"/>
    </row>
    <row r="143" spans="51:51" x14ac:dyDescent="0.3">
      <c r="AY143" s="357"/>
    </row>
    <row r="144" spans="51:51" x14ac:dyDescent="0.3">
      <c r="AY144" s="357"/>
    </row>
    <row r="145" spans="51:51" x14ac:dyDescent="0.3">
      <c r="AY145" s="357"/>
    </row>
    <row r="146" spans="51:51" x14ac:dyDescent="0.3">
      <c r="AY146" s="357"/>
    </row>
    <row r="147" spans="51:51" x14ac:dyDescent="0.3">
      <c r="AY147" s="357"/>
    </row>
    <row r="148" spans="51:51" x14ac:dyDescent="0.3">
      <c r="AY148" s="357"/>
    </row>
    <row r="149" spans="51:51" x14ac:dyDescent="0.3">
      <c r="AY149" s="357"/>
    </row>
    <row r="150" spans="51:51" x14ac:dyDescent="0.3">
      <c r="AY150" s="357"/>
    </row>
    <row r="151" spans="51:51" x14ac:dyDescent="0.3">
      <c r="AY151" s="357"/>
    </row>
    <row r="152" spans="51:51" x14ac:dyDescent="0.3">
      <c r="AY152" s="357"/>
    </row>
    <row r="153" spans="51:51" x14ac:dyDescent="0.3">
      <c r="AY153" s="357"/>
    </row>
    <row r="154" spans="51:51" x14ac:dyDescent="0.3">
      <c r="AY154" s="357"/>
    </row>
    <row r="155" spans="51:51" x14ac:dyDescent="0.3">
      <c r="AY155" s="357"/>
    </row>
    <row r="156" spans="51:51" x14ac:dyDescent="0.3">
      <c r="AY156" s="357"/>
    </row>
    <row r="157" spans="51:51" x14ac:dyDescent="0.3">
      <c r="AY157" s="357"/>
    </row>
    <row r="158" spans="51:51" x14ac:dyDescent="0.3">
      <c r="AY158" s="357"/>
    </row>
    <row r="159" spans="51:51" x14ac:dyDescent="0.3">
      <c r="AY159" s="357"/>
    </row>
    <row r="160" spans="51:51" x14ac:dyDescent="0.3">
      <c r="AY160" s="357"/>
    </row>
    <row r="161" spans="51:51" x14ac:dyDescent="0.3">
      <c r="AY161" s="357"/>
    </row>
    <row r="162" spans="51:51" x14ac:dyDescent="0.3">
      <c r="AY162" s="357"/>
    </row>
    <row r="163" spans="51:51" x14ac:dyDescent="0.3">
      <c r="AY163" s="357"/>
    </row>
    <row r="164" spans="51:51" x14ac:dyDescent="0.3">
      <c r="AY164" s="357"/>
    </row>
    <row r="165" spans="51:51" x14ac:dyDescent="0.3">
      <c r="AY165" s="357"/>
    </row>
    <row r="166" spans="51:51" x14ac:dyDescent="0.3">
      <c r="AY166" s="357"/>
    </row>
    <row r="167" spans="51:51" x14ac:dyDescent="0.3">
      <c r="AY167" s="357"/>
    </row>
    <row r="168" spans="51:51" x14ac:dyDescent="0.3">
      <c r="AY168" s="357"/>
    </row>
    <row r="169" spans="51:51" x14ac:dyDescent="0.3">
      <c r="AY169" s="357"/>
    </row>
    <row r="170" spans="51:51" x14ac:dyDescent="0.3">
      <c r="AY170" s="357"/>
    </row>
    <row r="171" spans="51:51" x14ac:dyDescent="0.3">
      <c r="AY171" s="357"/>
    </row>
    <row r="172" spans="51:51" x14ac:dyDescent="0.3">
      <c r="AY172" s="357"/>
    </row>
    <row r="173" spans="51:51" x14ac:dyDescent="0.3">
      <c r="AY173" s="357"/>
    </row>
    <row r="174" spans="51:51" x14ac:dyDescent="0.3">
      <c r="AY174" s="357"/>
    </row>
    <row r="175" spans="51:51" x14ac:dyDescent="0.3">
      <c r="AY175" s="357"/>
    </row>
    <row r="176" spans="51:51" x14ac:dyDescent="0.3">
      <c r="AY176" s="357"/>
    </row>
    <row r="177" spans="51:51" x14ac:dyDescent="0.3">
      <c r="AY177" s="357"/>
    </row>
    <row r="178" spans="51:51" x14ac:dyDescent="0.3">
      <c r="AY178" s="357"/>
    </row>
    <row r="179" spans="51:51" x14ac:dyDescent="0.3">
      <c r="AY179" s="357"/>
    </row>
    <row r="180" spans="51:51" x14ac:dyDescent="0.3">
      <c r="AY180" s="357"/>
    </row>
    <row r="181" spans="51:51" x14ac:dyDescent="0.3">
      <c r="AY181" s="357"/>
    </row>
    <row r="182" spans="51:51" x14ac:dyDescent="0.3">
      <c r="AY182" s="357"/>
    </row>
    <row r="183" spans="51:51" x14ac:dyDescent="0.3">
      <c r="AY183" s="357"/>
    </row>
    <row r="184" spans="51:51" x14ac:dyDescent="0.3">
      <c r="AY184" s="357"/>
    </row>
    <row r="185" spans="51:51" x14ac:dyDescent="0.3">
      <c r="AY185" s="357"/>
    </row>
    <row r="186" spans="51:51" x14ac:dyDescent="0.3">
      <c r="AY186" s="357"/>
    </row>
    <row r="187" spans="51:51" x14ac:dyDescent="0.3">
      <c r="AY187" s="357"/>
    </row>
    <row r="188" spans="51:51" x14ac:dyDescent="0.3">
      <c r="AY188" s="357"/>
    </row>
    <row r="189" spans="51:51" x14ac:dyDescent="0.3">
      <c r="AY189" s="357"/>
    </row>
    <row r="190" spans="51:51" x14ac:dyDescent="0.3">
      <c r="AY190" s="357"/>
    </row>
    <row r="191" spans="51:51" x14ac:dyDescent="0.3">
      <c r="AY191" s="357"/>
    </row>
    <row r="192" spans="51:51" x14ac:dyDescent="0.3">
      <c r="AY192" s="357"/>
    </row>
    <row r="193" spans="51:51" x14ac:dyDescent="0.3">
      <c r="AY193" s="357"/>
    </row>
    <row r="194" spans="51:51" x14ac:dyDescent="0.3">
      <c r="AY194" s="357"/>
    </row>
    <row r="195" spans="51:51" x14ac:dyDescent="0.3">
      <c r="AY195" s="357"/>
    </row>
    <row r="196" spans="51:51" x14ac:dyDescent="0.3">
      <c r="AY196" s="357"/>
    </row>
    <row r="197" spans="51:51" x14ac:dyDescent="0.3">
      <c r="AY197" s="357"/>
    </row>
    <row r="198" spans="51:51" x14ac:dyDescent="0.3">
      <c r="AY198" s="357"/>
    </row>
    <row r="199" spans="51:51" x14ac:dyDescent="0.3">
      <c r="AY199" s="357"/>
    </row>
    <row r="200" spans="51:51" x14ac:dyDescent="0.3">
      <c r="AY200" s="357"/>
    </row>
    <row r="201" spans="51:51" x14ac:dyDescent="0.3">
      <c r="AY201" s="357"/>
    </row>
    <row r="202" spans="51:51" x14ac:dyDescent="0.3">
      <c r="AY202" s="357"/>
    </row>
    <row r="203" spans="51:51" x14ac:dyDescent="0.3">
      <c r="AY203" s="357"/>
    </row>
    <row r="204" spans="51:51" x14ac:dyDescent="0.3">
      <c r="AY204" s="357"/>
    </row>
    <row r="205" spans="51:51" x14ac:dyDescent="0.3">
      <c r="AY205" s="357"/>
    </row>
    <row r="206" spans="51:51" x14ac:dyDescent="0.3">
      <c r="AY206" s="357"/>
    </row>
    <row r="207" spans="51:51" x14ac:dyDescent="0.3">
      <c r="AY207" s="357"/>
    </row>
    <row r="208" spans="51:51" x14ac:dyDescent="0.3">
      <c r="AY208" s="357"/>
    </row>
    <row r="209" spans="51:51" x14ac:dyDescent="0.3">
      <c r="AY209" s="357"/>
    </row>
    <row r="210" spans="51:51" x14ac:dyDescent="0.3">
      <c r="AY210" s="357"/>
    </row>
    <row r="211" spans="51:51" x14ac:dyDescent="0.3">
      <c r="AY211" s="357"/>
    </row>
    <row r="212" spans="51:51" x14ac:dyDescent="0.3">
      <c r="AY212" s="357"/>
    </row>
    <row r="213" spans="51:51" x14ac:dyDescent="0.3">
      <c r="AY213" s="357"/>
    </row>
    <row r="214" spans="51:51" x14ac:dyDescent="0.3">
      <c r="AY214" s="357"/>
    </row>
    <row r="215" spans="51:51" x14ac:dyDescent="0.3">
      <c r="AY215" s="357"/>
    </row>
    <row r="216" spans="51:51" x14ac:dyDescent="0.3">
      <c r="AY216" s="357"/>
    </row>
    <row r="217" spans="51:51" x14ac:dyDescent="0.3">
      <c r="AY217" s="357"/>
    </row>
    <row r="218" spans="51:51" x14ac:dyDescent="0.3">
      <c r="AY218" s="357"/>
    </row>
    <row r="219" spans="51:51" x14ac:dyDescent="0.3">
      <c r="AY219" s="357"/>
    </row>
    <row r="220" spans="51:51" x14ac:dyDescent="0.3">
      <c r="AY220" s="357"/>
    </row>
    <row r="221" spans="51:51" x14ac:dyDescent="0.3">
      <c r="AY221" s="357"/>
    </row>
    <row r="222" spans="51:51" x14ac:dyDescent="0.3">
      <c r="AY222" s="357"/>
    </row>
    <row r="223" spans="51:51" x14ac:dyDescent="0.3">
      <c r="AY223" s="357"/>
    </row>
    <row r="224" spans="51:51" x14ac:dyDescent="0.3">
      <c r="AY224" s="357"/>
    </row>
    <row r="225" spans="51:51" x14ac:dyDescent="0.3">
      <c r="AY225" s="357"/>
    </row>
    <row r="226" spans="51:51" x14ac:dyDescent="0.3">
      <c r="AY226" s="357"/>
    </row>
    <row r="227" spans="51:51" x14ac:dyDescent="0.3">
      <c r="AY227" s="357"/>
    </row>
    <row r="228" spans="51:51" x14ac:dyDescent="0.3">
      <c r="AY228" s="357"/>
    </row>
    <row r="229" spans="51:51" x14ac:dyDescent="0.3">
      <c r="AY229" s="357"/>
    </row>
    <row r="230" spans="51:51" x14ac:dyDescent="0.3">
      <c r="AY230" s="357"/>
    </row>
    <row r="231" spans="51:51" x14ac:dyDescent="0.3">
      <c r="AY231" s="357"/>
    </row>
    <row r="232" spans="51:51" x14ac:dyDescent="0.3">
      <c r="AY232" s="357"/>
    </row>
    <row r="233" spans="51:51" x14ac:dyDescent="0.3">
      <c r="AY233" s="357"/>
    </row>
    <row r="234" spans="51:51" x14ac:dyDescent="0.3">
      <c r="AY234" s="357"/>
    </row>
    <row r="235" spans="51:51" x14ac:dyDescent="0.3">
      <c r="AY235" s="357"/>
    </row>
    <row r="236" spans="51:51" x14ac:dyDescent="0.3">
      <c r="AY236" s="357"/>
    </row>
    <row r="237" spans="51:51" x14ac:dyDescent="0.3">
      <c r="AY237" s="357"/>
    </row>
    <row r="238" spans="51:51" x14ac:dyDescent="0.3">
      <c r="AY238" s="357"/>
    </row>
    <row r="239" spans="51:51" x14ac:dyDescent="0.3">
      <c r="AY239" s="357"/>
    </row>
    <row r="240" spans="51:51" x14ac:dyDescent="0.3">
      <c r="AY240" s="357"/>
    </row>
    <row r="241" spans="51:51" x14ac:dyDescent="0.3">
      <c r="AY241" s="357"/>
    </row>
    <row r="242" spans="51:51" x14ac:dyDescent="0.3">
      <c r="AY242" s="357"/>
    </row>
    <row r="243" spans="51:51" x14ac:dyDescent="0.3">
      <c r="AY243" s="357"/>
    </row>
    <row r="244" spans="51:51" x14ac:dyDescent="0.3">
      <c r="AY244" s="357"/>
    </row>
    <row r="245" spans="51:51" x14ac:dyDescent="0.3">
      <c r="AY245" s="357"/>
    </row>
    <row r="246" spans="51:51" x14ac:dyDescent="0.3">
      <c r="AY246" s="357"/>
    </row>
    <row r="247" spans="51:51" x14ac:dyDescent="0.3">
      <c r="AY247" s="357"/>
    </row>
    <row r="248" spans="51:51" x14ac:dyDescent="0.3">
      <c r="AY248" s="357"/>
    </row>
    <row r="249" spans="51:51" x14ac:dyDescent="0.3">
      <c r="AY249" s="357"/>
    </row>
    <row r="250" spans="51:51" x14ac:dyDescent="0.3">
      <c r="AY250" s="357"/>
    </row>
    <row r="251" spans="51:51" x14ac:dyDescent="0.3">
      <c r="AY251" s="357"/>
    </row>
    <row r="252" spans="51:51" x14ac:dyDescent="0.3">
      <c r="AY252" s="357"/>
    </row>
    <row r="253" spans="51:51" x14ac:dyDescent="0.3">
      <c r="AY253" s="357"/>
    </row>
    <row r="254" spans="51:51" x14ac:dyDescent="0.3">
      <c r="AY254" s="357"/>
    </row>
    <row r="255" spans="51:51" x14ac:dyDescent="0.3">
      <c r="AY255" s="357"/>
    </row>
    <row r="256" spans="51:51" x14ac:dyDescent="0.3">
      <c r="AY256" s="357"/>
    </row>
    <row r="257" spans="51:51" x14ac:dyDescent="0.3">
      <c r="AY257" s="357"/>
    </row>
    <row r="258" spans="51:51" x14ac:dyDescent="0.3">
      <c r="AY258" s="357"/>
    </row>
    <row r="259" spans="51:51" x14ac:dyDescent="0.3">
      <c r="AY259" s="357"/>
    </row>
    <row r="260" spans="51:51" x14ac:dyDescent="0.3">
      <c r="AY260" s="357"/>
    </row>
    <row r="261" spans="51:51" x14ac:dyDescent="0.3">
      <c r="AY261" s="357"/>
    </row>
    <row r="262" spans="51:51" x14ac:dyDescent="0.3">
      <c r="AY262" s="357"/>
    </row>
    <row r="263" spans="51:51" x14ac:dyDescent="0.3">
      <c r="AY263" s="357"/>
    </row>
    <row r="264" spans="51:51" x14ac:dyDescent="0.3">
      <c r="AY264" s="357"/>
    </row>
    <row r="265" spans="51:51" x14ac:dyDescent="0.3">
      <c r="AY265" s="357"/>
    </row>
    <row r="266" spans="51:51" x14ac:dyDescent="0.3">
      <c r="AY266" s="357"/>
    </row>
    <row r="267" spans="51:51" x14ac:dyDescent="0.3">
      <c r="AY267" s="357"/>
    </row>
    <row r="268" spans="51:51" x14ac:dyDescent="0.3">
      <c r="AY268" s="357"/>
    </row>
    <row r="269" spans="51:51" x14ac:dyDescent="0.3">
      <c r="AY269" s="357"/>
    </row>
    <row r="270" spans="51:51" x14ac:dyDescent="0.3">
      <c r="AY270" s="357"/>
    </row>
    <row r="271" spans="51:51" x14ac:dyDescent="0.3">
      <c r="AY271" s="357"/>
    </row>
    <row r="272" spans="51:51" x14ac:dyDescent="0.3">
      <c r="AY272" s="357"/>
    </row>
    <row r="273" spans="51:51" x14ac:dyDescent="0.3">
      <c r="AY273" s="357"/>
    </row>
    <row r="274" spans="51:51" x14ac:dyDescent="0.3">
      <c r="AY274" s="357"/>
    </row>
    <row r="275" spans="51:51" x14ac:dyDescent="0.3">
      <c r="AY275" s="357"/>
    </row>
    <row r="276" spans="51:51" x14ac:dyDescent="0.3">
      <c r="AY276" s="357"/>
    </row>
    <row r="277" spans="51:51" x14ac:dyDescent="0.3">
      <c r="AY277" s="357"/>
    </row>
    <row r="278" spans="51:51" x14ac:dyDescent="0.3">
      <c r="AY278" s="357"/>
    </row>
    <row r="279" spans="51:51" x14ac:dyDescent="0.3">
      <c r="AY279" s="357"/>
    </row>
    <row r="280" spans="51:51" x14ac:dyDescent="0.3">
      <c r="AY280" s="357"/>
    </row>
    <row r="281" spans="51:51" x14ac:dyDescent="0.3">
      <c r="AY281" s="357"/>
    </row>
    <row r="282" spans="51:51" x14ac:dyDescent="0.3">
      <c r="AY282" s="357"/>
    </row>
    <row r="283" spans="51:51" x14ac:dyDescent="0.3">
      <c r="AY283" s="357"/>
    </row>
    <row r="284" spans="51:51" x14ac:dyDescent="0.3">
      <c r="AY284" s="357"/>
    </row>
    <row r="285" spans="51:51" x14ac:dyDescent="0.3">
      <c r="AY285" s="357"/>
    </row>
    <row r="286" spans="51:51" x14ac:dyDescent="0.3">
      <c r="AY286" s="357"/>
    </row>
    <row r="287" spans="51:51" x14ac:dyDescent="0.3">
      <c r="AY287" s="357"/>
    </row>
    <row r="288" spans="51:51" x14ac:dyDescent="0.3">
      <c r="AY288" s="357"/>
    </row>
    <row r="289" spans="51:51" x14ac:dyDescent="0.3">
      <c r="AY289" s="357"/>
    </row>
    <row r="290" spans="51:51" x14ac:dyDescent="0.3">
      <c r="AY290" s="357"/>
    </row>
    <row r="291" spans="51:51" x14ac:dyDescent="0.3">
      <c r="AY291" s="357"/>
    </row>
    <row r="292" spans="51:51" x14ac:dyDescent="0.3">
      <c r="AY292" s="357"/>
    </row>
    <row r="293" spans="51:51" x14ac:dyDescent="0.3">
      <c r="AY293" s="357"/>
    </row>
    <row r="294" spans="51:51" x14ac:dyDescent="0.3">
      <c r="AY294" s="357"/>
    </row>
    <row r="295" spans="51:51" x14ac:dyDescent="0.3">
      <c r="AY295" s="357"/>
    </row>
    <row r="296" spans="51:51" x14ac:dyDescent="0.3">
      <c r="AY296" s="357"/>
    </row>
    <row r="297" spans="51:51" x14ac:dyDescent="0.3">
      <c r="AY297" s="357"/>
    </row>
    <row r="298" spans="51:51" x14ac:dyDescent="0.3">
      <c r="AY298" s="357"/>
    </row>
    <row r="299" spans="51:51" x14ac:dyDescent="0.3">
      <c r="AY299" s="357"/>
    </row>
    <row r="300" spans="51:51" x14ac:dyDescent="0.3">
      <c r="AY300" s="357"/>
    </row>
    <row r="301" spans="51:51" x14ac:dyDescent="0.3">
      <c r="AY301" s="357"/>
    </row>
    <row r="302" spans="51:51" x14ac:dyDescent="0.3">
      <c r="AY302" s="357"/>
    </row>
    <row r="303" spans="51:51" x14ac:dyDescent="0.3">
      <c r="AY303" s="357"/>
    </row>
    <row r="304" spans="51:51" x14ac:dyDescent="0.3">
      <c r="AY304" s="357"/>
    </row>
    <row r="305" spans="51:51" x14ac:dyDescent="0.3">
      <c r="AY305" s="357"/>
    </row>
    <row r="306" spans="51:51" x14ac:dyDescent="0.3">
      <c r="AY306" s="357"/>
    </row>
    <row r="307" spans="51:51" x14ac:dyDescent="0.3">
      <c r="AY307" s="357"/>
    </row>
    <row r="308" spans="51:51" x14ac:dyDescent="0.3">
      <c r="AY308" s="357"/>
    </row>
    <row r="309" spans="51:51" x14ac:dyDescent="0.3">
      <c r="AY309" s="357"/>
    </row>
    <row r="310" spans="51:51" x14ac:dyDescent="0.3">
      <c r="AY310" s="357"/>
    </row>
    <row r="311" spans="51:51" x14ac:dyDescent="0.3">
      <c r="AY311" s="357"/>
    </row>
    <row r="312" spans="51:51" x14ac:dyDescent="0.3">
      <c r="AY312" s="357"/>
    </row>
    <row r="313" spans="51:51" x14ac:dyDescent="0.3">
      <c r="AY313" s="357"/>
    </row>
    <row r="314" spans="51:51" x14ac:dyDescent="0.3">
      <c r="AY314" s="357"/>
    </row>
    <row r="315" spans="51:51" x14ac:dyDescent="0.3">
      <c r="AY315" s="357"/>
    </row>
    <row r="316" spans="51:51" x14ac:dyDescent="0.3">
      <c r="AY316" s="357"/>
    </row>
    <row r="317" spans="51:51" x14ac:dyDescent="0.3">
      <c r="AY317" s="357"/>
    </row>
    <row r="318" spans="51:51" x14ac:dyDescent="0.3">
      <c r="AY318" s="357"/>
    </row>
    <row r="319" spans="51:51" x14ac:dyDescent="0.3">
      <c r="AY319" s="357"/>
    </row>
    <row r="320" spans="51:51" x14ac:dyDescent="0.3">
      <c r="AY320" s="357"/>
    </row>
    <row r="321" spans="51:51" x14ac:dyDescent="0.3">
      <c r="AY321" s="357"/>
    </row>
    <row r="322" spans="51:51" x14ac:dyDescent="0.3">
      <c r="AY322" s="357"/>
    </row>
    <row r="323" spans="51:51" x14ac:dyDescent="0.3">
      <c r="AY323" s="357"/>
    </row>
    <row r="324" spans="51:51" x14ac:dyDescent="0.3">
      <c r="AY324" s="357"/>
    </row>
    <row r="325" spans="51:51" x14ac:dyDescent="0.3">
      <c r="AY325" s="357"/>
    </row>
    <row r="326" spans="51:51" x14ac:dyDescent="0.3">
      <c r="AY326" s="357"/>
    </row>
    <row r="327" spans="51:51" x14ac:dyDescent="0.3">
      <c r="AY327" s="361"/>
    </row>
    <row r="328" spans="51:51" x14ac:dyDescent="0.3">
      <c r="AY328" s="362"/>
    </row>
  </sheetData>
  <mergeCells count="5">
    <mergeCell ref="I3:L3"/>
    <mergeCell ref="AB62:AF62"/>
    <mergeCell ref="W62:Y62"/>
    <mergeCell ref="AT7:AV7"/>
    <mergeCell ref="B1:AO1"/>
  </mergeCells>
  <conditionalFormatting sqref="K34:K44">
    <cfRule type="cellIs" dxfId="198" priority="475" operator="equal">
      <formula>"NO"</formula>
    </cfRule>
    <cfRule type="cellIs" dxfId="197" priority="476" operator="equal">
      <formula>"YES"</formula>
    </cfRule>
  </conditionalFormatting>
  <conditionalFormatting sqref="K48:K54">
    <cfRule type="cellIs" dxfId="196" priority="128" operator="equal">
      <formula>"NO"</formula>
    </cfRule>
    <cfRule type="cellIs" dxfId="195" priority="129" operator="equal">
      <formula>"YES"</formula>
    </cfRule>
  </conditionalFormatting>
  <conditionalFormatting sqref="W63">
    <cfRule type="cellIs" dxfId="194" priority="495" operator="equal">
      <formula>"NO-OOS"</formula>
    </cfRule>
    <cfRule type="cellIs" dxfId="193" priority="496" operator="equal">
      <formula>"NO-CO"</formula>
    </cfRule>
    <cfRule type="cellIs" dxfId="192" priority="497" operator="equal">
      <formula>"YES"</formula>
    </cfRule>
    <cfRule type="cellIs" dxfId="191" priority="498" operator="equal">
      <formula>"NO"</formula>
    </cfRule>
  </conditionalFormatting>
  <conditionalFormatting sqref="AB63">
    <cfRule type="cellIs" dxfId="190" priority="490" operator="equal">
      <formula>"NO-OOS"</formula>
    </cfRule>
    <cfRule type="cellIs" dxfId="189" priority="491" operator="equal">
      <formula>"NO-CO"</formula>
    </cfRule>
    <cfRule type="cellIs" dxfId="188" priority="492" operator="equal">
      <formula>"YES"</formula>
    </cfRule>
    <cfRule type="cellIs" dxfId="187" priority="493" operator="equal">
      <formula>"NO"</formula>
    </cfRule>
  </conditionalFormatting>
  <conditionalFormatting sqref="AG9:AG54">
    <cfRule type="cellIs" dxfId="186" priority="85" operator="equal">
      <formula>"N/A - (OOS)"</formula>
    </cfRule>
    <cfRule type="cellIs" dxfId="185" priority="86" operator="equal">
      <formula>"YES"</formula>
    </cfRule>
    <cfRule type="cellIs" dxfId="184" priority="87" operator="equal">
      <formula>"NO"</formula>
    </cfRule>
  </conditionalFormatting>
  <conditionalFormatting sqref="AI9:AI54">
    <cfRule type="cellIs" dxfId="183" priority="93" operator="equal">
      <formula>"NO"</formula>
    </cfRule>
  </conditionalFormatting>
  <conditionalFormatting sqref="AI9:AJ54">
    <cfRule type="cellIs" dxfId="182" priority="94" operator="equal">
      <formula>"YES"</formula>
    </cfRule>
  </conditionalFormatting>
  <conditionalFormatting sqref="AJ9:AJ54">
    <cfRule type="cellIs" dxfId="181" priority="463" operator="equal">
      <formula>"NO-OOS"</formula>
    </cfRule>
    <cfRule type="cellIs" dxfId="180" priority="464" operator="equal">
      <formula>"NO-TX"</formula>
    </cfRule>
  </conditionalFormatting>
  <conditionalFormatting sqref="AK11 AK26 AN26">
    <cfRule type="cellIs" dxfId="179" priority="534" operator="equal">
      <formula>"NO"</formula>
    </cfRule>
    <cfRule type="cellIs" dxfId="178" priority="535" operator="equal">
      <formula>"YES"</formula>
    </cfRule>
  </conditionalFormatting>
  <conditionalFormatting sqref="AK14:AK18 AN15:AN18">
    <cfRule type="cellIs" dxfId="177" priority="504" operator="equal">
      <formula>"NO"</formula>
    </cfRule>
    <cfRule type="cellIs" dxfId="176" priority="505" operator="equal">
      <formula>"YES"</formula>
    </cfRule>
  </conditionalFormatting>
  <conditionalFormatting sqref="AK23 AN23">
    <cfRule type="cellIs" dxfId="175" priority="528" operator="equal">
      <formula>"NO"</formula>
    </cfRule>
    <cfRule type="cellIs" dxfId="174" priority="529" operator="equal">
      <formula>"YES"</formula>
    </cfRule>
  </conditionalFormatting>
  <conditionalFormatting sqref="AK25 AN25">
    <cfRule type="cellIs" dxfId="173" priority="526" operator="equal">
      <formula>"NO"</formula>
    </cfRule>
    <cfRule type="cellIs" dxfId="172" priority="527" operator="equal">
      <formula>"YES"</formula>
    </cfRule>
  </conditionalFormatting>
  <conditionalFormatting sqref="AK28 AN28">
    <cfRule type="cellIs" dxfId="171" priority="532" operator="equal">
      <formula>"NO"</formula>
    </cfRule>
    <cfRule type="cellIs" dxfId="170" priority="533" operator="equal">
      <formula>"YES"</formula>
    </cfRule>
  </conditionalFormatting>
  <conditionalFormatting sqref="AK34 AN34">
    <cfRule type="cellIs" dxfId="169" priority="469" operator="equal">
      <formula>"NO"</formula>
    </cfRule>
    <cfRule type="cellIs" dxfId="168" priority="470" operator="equal">
      <formula>"YES"</formula>
    </cfRule>
  </conditionalFormatting>
  <conditionalFormatting sqref="AK36 AN36">
    <cfRule type="cellIs" dxfId="167" priority="467" operator="equal">
      <formula>"NO"</formula>
    </cfRule>
    <cfRule type="cellIs" dxfId="166" priority="468" operator="equal">
      <formula>"YES"</formula>
    </cfRule>
  </conditionalFormatting>
  <conditionalFormatting sqref="AK37 AN37">
    <cfRule type="cellIs" dxfId="165" priority="473" operator="equal">
      <formula>"NO"</formula>
    </cfRule>
    <cfRule type="cellIs" dxfId="164" priority="474" operator="equal">
      <formula>"YES"</formula>
    </cfRule>
  </conditionalFormatting>
  <conditionalFormatting sqref="AK39 AN39">
    <cfRule type="cellIs" dxfId="163" priority="471" operator="equal">
      <formula>"NO"</formula>
    </cfRule>
    <cfRule type="cellIs" dxfId="162" priority="472" operator="equal">
      <formula>"YES"</formula>
    </cfRule>
  </conditionalFormatting>
  <conditionalFormatting sqref="AK45:AK54 AN45:AN54">
    <cfRule type="cellIs" dxfId="161" priority="124" operator="equal">
      <formula>"NO"</formula>
    </cfRule>
    <cfRule type="cellIs" dxfId="160" priority="125" operator="equal">
      <formula>"YES"</formula>
    </cfRule>
  </conditionalFormatting>
  <conditionalFormatting sqref="AK9:AN10 AK27:AN27">
    <cfRule type="cellIs" dxfId="159" priority="3" operator="equal">
      <formula>"NO"</formula>
    </cfRule>
    <cfRule type="cellIs" dxfId="158" priority="4" operator="equal">
      <formula>"YES"</formula>
    </cfRule>
  </conditionalFormatting>
  <conditionalFormatting sqref="AL11:AM26 B55:G55">
    <cfRule type="cellIs" dxfId="157" priority="540" operator="equal">
      <formula>"NO"</formula>
    </cfRule>
    <cfRule type="cellIs" dxfId="156" priority="541" operator="equal">
      <formula>"YES"</formula>
    </cfRule>
  </conditionalFormatting>
  <conditionalFormatting sqref="AL28:AM42">
    <cfRule type="cellIs" dxfId="155" priority="465" operator="equal">
      <formula>"NO"</formula>
    </cfRule>
    <cfRule type="cellIs" dxfId="154" priority="466" operator="equal">
      <formula>"YES"</formula>
    </cfRule>
  </conditionalFormatting>
  <conditionalFormatting sqref="AL44:AM54">
    <cfRule type="cellIs" dxfId="153" priority="117" operator="equal">
      <formula>"NO"</formula>
    </cfRule>
    <cfRule type="cellIs" dxfId="152" priority="118" operator="equal">
      <formula>"YES"</formula>
    </cfRule>
  </conditionalFormatting>
  <conditionalFormatting sqref="AL43:AN43">
    <cfRule type="cellIs" dxfId="151" priority="5" operator="equal">
      <formula>"NO"</formula>
    </cfRule>
    <cfRule type="cellIs" dxfId="150" priority="6" operator="equal">
      <formula>"YES"</formula>
    </cfRule>
  </conditionalFormatting>
  <conditionalFormatting sqref="AN11:AN14">
    <cfRule type="cellIs" dxfId="149" priority="512" operator="equal">
      <formula>"NO"</formula>
    </cfRule>
    <cfRule type="cellIs" dxfId="148" priority="513" operator="equal">
      <formula>"YES"</formula>
    </cfRule>
  </conditionalFormatting>
  <conditionalFormatting sqref="AQ9:AQ54">
    <cfRule type="cellIs" dxfId="147" priority="1" operator="equal">
      <formula>"NO"</formula>
    </cfRule>
    <cfRule type="cellIs" dxfId="146" priority="2" operator="equal">
      <formula>"YES"</formula>
    </cfRule>
  </conditionalFormatting>
  <dataValidations disablePrompts="1" count="1">
    <dataValidation type="list" allowBlank="1" showInputMessage="1" showErrorMessage="1" sqref="W63 AB63 AJ3:AJ5 AL2 AL6" xr:uid="{00000000-0002-0000-0400-000000000000}"/>
  </dataValidations>
  <pageMargins left="0.7" right="0.7" top="0.75" bottom="0.75" header="0.3" footer="0.3"/>
  <pageSetup scale="17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AE57"/>
  <sheetViews>
    <sheetView zoomScale="80" zoomScaleNormal="80" workbookViewId="0">
      <pane xSplit="2" ySplit="8" topLeftCell="M9" activePane="bottomRight" state="frozen"/>
      <selection activeCell="I4" sqref="I4"/>
      <selection pane="topRight" activeCell="I4" sqref="I4"/>
      <selection pane="bottomLeft" activeCell="I4" sqref="I4"/>
      <selection pane="bottomRight" activeCell="P4" sqref="P4"/>
    </sheetView>
  </sheetViews>
  <sheetFormatPr defaultColWidth="9.109375" defaultRowHeight="14.4" x14ac:dyDescent="0.3"/>
  <cols>
    <col min="1" max="1" width="2.5546875" customWidth="1"/>
    <col min="2" max="2" width="9.109375" style="9" customWidth="1"/>
    <col min="3" max="3" width="16.5546875" style="107" customWidth="1"/>
    <col min="4" max="4" width="22" style="8" bestFit="1" customWidth="1"/>
    <col min="5" max="5" width="22.44140625" style="27" bestFit="1" customWidth="1"/>
    <col min="6" max="6" width="26" style="27" bestFit="1" customWidth="1"/>
    <col min="7" max="10" width="20.109375" style="46" customWidth="1"/>
    <col min="11" max="11" width="18.109375" style="46" customWidth="1"/>
    <col min="12" max="12" width="18.5546875" style="46" customWidth="1"/>
    <col min="13" max="14" width="31" style="66" customWidth="1"/>
    <col min="15" max="15" width="17.44140625" style="116" customWidth="1"/>
    <col min="16" max="16" width="17.33203125" style="8" customWidth="1"/>
    <col min="17" max="17" width="12.6640625" style="8" customWidth="1"/>
    <col min="18" max="18" width="19.5546875" style="8" customWidth="1"/>
    <col min="19" max="19" width="19.109375" style="8" customWidth="1"/>
    <col min="20" max="20" width="13.88671875" style="32" customWidth="1"/>
    <col min="21" max="21" width="30.6640625" style="32" customWidth="1"/>
    <col min="22" max="22" width="28.33203125" style="8" customWidth="1"/>
    <col min="23" max="23" width="18.109375" style="8" customWidth="1"/>
    <col min="24" max="24" width="9.33203125" style="8" customWidth="1"/>
    <col min="25" max="25" width="8.33203125" style="8" customWidth="1"/>
    <col min="26" max="26" width="19.33203125" style="32" customWidth="1"/>
    <col min="27" max="27" width="15.5546875" customWidth="1"/>
    <col min="28" max="28" width="55" style="32" customWidth="1"/>
    <col min="30" max="30" width="12.6640625" style="8" bestFit="1" customWidth="1"/>
    <col min="31" max="31" width="24.6640625" style="8" customWidth="1"/>
  </cols>
  <sheetData>
    <row r="1" spans="1:31" ht="15.75" customHeight="1" x14ac:dyDescent="0.3">
      <c r="B1" s="407"/>
      <c r="C1" s="411"/>
      <c r="D1" s="402"/>
      <c r="E1" s="401"/>
      <c r="F1" s="401"/>
      <c r="G1" s="412"/>
      <c r="H1" s="412"/>
      <c r="I1" s="412"/>
      <c r="J1" s="412"/>
      <c r="K1" s="412"/>
      <c r="L1" s="412"/>
      <c r="M1" s="413"/>
      <c r="N1" s="413"/>
      <c r="O1" s="414"/>
      <c r="P1" s="402"/>
      <c r="Q1" s="402"/>
      <c r="R1" s="402"/>
      <c r="S1" s="402"/>
      <c r="T1" s="415"/>
      <c r="U1" s="415"/>
      <c r="V1" s="402"/>
      <c r="W1" s="402"/>
      <c r="X1" s="402"/>
      <c r="Y1" s="402"/>
      <c r="Z1" s="415"/>
      <c r="AA1" s="392"/>
      <c r="AB1" s="415"/>
      <c r="AC1" s="113"/>
      <c r="AD1" s="113"/>
      <c r="AE1" s="113"/>
    </row>
    <row r="2" spans="1:31" ht="15.75" customHeight="1" x14ac:dyDescent="0.3">
      <c r="B2" s="113"/>
      <c r="C2" s="113"/>
      <c r="D2" s="113"/>
      <c r="E2" s="25"/>
      <c r="F2" s="25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31"/>
      <c r="W2" s="31"/>
      <c r="X2" s="31"/>
      <c r="Y2" s="113"/>
      <c r="Z2" s="113"/>
      <c r="AA2" s="31"/>
      <c r="AB2" s="31"/>
      <c r="AC2" s="113"/>
      <c r="AD2" s="113"/>
      <c r="AE2" s="113"/>
    </row>
    <row r="3" spans="1:31" ht="15.75" customHeight="1" x14ac:dyDescent="0.3">
      <c r="C3" s="9"/>
      <c r="D3" s="113"/>
      <c r="E3" s="25"/>
      <c r="F3" s="25"/>
      <c r="O3" s="8"/>
      <c r="T3" s="8"/>
      <c r="V3" s="32"/>
      <c r="W3" s="32"/>
      <c r="X3" s="32"/>
      <c r="Z3" s="8"/>
      <c r="AA3" s="32"/>
    </row>
    <row r="4" spans="1:31" ht="18.75" customHeight="1" x14ac:dyDescent="0.35">
      <c r="C4" s="9"/>
      <c r="D4" s="113"/>
      <c r="E4" s="25"/>
      <c r="F4" s="25"/>
      <c r="O4" s="8"/>
      <c r="R4" s="5"/>
      <c r="S4" s="5"/>
      <c r="T4" s="8"/>
      <c r="U4" s="4"/>
      <c r="V4" s="4"/>
      <c r="W4" s="4"/>
      <c r="X4" s="4"/>
      <c r="Y4" s="112"/>
      <c r="Z4" s="112"/>
      <c r="AA4" s="4"/>
      <c r="AB4" s="4"/>
      <c r="AC4" s="4"/>
      <c r="AD4" s="112"/>
      <c r="AE4" s="112"/>
    </row>
    <row r="5" spans="1:31" ht="18.75" customHeight="1" x14ac:dyDescent="0.35">
      <c r="C5" s="9"/>
      <c r="D5" s="15"/>
      <c r="E5" s="4"/>
      <c r="F5" s="4"/>
      <c r="O5" s="8"/>
      <c r="R5" s="5"/>
      <c r="S5" s="5"/>
      <c r="T5" s="8"/>
      <c r="U5" s="4"/>
      <c r="V5" s="4"/>
      <c r="W5" s="4"/>
      <c r="X5" s="4"/>
      <c r="Y5" s="112"/>
      <c r="Z5" s="112"/>
      <c r="AA5" s="4"/>
      <c r="AB5" s="4"/>
      <c r="AC5" s="4"/>
      <c r="AD5" s="112"/>
      <c r="AE5" s="112"/>
    </row>
    <row r="6" spans="1:31" ht="18.75" customHeight="1" x14ac:dyDescent="0.35">
      <c r="C6" s="9"/>
      <c r="D6" s="15"/>
      <c r="E6" s="4"/>
      <c r="F6" s="4"/>
      <c r="O6" s="8"/>
      <c r="R6" s="5"/>
      <c r="S6" s="5"/>
      <c r="T6" s="8"/>
      <c r="U6" s="4"/>
      <c r="V6" s="4"/>
      <c r="W6" s="4"/>
      <c r="X6" s="4"/>
      <c r="Y6" s="112"/>
      <c r="Z6" s="112"/>
      <c r="AA6" s="4"/>
      <c r="AB6" s="4"/>
      <c r="AC6" s="4"/>
      <c r="AD6" s="112"/>
      <c r="AE6" s="112"/>
    </row>
    <row r="7" spans="1:31" x14ac:dyDescent="0.3">
      <c r="C7" s="101"/>
      <c r="D7" s="101"/>
      <c r="F7" s="27" t="s">
        <v>203</v>
      </c>
      <c r="K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D7" s="119"/>
      <c r="AE7" s="119"/>
    </row>
    <row r="8" spans="1:31" s="7" customFormat="1" ht="18" customHeight="1" x14ac:dyDescent="0.3">
      <c r="A8" s="7" t="s">
        <v>204</v>
      </c>
      <c r="B8" s="285" t="s">
        <v>7</v>
      </c>
      <c r="C8" s="277" t="s">
        <v>205</v>
      </c>
      <c r="D8" s="284" t="s">
        <v>52</v>
      </c>
      <c r="E8" s="287" t="s">
        <v>206</v>
      </c>
      <c r="F8" s="279" t="s">
        <v>207</v>
      </c>
      <c r="G8" s="288" t="s">
        <v>208</v>
      </c>
      <c r="H8" s="288" t="s">
        <v>209</v>
      </c>
      <c r="I8" s="288" t="s">
        <v>210</v>
      </c>
      <c r="J8" s="288" t="s">
        <v>103</v>
      </c>
      <c r="K8" s="289" t="s">
        <v>61</v>
      </c>
      <c r="L8" s="288" t="s">
        <v>211</v>
      </c>
      <c r="M8" s="290" t="s">
        <v>14</v>
      </c>
      <c r="N8" s="290" t="s">
        <v>15</v>
      </c>
      <c r="O8" s="286" t="s">
        <v>16</v>
      </c>
      <c r="P8" s="315" t="s">
        <v>212</v>
      </c>
      <c r="Q8" s="315" t="s">
        <v>213</v>
      </c>
      <c r="R8" s="315" t="s">
        <v>214</v>
      </c>
      <c r="S8" s="315" t="s">
        <v>39</v>
      </c>
      <c r="T8" s="315" t="s">
        <v>215</v>
      </c>
      <c r="U8" s="315" t="s">
        <v>216</v>
      </c>
      <c r="V8" s="315" t="s">
        <v>217</v>
      </c>
      <c r="W8" s="315" t="s">
        <v>168</v>
      </c>
      <c r="X8" s="315" t="s">
        <v>44</v>
      </c>
      <c r="Y8" s="315" t="s">
        <v>45</v>
      </c>
      <c r="Z8" s="315" t="s">
        <v>218</v>
      </c>
      <c r="AA8" s="315" t="s">
        <v>41</v>
      </c>
      <c r="AB8" s="317" t="s">
        <v>46</v>
      </c>
      <c r="AD8" s="317" t="s">
        <v>47</v>
      </c>
      <c r="AE8" s="317" t="s">
        <v>48</v>
      </c>
    </row>
    <row r="9" spans="1:31" x14ac:dyDescent="0.3">
      <c r="B9" s="11">
        <v>1</v>
      </c>
      <c r="C9" s="104"/>
      <c r="D9" s="82"/>
      <c r="E9" s="117"/>
      <c r="F9" s="117"/>
      <c r="G9" s="45">
        <v>0</v>
      </c>
      <c r="H9" s="45">
        <v>0</v>
      </c>
      <c r="I9" s="45">
        <v>0</v>
      </c>
      <c r="J9" s="45">
        <v>0</v>
      </c>
      <c r="K9" s="52">
        <v>0</v>
      </c>
      <c r="L9" s="45">
        <f t="shared" ref="L9:L39" si="0">SUM(G9:J9)-K9</f>
        <v>0</v>
      </c>
      <c r="M9" s="36"/>
      <c r="N9" s="36"/>
      <c r="O9" s="29"/>
      <c r="P9" s="1"/>
      <c r="Q9" s="1"/>
      <c r="R9" s="130"/>
      <c r="S9" s="1"/>
      <c r="T9" s="1"/>
      <c r="U9" s="36"/>
      <c r="V9" s="36"/>
      <c r="W9" s="29"/>
      <c r="X9" s="29"/>
      <c r="Y9" s="71"/>
      <c r="Z9" s="40"/>
      <c r="AA9" s="16"/>
      <c r="AB9" s="36"/>
      <c r="AD9" s="146"/>
      <c r="AE9" s="29"/>
    </row>
    <row r="10" spans="1:31" ht="15" customHeight="1" x14ac:dyDescent="0.3">
      <c r="B10" s="11">
        <v>2</v>
      </c>
      <c r="C10" s="104"/>
      <c r="D10" s="82"/>
      <c r="E10" s="117"/>
      <c r="F10" s="117"/>
      <c r="G10" s="45">
        <v>0</v>
      </c>
      <c r="H10" s="45">
        <v>0</v>
      </c>
      <c r="I10" s="45">
        <v>0</v>
      </c>
      <c r="J10" s="45">
        <v>0</v>
      </c>
      <c r="K10" s="52">
        <v>0</v>
      </c>
      <c r="L10" s="45">
        <f t="shared" si="0"/>
        <v>0</v>
      </c>
      <c r="M10" s="36"/>
      <c r="N10" s="36"/>
      <c r="O10" s="29"/>
      <c r="P10" s="1"/>
      <c r="Q10" s="1"/>
      <c r="R10" s="130"/>
      <c r="S10" s="1"/>
      <c r="T10" s="1"/>
      <c r="U10" s="36"/>
      <c r="V10" s="36"/>
      <c r="W10" s="29"/>
      <c r="X10" s="29"/>
      <c r="Y10" s="29"/>
      <c r="Z10" s="40"/>
      <c r="AA10" s="16"/>
      <c r="AB10" s="36"/>
      <c r="AD10" s="146"/>
      <c r="AE10" s="29"/>
    </row>
    <row r="11" spans="1:31" ht="15" customHeight="1" x14ac:dyDescent="0.3">
      <c r="B11" s="11">
        <v>3</v>
      </c>
      <c r="C11" s="104"/>
      <c r="D11" s="83"/>
      <c r="E11" s="117"/>
      <c r="F11" s="117"/>
      <c r="G11" s="45">
        <v>0</v>
      </c>
      <c r="H11" s="45">
        <v>0</v>
      </c>
      <c r="I11" s="45">
        <v>0</v>
      </c>
      <c r="J11" s="45">
        <v>0</v>
      </c>
      <c r="K11" s="52">
        <v>0</v>
      </c>
      <c r="L11" s="45">
        <f t="shared" si="0"/>
        <v>0</v>
      </c>
      <c r="M11" s="36"/>
      <c r="N11" s="36"/>
      <c r="O11" s="29"/>
      <c r="P11" s="1"/>
      <c r="Q11" s="1"/>
      <c r="R11" s="130"/>
      <c r="S11" s="1"/>
      <c r="T11" s="1"/>
      <c r="U11" s="36"/>
      <c r="V11" s="36"/>
      <c r="W11" s="29"/>
      <c r="X11" s="29"/>
      <c r="Y11" s="29"/>
      <c r="Z11" s="40"/>
      <c r="AA11" s="16"/>
      <c r="AB11" s="36"/>
      <c r="AD11" s="146"/>
      <c r="AE11" s="29"/>
    </row>
    <row r="12" spans="1:31" x14ac:dyDescent="0.3">
      <c r="B12" s="11">
        <v>4</v>
      </c>
      <c r="C12" s="104"/>
      <c r="D12" s="84"/>
      <c r="E12" s="117"/>
      <c r="F12" s="117"/>
      <c r="G12" s="45">
        <v>0</v>
      </c>
      <c r="H12" s="45">
        <v>0</v>
      </c>
      <c r="I12" s="45">
        <v>0</v>
      </c>
      <c r="J12" s="45">
        <v>0</v>
      </c>
      <c r="K12" s="52">
        <v>0</v>
      </c>
      <c r="L12" s="45">
        <f t="shared" si="0"/>
        <v>0</v>
      </c>
      <c r="M12" s="36"/>
      <c r="N12" s="36"/>
      <c r="O12" s="29"/>
      <c r="P12" s="1"/>
      <c r="Q12" s="1"/>
      <c r="R12" s="130"/>
      <c r="S12" s="1"/>
      <c r="T12" s="1"/>
      <c r="U12" s="36"/>
      <c r="V12" s="36"/>
      <c r="W12" s="29"/>
      <c r="X12" s="29"/>
      <c r="Y12" s="29"/>
      <c r="Z12" s="40"/>
      <c r="AA12" s="16"/>
      <c r="AB12" s="36"/>
      <c r="AD12" s="146"/>
      <c r="AE12" s="29"/>
    </row>
    <row r="13" spans="1:31" ht="15" customHeight="1" x14ac:dyDescent="0.3">
      <c r="B13" s="11">
        <v>5</v>
      </c>
      <c r="C13" s="104"/>
      <c r="D13" s="84"/>
      <c r="E13" s="117"/>
      <c r="F13" s="117"/>
      <c r="G13" s="45">
        <v>0</v>
      </c>
      <c r="H13" s="45">
        <v>0</v>
      </c>
      <c r="I13" s="45">
        <v>0</v>
      </c>
      <c r="J13" s="45">
        <v>0</v>
      </c>
      <c r="K13" s="52">
        <v>0</v>
      </c>
      <c r="L13" s="45">
        <f t="shared" si="0"/>
        <v>0</v>
      </c>
      <c r="M13" s="36"/>
      <c r="N13" s="36"/>
      <c r="O13" s="104"/>
      <c r="P13" s="1"/>
      <c r="Q13" s="1"/>
      <c r="R13" s="130"/>
      <c r="S13" s="1"/>
      <c r="T13" s="1"/>
      <c r="U13" s="36"/>
      <c r="V13" s="36"/>
      <c r="W13" s="29"/>
      <c r="X13" s="29"/>
      <c r="Y13" s="29"/>
      <c r="Z13" s="40"/>
      <c r="AA13" s="16"/>
      <c r="AB13" s="36"/>
      <c r="AD13" s="146"/>
      <c r="AE13" s="29"/>
    </row>
    <row r="14" spans="1:31" x14ac:dyDescent="0.3">
      <c r="B14" s="11">
        <v>6</v>
      </c>
      <c r="C14" s="104"/>
      <c r="D14" s="82"/>
      <c r="E14" s="117"/>
      <c r="F14" s="117"/>
      <c r="G14" s="45">
        <v>0</v>
      </c>
      <c r="H14" s="45">
        <v>0</v>
      </c>
      <c r="I14" s="45">
        <v>0</v>
      </c>
      <c r="J14" s="45">
        <v>0</v>
      </c>
      <c r="K14" s="52">
        <v>0</v>
      </c>
      <c r="L14" s="45">
        <f t="shared" si="0"/>
        <v>0</v>
      </c>
      <c r="M14" s="36"/>
      <c r="N14" s="36"/>
      <c r="O14" s="29"/>
      <c r="P14" s="1"/>
      <c r="Q14" s="1"/>
      <c r="R14" s="130"/>
      <c r="S14" s="1"/>
      <c r="T14" s="1"/>
      <c r="V14" s="36"/>
      <c r="W14" s="29"/>
      <c r="X14" s="29"/>
      <c r="Y14" s="29"/>
      <c r="Z14" s="40"/>
      <c r="AA14" s="16"/>
      <c r="AB14" s="36"/>
      <c r="AD14" s="146"/>
      <c r="AE14" s="29"/>
    </row>
    <row r="15" spans="1:31" x14ac:dyDescent="0.3">
      <c r="B15" s="11">
        <v>7</v>
      </c>
      <c r="C15" s="104"/>
      <c r="D15" s="82"/>
      <c r="E15" s="117"/>
      <c r="F15" s="117"/>
      <c r="G15" s="45">
        <v>0</v>
      </c>
      <c r="H15" s="45">
        <v>0</v>
      </c>
      <c r="I15" s="45">
        <v>0</v>
      </c>
      <c r="J15" s="45">
        <v>0</v>
      </c>
      <c r="K15" s="52">
        <v>0</v>
      </c>
      <c r="L15" s="45">
        <f t="shared" si="0"/>
        <v>0</v>
      </c>
      <c r="M15" s="36"/>
      <c r="N15" s="36"/>
      <c r="O15" s="29"/>
      <c r="P15" s="1"/>
      <c r="Q15" s="1"/>
      <c r="R15" s="130"/>
      <c r="S15" s="1"/>
      <c r="T15" s="1"/>
      <c r="U15" s="36"/>
      <c r="V15" s="36"/>
      <c r="W15" s="29"/>
      <c r="X15" s="29"/>
      <c r="Y15" s="29"/>
      <c r="Z15" s="40"/>
      <c r="AA15" s="16"/>
      <c r="AB15" s="36"/>
      <c r="AD15" s="146"/>
      <c r="AE15" s="29"/>
    </row>
    <row r="16" spans="1:31" ht="15" customHeight="1" x14ac:dyDescent="0.3">
      <c r="B16" s="11">
        <v>8</v>
      </c>
      <c r="C16" s="104"/>
      <c r="D16" s="83"/>
      <c r="E16" s="117"/>
      <c r="F16" s="117"/>
      <c r="G16" s="45">
        <v>0</v>
      </c>
      <c r="H16" s="45">
        <v>0</v>
      </c>
      <c r="I16" s="45">
        <v>0</v>
      </c>
      <c r="J16" s="45">
        <v>0</v>
      </c>
      <c r="K16" s="52">
        <v>0</v>
      </c>
      <c r="L16" s="45">
        <f t="shared" si="0"/>
        <v>0</v>
      </c>
      <c r="M16" s="36"/>
      <c r="N16" s="36"/>
      <c r="O16" s="29"/>
      <c r="P16" s="1"/>
      <c r="Q16" s="1"/>
      <c r="R16" s="130"/>
      <c r="S16" s="1"/>
      <c r="T16" s="1"/>
      <c r="U16" s="36"/>
      <c r="V16" s="36"/>
      <c r="W16" s="29"/>
      <c r="X16" s="29"/>
      <c r="Y16" s="71"/>
      <c r="Z16" s="40"/>
      <c r="AA16" s="16"/>
      <c r="AB16" s="36"/>
      <c r="AD16" s="146"/>
      <c r="AE16" s="29"/>
    </row>
    <row r="17" spans="2:31" x14ac:dyDescent="0.3">
      <c r="B17" s="11">
        <v>9</v>
      </c>
      <c r="C17" s="104"/>
      <c r="D17" s="83"/>
      <c r="E17" s="117"/>
      <c r="F17" s="117"/>
      <c r="G17" s="45">
        <v>0</v>
      </c>
      <c r="H17" s="45">
        <v>0</v>
      </c>
      <c r="I17" s="45">
        <v>0</v>
      </c>
      <c r="J17" s="45">
        <v>0</v>
      </c>
      <c r="K17" s="52">
        <v>0</v>
      </c>
      <c r="L17" s="45">
        <f t="shared" si="0"/>
        <v>0</v>
      </c>
      <c r="M17" s="36"/>
      <c r="N17" s="36"/>
      <c r="O17" s="29"/>
      <c r="P17" s="1"/>
      <c r="Q17" s="1"/>
      <c r="R17" s="130"/>
      <c r="S17" s="1"/>
      <c r="T17" s="1"/>
      <c r="U17" s="36"/>
      <c r="V17" s="36"/>
      <c r="W17" s="29"/>
      <c r="X17" s="29"/>
      <c r="Y17" s="71"/>
      <c r="Z17" s="40"/>
      <c r="AA17" s="16"/>
      <c r="AB17" s="36"/>
      <c r="AD17" s="146"/>
      <c r="AE17" s="29"/>
    </row>
    <row r="18" spans="2:31" x14ac:dyDescent="0.3">
      <c r="B18" s="11">
        <v>10</v>
      </c>
      <c r="C18" s="104"/>
      <c r="D18" s="83"/>
      <c r="E18" s="117"/>
      <c r="F18" s="117"/>
      <c r="G18" s="45">
        <v>0</v>
      </c>
      <c r="H18" s="45">
        <v>0</v>
      </c>
      <c r="I18" s="45">
        <v>0</v>
      </c>
      <c r="J18" s="45">
        <v>0</v>
      </c>
      <c r="K18" s="52">
        <v>0</v>
      </c>
      <c r="L18" s="45">
        <f t="shared" si="0"/>
        <v>0</v>
      </c>
      <c r="M18" s="36"/>
      <c r="N18" s="36"/>
      <c r="O18" s="29"/>
      <c r="P18" s="1"/>
      <c r="Q18" s="1"/>
      <c r="R18" s="130"/>
      <c r="S18" s="1"/>
      <c r="T18" s="1"/>
      <c r="U18" s="36"/>
      <c r="V18" s="36"/>
      <c r="W18" s="29"/>
      <c r="X18" s="29"/>
      <c r="Y18" s="71"/>
      <c r="Z18" s="40"/>
      <c r="AA18" s="16"/>
      <c r="AB18" s="36"/>
      <c r="AD18" s="146"/>
      <c r="AE18" s="29"/>
    </row>
    <row r="19" spans="2:31" ht="15" customHeight="1" x14ac:dyDescent="0.3">
      <c r="B19" s="11">
        <v>11</v>
      </c>
      <c r="C19" s="104"/>
      <c r="D19" s="83"/>
      <c r="E19" s="117"/>
      <c r="F19" s="117"/>
      <c r="G19" s="45">
        <v>0</v>
      </c>
      <c r="H19" s="45">
        <v>0</v>
      </c>
      <c r="I19" s="45">
        <v>0</v>
      </c>
      <c r="J19" s="45">
        <v>0</v>
      </c>
      <c r="K19" s="52">
        <v>0</v>
      </c>
      <c r="L19" s="45">
        <f t="shared" si="0"/>
        <v>0</v>
      </c>
      <c r="M19" s="36"/>
      <c r="N19" s="36"/>
      <c r="O19" s="29"/>
      <c r="P19" s="1"/>
      <c r="Q19" s="1"/>
      <c r="R19" s="130"/>
      <c r="S19" s="1"/>
      <c r="T19" s="1"/>
      <c r="U19" s="36"/>
      <c r="V19" s="36"/>
      <c r="W19" s="29"/>
      <c r="X19" s="29"/>
      <c r="Y19" s="29"/>
      <c r="Z19" s="40"/>
      <c r="AA19" s="16"/>
      <c r="AB19" s="36"/>
      <c r="AD19" s="146"/>
      <c r="AE19" s="29"/>
    </row>
    <row r="20" spans="2:31" ht="15" customHeight="1" x14ac:dyDescent="0.3">
      <c r="B20" s="11">
        <v>12</v>
      </c>
      <c r="C20" s="104"/>
      <c r="D20" s="70"/>
      <c r="E20" s="117"/>
      <c r="F20" s="117"/>
      <c r="G20" s="45">
        <v>0</v>
      </c>
      <c r="H20" s="45">
        <v>0</v>
      </c>
      <c r="I20" s="45">
        <v>0</v>
      </c>
      <c r="J20" s="45">
        <v>0</v>
      </c>
      <c r="K20" s="52">
        <v>0</v>
      </c>
      <c r="L20" s="45">
        <f t="shared" si="0"/>
        <v>0</v>
      </c>
      <c r="M20" s="36"/>
      <c r="N20" s="36"/>
      <c r="O20" s="29"/>
      <c r="P20" s="1"/>
      <c r="Q20" s="1"/>
      <c r="R20" s="130"/>
      <c r="S20" s="1"/>
      <c r="T20" s="1"/>
      <c r="U20" s="36"/>
      <c r="V20" s="36"/>
      <c r="W20" s="29"/>
      <c r="X20" s="29"/>
      <c r="Y20" s="71"/>
      <c r="Z20" s="40"/>
      <c r="AA20" s="16"/>
      <c r="AB20" s="36"/>
      <c r="AD20" s="146"/>
      <c r="AE20" s="29"/>
    </row>
    <row r="21" spans="2:31" ht="15" customHeight="1" x14ac:dyDescent="0.3">
      <c r="B21" s="11">
        <v>13</v>
      </c>
      <c r="C21" s="104"/>
      <c r="D21" s="83"/>
      <c r="E21" s="117"/>
      <c r="F21" s="117"/>
      <c r="G21" s="45">
        <v>0</v>
      </c>
      <c r="H21" s="45">
        <v>0</v>
      </c>
      <c r="I21" s="45">
        <v>0</v>
      </c>
      <c r="J21" s="45">
        <v>0</v>
      </c>
      <c r="K21" s="52">
        <v>0</v>
      </c>
      <c r="L21" s="45">
        <f t="shared" si="0"/>
        <v>0</v>
      </c>
      <c r="M21" s="36"/>
      <c r="N21" s="36"/>
      <c r="O21" s="29"/>
      <c r="P21" s="1"/>
      <c r="Q21" s="1"/>
      <c r="R21" s="130"/>
      <c r="S21" s="1"/>
      <c r="T21" s="1"/>
      <c r="U21" s="36"/>
      <c r="V21" s="36"/>
      <c r="W21" s="29"/>
      <c r="X21" s="29"/>
      <c r="Y21" s="71"/>
      <c r="Z21" s="40"/>
      <c r="AA21" s="16"/>
      <c r="AB21" s="36"/>
      <c r="AD21" s="146"/>
      <c r="AE21" s="29"/>
    </row>
    <row r="22" spans="2:31" ht="15" customHeight="1" x14ac:dyDescent="0.3">
      <c r="B22" s="11">
        <v>14</v>
      </c>
      <c r="C22" s="104"/>
      <c r="D22" s="83"/>
      <c r="E22" s="117"/>
      <c r="F22" s="117"/>
      <c r="G22" s="45">
        <v>0</v>
      </c>
      <c r="H22" s="45">
        <v>0</v>
      </c>
      <c r="I22" s="45">
        <v>0</v>
      </c>
      <c r="J22" s="45">
        <v>0</v>
      </c>
      <c r="K22" s="52">
        <v>0</v>
      </c>
      <c r="L22" s="45">
        <f t="shared" si="0"/>
        <v>0</v>
      </c>
      <c r="M22" s="36"/>
      <c r="N22" s="36"/>
      <c r="O22" s="29"/>
      <c r="P22" s="1"/>
      <c r="Q22" s="1"/>
      <c r="R22" s="130"/>
      <c r="S22" s="1"/>
      <c r="T22" s="1"/>
      <c r="U22" s="36"/>
      <c r="V22" s="36"/>
      <c r="W22" s="29"/>
      <c r="X22" s="29"/>
      <c r="Y22" s="71"/>
      <c r="Z22" s="40"/>
      <c r="AA22" s="16"/>
      <c r="AB22" s="36"/>
      <c r="AD22" s="146"/>
      <c r="AE22" s="29"/>
    </row>
    <row r="23" spans="2:31" ht="15" customHeight="1" x14ac:dyDescent="0.3">
      <c r="B23" s="11">
        <v>15</v>
      </c>
      <c r="C23" s="104"/>
      <c r="D23" s="83"/>
      <c r="E23" s="117"/>
      <c r="F23" s="117"/>
      <c r="G23" s="45">
        <v>0</v>
      </c>
      <c r="H23" s="45">
        <v>0</v>
      </c>
      <c r="I23" s="45">
        <v>0</v>
      </c>
      <c r="J23" s="45">
        <v>0</v>
      </c>
      <c r="K23" s="52">
        <v>0</v>
      </c>
      <c r="L23" s="45">
        <f t="shared" si="0"/>
        <v>0</v>
      </c>
      <c r="M23" s="36"/>
      <c r="N23" s="36"/>
      <c r="O23" s="29"/>
      <c r="P23" s="1"/>
      <c r="Q23" s="1"/>
      <c r="R23" s="130"/>
      <c r="S23" s="1"/>
      <c r="T23" s="1"/>
      <c r="U23" s="36"/>
      <c r="V23" s="36"/>
      <c r="W23" s="29"/>
      <c r="X23" s="29"/>
      <c r="Y23" s="71"/>
      <c r="Z23" s="40"/>
      <c r="AA23" s="16"/>
      <c r="AB23" s="36"/>
      <c r="AD23" s="146"/>
      <c r="AE23" s="29"/>
    </row>
    <row r="24" spans="2:31" ht="15" customHeight="1" x14ac:dyDescent="0.3">
      <c r="B24" s="11">
        <v>16</v>
      </c>
      <c r="C24" s="104"/>
      <c r="D24" s="83"/>
      <c r="E24" s="117"/>
      <c r="F24" s="117"/>
      <c r="G24" s="45">
        <v>0</v>
      </c>
      <c r="H24" s="45">
        <v>0</v>
      </c>
      <c r="I24" s="45">
        <v>0</v>
      </c>
      <c r="J24" s="45">
        <v>0</v>
      </c>
      <c r="K24" s="52">
        <v>0</v>
      </c>
      <c r="L24" s="45">
        <f t="shared" si="0"/>
        <v>0</v>
      </c>
      <c r="M24" s="36"/>
      <c r="N24" s="36"/>
      <c r="O24" s="29"/>
      <c r="P24" s="1"/>
      <c r="Q24" s="1"/>
      <c r="R24" s="130"/>
      <c r="S24" s="1"/>
      <c r="T24" s="1"/>
      <c r="U24" s="36"/>
      <c r="V24" s="36"/>
      <c r="W24" s="29"/>
      <c r="X24" s="29"/>
      <c r="Y24" s="71"/>
      <c r="Z24" s="40"/>
      <c r="AA24" s="16"/>
      <c r="AB24" s="36"/>
      <c r="AD24" s="146"/>
      <c r="AE24" s="29"/>
    </row>
    <row r="25" spans="2:31" ht="15" customHeight="1" x14ac:dyDescent="0.3">
      <c r="B25" s="11">
        <v>17</v>
      </c>
      <c r="C25" s="104"/>
      <c r="D25" s="83"/>
      <c r="E25" s="117"/>
      <c r="F25" s="117"/>
      <c r="G25" s="45">
        <v>0</v>
      </c>
      <c r="H25" s="45">
        <v>0</v>
      </c>
      <c r="I25" s="45">
        <v>0</v>
      </c>
      <c r="J25" s="45">
        <v>0</v>
      </c>
      <c r="K25" s="52">
        <v>0</v>
      </c>
      <c r="L25" s="45">
        <f t="shared" si="0"/>
        <v>0</v>
      </c>
      <c r="M25" s="36"/>
      <c r="N25" s="36"/>
      <c r="O25" s="29"/>
      <c r="P25" s="1"/>
      <c r="Q25" s="1"/>
      <c r="R25" s="130"/>
      <c r="S25" s="1"/>
      <c r="T25" s="1"/>
      <c r="U25" s="36"/>
      <c r="V25" s="36"/>
      <c r="W25" s="29"/>
      <c r="X25" s="29"/>
      <c r="Y25" s="71"/>
      <c r="Z25" s="40"/>
      <c r="AA25" s="16"/>
      <c r="AB25" s="36"/>
      <c r="AD25" s="146"/>
      <c r="AE25" s="29"/>
    </row>
    <row r="26" spans="2:31" ht="15" customHeight="1" x14ac:dyDescent="0.3">
      <c r="B26" s="11">
        <v>18</v>
      </c>
      <c r="C26" s="104"/>
      <c r="D26" s="83"/>
      <c r="E26" s="117"/>
      <c r="F26" s="117"/>
      <c r="G26" s="45">
        <v>0</v>
      </c>
      <c r="H26" s="45">
        <v>0</v>
      </c>
      <c r="I26" s="45">
        <v>0</v>
      </c>
      <c r="J26" s="45">
        <v>0</v>
      </c>
      <c r="K26" s="52">
        <v>0</v>
      </c>
      <c r="L26" s="45">
        <f t="shared" si="0"/>
        <v>0</v>
      </c>
      <c r="M26" s="36"/>
      <c r="N26" s="36"/>
      <c r="O26" s="29"/>
      <c r="P26" s="1"/>
      <c r="Q26" s="1"/>
      <c r="R26" s="130"/>
      <c r="S26" s="1"/>
      <c r="T26" s="1"/>
      <c r="U26" s="36"/>
      <c r="V26" s="36"/>
      <c r="W26" s="29"/>
      <c r="X26" s="29"/>
      <c r="Y26" s="71"/>
      <c r="Z26" s="40"/>
      <c r="AA26" s="16"/>
      <c r="AB26" s="36"/>
      <c r="AD26" s="146"/>
      <c r="AE26" s="29"/>
    </row>
    <row r="27" spans="2:31" ht="15" customHeight="1" x14ac:dyDescent="0.3">
      <c r="B27" s="11">
        <v>19</v>
      </c>
      <c r="C27" s="104"/>
      <c r="D27" s="83"/>
      <c r="E27" s="117"/>
      <c r="F27" s="117"/>
      <c r="G27" s="45">
        <v>0</v>
      </c>
      <c r="H27" s="45">
        <v>0</v>
      </c>
      <c r="I27" s="45">
        <v>0</v>
      </c>
      <c r="J27" s="45">
        <v>0</v>
      </c>
      <c r="K27" s="52">
        <v>0</v>
      </c>
      <c r="L27" s="45">
        <f t="shared" si="0"/>
        <v>0</v>
      </c>
      <c r="M27" s="36"/>
      <c r="N27" s="36"/>
      <c r="O27" s="29"/>
      <c r="P27" s="1"/>
      <c r="Q27" s="1"/>
      <c r="R27" s="130"/>
      <c r="S27" s="1"/>
      <c r="T27" s="1"/>
      <c r="U27" s="36"/>
      <c r="V27" s="36"/>
      <c r="W27" s="29"/>
      <c r="X27" s="29"/>
      <c r="Y27" s="71"/>
      <c r="Z27" s="40"/>
      <c r="AA27" s="16"/>
      <c r="AB27" s="36"/>
      <c r="AD27" s="146"/>
      <c r="AE27" s="29"/>
    </row>
    <row r="28" spans="2:31" ht="15" customHeight="1" x14ac:dyDescent="0.3">
      <c r="B28" s="11">
        <v>20</v>
      </c>
      <c r="C28" s="104"/>
      <c r="D28" s="83"/>
      <c r="E28" s="117"/>
      <c r="F28" s="117"/>
      <c r="G28" s="45">
        <v>0</v>
      </c>
      <c r="H28" s="45">
        <v>0</v>
      </c>
      <c r="I28" s="45">
        <v>0</v>
      </c>
      <c r="J28" s="45">
        <v>0</v>
      </c>
      <c r="K28" s="52">
        <v>0</v>
      </c>
      <c r="L28" s="45">
        <f t="shared" si="0"/>
        <v>0</v>
      </c>
      <c r="M28" s="36"/>
      <c r="N28" s="36"/>
      <c r="O28" s="29"/>
      <c r="P28" s="1"/>
      <c r="Q28" s="1"/>
      <c r="R28" s="130"/>
      <c r="S28" s="1"/>
      <c r="T28" s="1"/>
      <c r="U28" s="36"/>
      <c r="V28" s="36"/>
      <c r="W28" s="29"/>
      <c r="X28" s="29"/>
      <c r="Y28" s="71"/>
      <c r="Z28" s="40"/>
      <c r="AA28" s="16"/>
      <c r="AB28" s="36"/>
      <c r="AD28" s="146"/>
      <c r="AE28" s="29"/>
    </row>
    <row r="29" spans="2:31" ht="15" customHeight="1" x14ac:dyDescent="0.3">
      <c r="B29" s="11">
        <v>21</v>
      </c>
      <c r="C29" s="104"/>
      <c r="D29" s="83"/>
      <c r="E29" s="117"/>
      <c r="F29" s="117"/>
      <c r="G29" s="45">
        <v>0</v>
      </c>
      <c r="H29" s="45">
        <v>0</v>
      </c>
      <c r="I29" s="45">
        <v>0</v>
      </c>
      <c r="J29" s="45">
        <v>0</v>
      </c>
      <c r="K29" s="52">
        <v>0</v>
      </c>
      <c r="L29" s="45">
        <f t="shared" si="0"/>
        <v>0</v>
      </c>
      <c r="M29" s="36"/>
      <c r="N29" s="36"/>
      <c r="O29" s="29"/>
      <c r="P29" s="1"/>
      <c r="Q29" s="1"/>
      <c r="R29" s="130"/>
      <c r="S29" s="1"/>
      <c r="T29" s="1"/>
      <c r="U29" s="36"/>
      <c r="V29" s="36"/>
      <c r="W29" s="29"/>
      <c r="X29" s="29"/>
      <c r="Y29" s="71"/>
      <c r="Z29" s="40"/>
      <c r="AA29" s="16"/>
      <c r="AB29" s="36"/>
      <c r="AD29" s="146"/>
      <c r="AE29" s="29"/>
    </row>
    <row r="30" spans="2:31" ht="15" customHeight="1" x14ac:dyDescent="0.3">
      <c r="B30" s="11">
        <v>22</v>
      </c>
      <c r="C30" s="104"/>
      <c r="D30" s="83"/>
      <c r="E30" s="117"/>
      <c r="F30" s="117"/>
      <c r="G30" s="45">
        <v>0</v>
      </c>
      <c r="H30" s="45">
        <v>0</v>
      </c>
      <c r="I30" s="45">
        <v>0</v>
      </c>
      <c r="J30" s="45">
        <v>0</v>
      </c>
      <c r="K30" s="52">
        <v>0</v>
      </c>
      <c r="L30" s="45">
        <f t="shared" si="0"/>
        <v>0</v>
      </c>
      <c r="M30" s="36"/>
      <c r="N30" s="36"/>
      <c r="O30" s="29"/>
      <c r="P30" s="1"/>
      <c r="Q30" s="1"/>
      <c r="R30" s="130"/>
      <c r="S30" s="1"/>
      <c r="T30" s="1"/>
      <c r="U30" s="36"/>
      <c r="V30" s="36"/>
      <c r="W30" s="29"/>
      <c r="X30" s="29"/>
      <c r="Y30" s="71"/>
      <c r="Z30" s="40"/>
      <c r="AA30" s="16"/>
      <c r="AB30" s="36"/>
      <c r="AD30" s="146"/>
      <c r="AE30" s="29"/>
    </row>
    <row r="31" spans="2:31" ht="15" customHeight="1" x14ac:dyDescent="0.3">
      <c r="B31" s="11">
        <v>23</v>
      </c>
      <c r="C31" s="104"/>
      <c r="D31" s="83"/>
      <c r="E31" s="117"/>
      <c r="F31" s="117"/>
      <c r="G31" s="45">
        <v>0</v>
      </c>
      <c r="H31" s="45">
        <v>0</v>
      </c>
      <c r="I31" s="45">
        <v>0</v>
      </c>
      <c r="J31" s="45">
        <v>0</v>
      </c>
      <c r="K31" s="52">
        <v>0</v>
      </c>
      <c r="L31" s="45">
        <f t="shared" si="0"/>
        <v>0</v>
      </c>
      <c r="M31" s="36"/>
      <c r="N31" s="36"/>
      <c r="O31" s="29"/>
      <c r="P31" s="1"/>
      <c r="Q31" s="1"/>
      <c r="R31" s="130"/>
      <c r="S31" s="1"/>
      <c r="T31" s="1"/>
      <c r="U31" s="36"/>
      <c r="V31" s="36"/>
      <c r="W31" s="29"/>
      <c r="X31" s="29"/>
      <c r="Y31" s="71"/>
      <c r="Z31" s="40"/>
      <c r="AA31" s="16"/>
      <c r="AB31" s="36"/>
      <c r="AD31" s="146"/>
      <c r="AE31" s="29"/>
    </row>
    <row r="32" spans="2:31" ht="15" customHeight="1" x14ac:dyDescent="0.3">
      <c r="B32" s="11">
        <v>24</v>
      </c>
      <c r="C32" s="104"/>
      <c r="D32" s="83"/>
      <c r="E32" s="117"/>
      <c r="F32" s="117"/>
      <c r="G32" s="45">
        <v>0</v>
      </c>
      <c r="H32" s="45">
        <v>0</v>
      </c>
      <c r="I32" s="45">
        <v>0</v>
      </c>
      <c r="J32" s="45">
        <v>0</v>
      </c>
      <c r="K32" s="52">
        <v>0</v>
      </c>
      <c r="L32" s="45">
        <f t="shared" si="0"/>
        <v>0</v>
      </c>
      <c r="M32" s="36"/>
      <c r="N32" s="36"/>
      <c r="O32" s="29"/>
      <c r="P32" s="1"/>
      <c r="Q32" s="1"/>
      <c r="R32" s="130"/>
      <c r="S32" s="1"/>
      <c r="T32" s="1"/>
      <c r="U32" s="36"/>
      <c r="V32" s="36"/>
      <c r="W32" s="29"/>
      <c r="X32" s="29"/>
      <c r="Y32" s="71"/>
      <c r="Z32" s="40"/>
      <c r="AA32" s="16"/>
      <c r="AB32" s="36"/>
      <c r="AD32" s="146"/>
      <c r="AE32" s="29"/>
    </row>
    <row r="33" spans="2:31" ht="15" customHeight="1" x14ac:dyDescent="0.3">
      <c r="B33" s="11">
        <v>25</v>
      </c>
      <c r="C33" s="104"/>
      <c r="D33" s="83"/>
      <c r="E33" s="117"/>
      <c r="F33" s="117"/>
      <c r="G33" s="45">
        <v>0</v>
      </c>
      <c r="H33" s="45">
        <v>0</v>
      </c>
      <c r="I33" s="45">
        <v>0</v>
      </c>
      <c r="J33" s="45">
        <v>0</v>
      </c>
      <c r="K33" s="52">
        <v>0</v>
      </c>
      <c r="L33" s="45">
        <f t="shared" si="0"/>
        <v>0</v>
      </c>
      <c r="M33" s="36"/>
      <c r="N33" s="36"/>
      <c r="O33" s="29"/>
      <c r="P33" s="1"/>
      <c r="Q33" s="1"/>
      <c r="R33" s="130"/>
      <c r="S33" s="1"/>
      <c r="T33" s="1"/>
      <c r="U33" s="36"/>
      <c r="V33" s="36"/>
      <c r="W33" s="29"/>
      <c r="X33" s="29"/>
      <c r="Y33" s="71"/>
      <c r="Z33" s="40"/>
      <c r="AA33" s="16"/>
      <c r="AB33" s="36"/>
      <c r="AD33" s="146"/>
      <c r="AE33" s="29"/>
    </row>
    <row r="34" spans="2:31" ht="15" customHeight="1" x14ac:dyDescent="0.3">
      <c r="B34" s="11">
        <v>26</v>
      </c>
      <c r="C34" s="104"/>
      <c r="D34" s="83"/>
      <c r="E34" s="117"/>
      <c r="F34" s="117"/>
      <c r="G34" s="45">
        <v>0</v>
      </c>
      <c r="H34" s="45">
        <v>0</v>
      </c>
      <c r="I34" s="45">
        <v>0</v>
      </c>
      <c r="J34" s="45">
        <v>0</v>
      </c>
      <c r="K34" s="52">
        <v>0</v>
      </c>
      <c r="L34" s="45">
        <f t="shared" si="0"/>
        <v>0</v>
      </c>
      <c r="M34" s="36"/>
      <c r="N34" s="36"/>
      <c r="O34" s="29"/>
      <c r="P34" s="1"/>
      <c r="Q34" s="1"/>
      <c r="R34" s="130"/>
      <c r="S34" s="1"/>
      <c r="T34" s="1"/>
      <c r="U34" s="36"/>
      <c r="V34" s="36"/>
      <c r="W34" s="29"/>
      <c r="X34" s="29"/>
      <c r="Y34" s="71"/>
      <c r="Z34" s="40"/>
      <c r="AA34" s="16"/>
      <c r="AB34" s="36"/>
      <c r="AD34" s="146"/>
      <c r="AE34" s="29"/>
    </row>
    <row r="35" spans="2:31" ht="15" customHeight="1" x14ac:dyDescent="0.3">
      <c r="B35" s="11">
        <v>27</v>
      </c>
      <c r="C35" s="104"/>
      <c r="D35" s="85"/>
      <c r="E35" s="117"/>
      <c r="F35" s="117"/>
      <c r="G35" s="45">
        <v>0</v>
      </c>
      <c r="H35" s="45">
        <v>0</v>
      </c>
      <c r="I35" s="45">
        <v>0</v>
      </c>
      <c r="J35" s="45">
        <v>0</v>
      </c>
      <c r="K35" s="52">
        <v>0</v>
      </c>
      <c r="L35" s="45">
        <f t="shared" si="0"/>
        <v>0</v>
      </c>
      <c r="M35" s="36"/>
      <c r="N35" s="36"/>
      <c r="O35" s="29"/>
      <c r="P35" s="1"/>
      <c r="Q35" s="1"/>
      <c r="R35" s="130"/>
      <c r="S35" s="1"/>
      <c r="T35" s="1"/>
      <c r="U35" s="36"/>
      <c r="V35" s="36"/>
      <c r="W35" s="29"/>
      <c r="X35" s="29"/>
      <c r="Y35" s="29"/>
      <c r="Z35" s="40"/>
      <c r="AA35" s="16"/>
      <c r="AB35" s="36"/>
      <c r="AD35" s="146"/>
      <c r="AE35" s="29"/>
    </row>
    <row r="36" spans="2:31" ht="15" customHeight="1" x14ac:dyDescent="0.3">
      <c r="B36" s="11">
        <v>28</v>
      </c>
      <c r="C36" s="104"/>
      <c r="D36" s="83"/>
      <c r="E36" s="117"/>
      <c r="F36" s="117"/>
      <c r="G36" s="45">
        <v>0</v>
      </c>
      <c r="H36" s="45">
        <v>0</v>
      </c>
      <c r="I36" s="45">
        <v>0</v>
      </c>
      <c r="J36" s="45">
        <v>0</v>
      </c>
      <c r="K36" s="52">
        <v>0</v>
      </c>
      <c r="L36" s="45">
        <f t="shared" si="0"/>
        <v>0</v>
      </c>
      <c r="M36" s="36"/>
      <c r="N36" s="36"/>
      <c r="O36" s="29"/>
      <c r="P36" s="1"/>
      <c r="Q36" s="1"/>
      <c r="R36" s="130"/>
      <c r="S36" s="1"/>
      <c r="T36" s="1"/>
      <c r="U36" s="36"/>
      <c r="V36" s="36"/>
      <c r="W36" s="29"/>
      <c r="X36" s="29"/>
      <c r="Y36" s="71"/>
      <c r="Z36" s="40"/>
      <c r="AA36" s="16"/>
      <c r="AB36" s="36"/>
      <c r="AD36" s="146"/>
      <c r="AE36" s="29"/>
    </row>
    <row r="37" spans="2:31" ht="15" customHeight="1" x14ac:dyDescent="0.3">
      <c r="B37" s="11">
        <v>29</v>
      </c>
      <c r="C37" s="104"/>
      <c r="D37" s="85"/>
      <c r="E37" s="117"/>
      <c r="F37" s="117"/>
      <c r="G37" s="45">
        <v>0</v>
      </c>
      <c r="H37" s="45">
        <v>0</v>
      </c>
      <c r="I37" s="45">
        <v>0</v>
      </c>
      <c r="J37" s="45">
        <v>0</v>
      </c>
      <c r="K37" s="52">
        <v>0</v>
      </c>
      <c r="L37" s="45">
        <f t="shared" si="0"/>
        <v>0</v>
      </c>
      <c r="M37" s="36"/>
      <c r="N37" s="36"/>
      <c r="O37" s="29"/>
      <c r="P37" s="1"/>
      <c r="Q37" s="1"/>
      <c r="R37" s="130"/>
      <c r="S37" s="1"/>
      <c r="T37" s="1"/>
      <c r="U37" s="36"/>
      <c r="V37" s="36"/>
      <c r="W37" s="29"/>
      <c r="X37" s="29"/>
      <c r="Y37" s="29"/>
      <c r="Z37" s="40"/>
      <c r="AA37" s="16"/>
      <c r="AB37" s="36"/>
      <c r="AD37" s="146"/>
      <c r="AE37" s="29"/>
    </row>
    <row r="38" spans="2:31" ht="15" customHeight="1" x14ac:dyDescent="0.3">
      <c r="B38" s="11">
        <v>30</v>
      </c>
      <c r="C38" s="104"/>
      <c r="D38" s="85"/>
      <c r="E38" s="117"/>
      <c r="F38" s="117"/>
      <c r="G38" s="45">
        <v>0</v>
      </c>
      <c r="H38" s="45">
        <v>0</v>
      </c>
      <c r="I38" s="45">
        <v>0</v>
      </c>
      <c r="J38" s="45">
        <v>0</v>
      </c>
      <c r="K38" s="52">
        <v>0</v>
      </c>
      <c r="L38" s="45">
        <f t="shared" si="0"/>
        <v>0</v>
      </c>
      <c r="M38" s="36"/>
      <c r="N38" s="36"/>
      <c r="O38" s="29"/>
      <c r="P38" s="1"/>
      <c r="Q38" s="1"/>
      <c r="R38" s="130"/>
      <c r="S38" s="1"/>
      <c r="T38" s="1"/>
      <c r="U38" s="36"/>
      <c r="V38" s="36"/>
      <c r="W38" s="29"/>
      <c r="X38" s="29"/>
      <c r="Y38" s="29"/>
      <c r="Z38" s="40"/>
      <c r="AA38" s="16"/>
      <c r="AB38" s="36"/>
      <c r="AD38" s="146"/>
      <c r="AE38" s="29"/>
    </row>
    <row r="39" spans="2:31" x14ac:dyDescent="0.3">
      <c r="B39" s="11"/>
      <c r="C39" s="106"/>
      <c r="D39" s="16"/>
      <c r="E39" s="117"/>
      <c r="F39" s="117"/>
      <c r="G39" s="45">
        <v>0</v>
      </c>
      <c r="H39" s="45">
        <v>0</v>
      </c>
      <c r="I39" s="45">
        <v>0</v>
      </c>
      <c r="J39" s="45">
        <v>0</v>
      </c>
      <c r="K39" s="52">
        <v>0</v>
      </c>
      <c r="L39" s="45">
        <f t="shared" si="0"/>
        <v>0</v>
      </c>
      <c r="M39" s="36"/>
      <c r="N39" s="36"/>
      <c r="O39" s="29"/>
      <c r="P39" s="1"/>
      <c r="Q39" s="1"/>
      <c r="R39" s="130"/>
      <c r="S39" s="1"/>
      <c r="T39" s="1"/>
      <c r="U39" s="36"/>
      <c r="V39" s="36"/>
      <c r="W39" s="29"/>
      <c r="X39" s="29"/>
      <c r="Y39" s="29"/>
      <c r="Z39" s="40"/>
      <c r="AA39" s="16"/>
      <c r="AB39" s="36"/>
      <c r="AD39" s="146"/>
      <c r="AE39" s="29"/>
    </row>
    <row r="40" spans="2:31" x14ac:dyDescent="0.3">
      <c r="C40" s="102"/>
      <c r="D40" s="59"/>
      <c r="E40" s="78"/>
      <c r="F40" s="78"/>
      <c r="G40" s="77">
        <f t="shared" ref="G40:L40" si="1">SUBTOTAL(9,G9:G39)</f>
        <v>0</v>
      </c>
      <c r="H40" s="77">
        <f t="shared" si="1"/>
        <v>0</v>
      </c>
      <c r="I40" s="77">
        <f t="shared" si="1"/>
        <v>0</v>
      </c>
      <c r="J40" s="77">
        <f t="shared" si="1"/>
        <v>0</v>
      </c>
      <c r="K40" s="77">
        <f t="shared" si="1"/>
        <v>0</v>
      </c>
      <c r="L40" s="77">
        <f t="shared" si="1"/>
        <v>0</v>
      </c>
      <c r="M40" s="68"/>
      <c r="N40" s="140"/>
      <c r="O40" s="140"/>
      <c r="P40" s="17"/>
      <c r="Q40" s="30">
        <f>SUBTOTAL(2,Q9:Q39)</f>
        <v>0</v>
      </c>
      <c r="R40" s="18"/>
      <c r="S40" s="19"/>
      <c r="T40" s="34"/>
      <c r="U40" s="34"/>
      <c r="V40" s="19"/>
      <c r="W40" s="19"/>
      <c r="X40" s="19"/>
      <c r="Y40" s="19"/>
      <c r="Z40" s="34"/>
      <c r="AA40" s="22"/>
      <c r="AB40" s="37"/>
      <c r="AD40" s="270"/>
      <c r="AE40" s="270"/>
    </row>
    <row r="41" spans="2:31" x14ac:dyDescent="0.3">
      <c r="G41" s="50"/>
      <c r="H41" s="50"/>
      <c r="I41" s="50"/>
      <c r="J41" s="50"/>
      <c r="K41" s="50"/>
      <c r="L41" s="50"/>
    </row>
    <row r="42" spans="2:31" x14ac:dyDescent="0.3">
      <c r="G42" s="50"/>
      <c r="H42" s="50"/>
      <c r="I42" s="50"/>
      <c r="J42" s="50"/>
      <c r="K42" s="50"/>
      <c r="L42" s="50"/>
    </row>
    <row r="43" spans="2:31" ht="15.75" customHeight="1" thickBot="1" x14ac:dyDescent="0.35">
      <c r="C43" s="103"/>
      <c r="D43" s="20"/>
      <c r="E43" s="28"/>
      <c r="F43" s="28"/>
      <c r="G43" s="291"/>
      <c r="H43" s="291" t="s">
        <v>219</v>
      </c>
      <c r="I43" s="291" t="s">
        <v>219</v>
      </c>
      <c r="J43" s="291" t="s">
        <v>219</v>
      </c>
      <c r="K43" s="291" t="s">
        <v>219</v>
      </c>
      <c r="L43" s="72">
        <f>SUM(L9:L39)</f>
        <v>0</v>
      </c>
      <c r="M43" s="73"/>
      <c r="N43" s="73"/>
      <c r="O43" s="141"/>
      <c r="P43" s="14"/>
      <c r="R43" s="14"/>
      <c r="S43" s="14"/>
      <c r="T43" s="35"/>
      <c r="U43" s="35"/>
      <c r="V43" s="14"/>
      <c r="W43" s="14"/>
      <c r="X43" s="14"/>
      <c r="Y43" s="14"/>
      <c r="Z43" s="35"/>
      <c r="AA43" s="3"/>
    </row>
    <row r="44" spans="2:31" ht="15.75" customHeight="1" thickTop="1" x14ac:dyDescent="0.3">
      <c r="R44" s="14"/>
    </row>
    <row r="47" spans="2:31" x14ac:dyDescent="0.3">
      <c r="D47" s="127" t="s">
        <v>55</v>
      </c>
      <c r="E47" s="128"/>
      <c r="F47" s="128"/>
      <c r="G47" s="129"/>
      <c r="H47" s="8"/>
      <c r="J47" s="403" t="s">
        <v>56</v>
      </c>
      <c r="K47" s="404"/>
      <c r="L47" s="405"/>
      <c r="M47" s="8"/>
      <c r="N47" s="8"/>
      <c r="O47" s="8"/>
    </row>
    <row r="48" spans="2:31" x14ac:dyDescent="0.3">
      <c r="D48" s="16" t="s">
        <v>57</v>
      </c>
      <c r="E48" s="90" t="s">
        <v>58</v>
      </c>
      <c r="F48" s="90" t="s">
        <v>58</v>
      </c>
      <c r="G48" s="91" t="s">
        <v>59</v>
      </c>
      <c r="H48" s="89"/>
      <c r="J48" s="16" t="s">
        <v>57</v>
      </c>
      <c r="K48" s="90" t="s">
        <v>58</v>
      </c>
      <c r="L48" s="91" t="s">
        <v>59</v>
      </c>
      <c r="M48" s="8"/>
      <c r="N48" s="8"/>
      <c r="O48" s="8"/>
    </row>
    <row r="49" spans="4:15" x14ac:dyDescent="0.3">
      <c r="D49" s="92">
        <f>SUMIF($AA$9:$AA$38,D48,$L$9:$L$39)</f>
        <v>0</v>
      </c>
      <c r="E49" s="92">
        <f>SUMIF($AA$9:$AA$38,E48,$L$9:$L$39)</f>
        <v>0</v>
      </c>
      <c r="F49" s="92">
        <f>SUMIF($AA$9:$AA$38,F48,$L$9:$L$39)</f>
        <v>0</v>
      </c>
      <c r="G49" s="92">
        <f>SUMIF($AA$9:$AA$38,G48,$L$10:$L$40)</f>
        <v>0</v>
      </c>
      <c r="H49" s="93">
        <f>SUM(D49:G49)</f>
        <v>0</v>
      </c>
      <c r="J49" s="92">
        <f>SUMIF($AA$9:$AA$38,J48,$K$9:$K$38)</f>
        <v>0</v>
      </c>
      <c r="K49" s="92">
        <f>SUMIF($AA$9:$AA$38,K48,$K$9:$K$38)</f>
        <v>0</v>
      </c>
      <c r="L49" s="92">
        <f>SUMIF($AA$9:$AA$38,L48,$K$9:$K$38)</f>
        <v>0</v>
      </c>
      <c r="M49" s="93">
        <f>SUM(J49:L49)</f>
        <v>0</v>
      </c>
      <c r="N49" s="8"/>
      <c r="O49" s="8"/>
    </row>
    <row r="50" spans="4:15" x14ac:dyDescent="0.3">
      <c r="H50" s="95">
        <f>L43-H49</f>
        <v>0</v>
      </c>
      <c r="J50" s="32"/>
      <c r="K50" s="32"/>
      <c r="L50" s="142"/>
      <c r="M50" s="95" t="e">
        <f>K43-M49</f>
        <v>#VALUE!</v>
      </c>
      <c r="N50" s="8"/>
      <c r="O50" s="8"/>
    </row>
    <row r="51" spans="4:15" x14ac:dyDescent="0.3">
      <c r="D51" s="46"/>
      <c r="E51" s="46"/>
      <c r="F51" s="46"/>
      <c r="H51" s="66"/>
      <c r="L51" s="8"/>
      <c r="M51" s="8"/>
      <c r="O51" s="8"/>
    </row>
    <row r="52" spans="4:15" x14ac:dyDescent="0.3">
      <c r="H52" s="119" t="s">
        <v>60</v>
      </c>
      <c r="I52" s="46">
        <f>G49</f>
        <v>0</v>
      </c>
      <c r="L52" s="119"/>
      <c r="N52" s="8"/>
      <c r="O52" s="8"/>
    </row>
    <row r="53" spans="4:15" ht="15.75" customHeight="1" thickBot="1" x14ac:dyDescent="0.35">
      <c r="H53" s="120" t="s">
        <v>61</v>
      </c>
      <c r="I53" s="97">
        <f>D49+E49+J49+K49+L49</f>
        <v>0</v>
      </c>
      <c r="L53" s="119"/>
      <c r="N53" s="8"/>
      <c r="O53" s="8"/>
    </row>
    <row r="54" spans="4:15" ht="15.75" customHeight="1" thickTop="1" x14ac:dyDescent="0.3">
      <c r="H54" s="119" t="s">
        <v>62</v>
      </c>
      <c r="I54" s="46">
        <f>SUM(I52:I53)</f>
        <v>0</v>
      </c>
      <c r="L54" s="119"/>
      <c r="N54" s="8"/>
      <c r="O54" s="8"/>
    </row>
    <row r="55" spans="4:15" x14ac:dyDescent="0.3">
      <c r="I55" s="95">
        <f>G43-I54</f>
        <v>0</v>
      </c>
      <c r="L55" s="119"/>
      <c r="M55" s="8"/>
      <c r="N55" s="8"/>
      <c r="O55" s="8"/>
    </row>
    <row r="56" spans="4:15" x14ac:dyDescent="0.3">
      <c r="J56" s="66"/>
      <c r="K56" s="66"/>
      <c r="L56" s="116"/>
      <c r="M56" s="8"/>
      <c r="N56" s="8"/>
      <c r="O56" s="8"/>
    </row>
    <row r="57" spans="4:15" x14ac:dyDescent="0.3">
      <c r="J57" s="66"/>
      <c r="K57" s="66"/>
      <c r="L57" s="116"/>
      <c r="M57" s="8"/>
      <c r="N57" s="8"/>
      <c r="O57" s="8"/>
    </row>
  </sheetData>
  <mergeCells count="2">
    <mergeCell ref="J47:L47"/>
    <mergeCell ref="B1:AB1"/>
  </mergeCells>
  <conditionalFormatting sqref="D48">
    <cfRule type="cellIs" dxfId="145" priority="14" operator="equal">
      <formula>"NO-OOS"</formula>
    </cfRule>
    <cfRule type="cellIs" dxfId="144" priority="15" operator="equal">
      <formula>"NO-CO"</formula>
    </cfRule>
    <cfRule type="cellIs" dxfId="143" priority="16" operator="equal">
      <formula>"YES"</formula>
    </cfRule>
    <cfRule type="cellIs" dxfId="142" priority="17" operator="equal">
      <formula>"NO"</formula>
    </cfRule>
  </conditionalFormatting>
  <conditionalFormatting sqref="J48">
    <cfRule type="cellIs" dxfId="141" priority="9" operator="equal">
      <formula>"NO-OOS"</formula>
    </cfRule>
    <cfRule type="cellIs" dxfId="140" priority="10" operator="equal">
      <formula>"NO-CO"</formula>
    </cfRule>
    <cfRule type="cellIs" dxfId="139" priority="11" operator="equal">
      <formula>"YES"</formula>
    </cfRule>
    <cfRule type="cellIs" dxfId="138" priority="12" operator="equal">
      <formula>"NO"</formula>
    </cfRule>
  </conditionalFormatting>
  <conditionalFormatting sqref="O9:O39">
    <cfRule type="cellIs" dxfId="137" priority="4" operator="equal">
      <formula>"NO"</formula>
    </cfRule>
    <cfRule type="cellIs" dxfId="136" priority="5" operator="equal">
      <formula>"YES"</formula>
    </cfRule>
  </conditionalFormatting>
  <conditionalFormatting sqref="R9:R39">
    <cfRule type="cellIs" dxfId="135" priority="6" operator="equal">
      <formula>"N/A"</formula>
    </cfRule>
    <cfRule type="cellIs" dxfId="134" priority="7" operator="equal">
      <formula>"YES"</formula>
    </cfRule>
    <cfRule type="cellIs" dxfId="133" priority="8" operator="equal">
      <formula>"NO"</formula>
    </cfRule>
  </conditionalFormatting>
  <conditionalFormatting sqref="AA9:AA39">
    <cfRule type="cellIs" dxfId="132" priority="19" operator="equal">
      <formula>"NO-OOS"</formula>
    </cfRule>
    <cfRule type="cellIs" dxfId="131" priority="20" operator="equal">
      <formula>"NO-TX"</formula>
    </cfRule>
    <cfRule type="cellIs" dxfId="130" priority="21" operator="equal">
      <formula>"YES"</formula>
    </cfRule>
  </conditionalFormatting>
  <conditionalFormatting sqref="AD9:AD39">
    <cfRule type="cellIs" dxfId="129" priority="1" operator="equal">
      <formula>"N/A"</formula>
    </cfRule>
    <cfRule type="cellIs" dxfId="128" priority="2" operator="equal">
      <formula>"YES"</formula>
    </cfRule>
    <cfRule type="cellIs" dxfId="127" priority="3" operator="equal">
      <formula>"NO"</formula>
    </cfRule>
  </conditionalFormatting>
  <dataValidations count="1">
    <dataValidation type="list" allowBlank="1" showInputMessage="1" showErrorMessage="1" sqref="D48 J48 AC2:AC6" xr:uid="{00000000-0002-0000-0500-000000000000}"/>
  </dataValidations>
  <hyperlinks>
    <hyperlink ref="H43" location="'Comm Summary'!A1" display="'Comm Summary'!A1" xr:uid="{00000000-0004-0000-0500-000000000000}"/>
    <hyperlink ref="I43" location="'Comm Summary'!A1" display="'Comm Summary'!A1" xr:uid="{00000000-0004-0000-0500-000001000000}"/>
    <hyperlink ref="J43" location="'Comm Summary'!A1" display="'Comm Summary'!A1" xr:uid="{00000000-0004-0000-0500-000002000000}"/>
    <hyperlink ref="K43" location="'Comm Summary'!A1" display="'Comm Summary'!A1" xr:uid="{00000000-0004-0000-0500-000003000000}"/>
    <hyperlink ref="L43" location="'Comm Summary'!A1" display="'Comm Summary'!A1" xr:uid="{00000000-0004-0000-0500-000004000000}"/>
  </hyperlinks>
  <pageMargins left="0.45" right="0.45" top="0.75" bottom="0.75" header="0.3" footer="0.3"/>
  <pageSetup scale="2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CFF"/>
    <pageSetUpPr fitToPage="1"/>
  </sheetPr>
  <dimension ref="A1:AR70"/>
  <sheetViews>
    <sheetView zoomScale="90" zoomScaleNormal="90" workbookViewId="0">
      <pane xSplit="2" ySplit="8" topLeftCell="C9" activePane="bottomRight" state="frozen"/>
      <selection activeCell="T4" sqref="T4"/>
      <selection pane="topRight" activeCell="T4" sqref="T4"/>
      <selection pane="bottomLeft" activeCell="T4" sqref="T4"/>
      <selection pane="bottomRight" activeCell="E13" sqref="E13"/>
    </sheetView>
  </sheetViews>
  <sheetFormatPr defaultColWidth="9.109375" defaultRowHeight="14.4" x14ac:dyDescent="0.3"/>
  <cols>
    <col min="1" max="1" width="7.33203125" customWidth="1"/>
    <col min="2" max="4" width="9.109375" style="9" customWidth="1"/>
    <col min="5" max="5" width="14.88671875" style="101" customWidth="1"/>
    <col min="6" max="6" width="18.6640625" style="27" customWidth="1"/>
    <col min="7" max="7" width="22.33203125" style="27" customWidth="1"/>
    <col min="8" max="8" width="34.88671875" customWidth="1"/>
    <col min="9" max="9" width="19.6640625" style="8" customWidth="1"/>
    <col min="10" max="10" width="20.6640625" style="101" customWidth="1"/>
    <col min="11" max="12" width="16.109375" style="8" customWidth="1"/>
    <col min="13" max="23" width="19.33203125" style="42" customWidth="1"/>
    <col min="24" max="26" width="19.33203125" style="8" customWidth="1"/>
    <col min="27" max="27" width="26.33203125" style="8" customWidth="1"/>
    <col min="28" max="28" width="12.88671875" style="8" customWidth="1"/>
    <col min="29" max="29" width="13.5546875" style="61" customWidth="1"/>
    <col min="30" max="30" width="20.6640625" customWidth="1"/>
    <col min="31" max="31" width="44.33203125" customWidth="1"/>
    <col min="32" max="32" width="14.109375" style="8" customWidth="1"/>
    <col min="33" max="33" width="10.109375" style="8" customWidth="1"/>
    <col min="34" max="34" width="8.33203125" style="8" customWidth="1"/>
    <col min="35" max="35" width="53.5546875" bestFit="1" customWidth="1"/>
    <col min="37" max="37" width="13.33203125" style="342" bestFit="1" customWidth="1"/>
    <col min="38" max="38" width="12" style="342" customWidth="1"/>
    <col min="39" max="39" width="13.33203125" style="342" bestFit="1" customWidth="1"/>
    <col min="40" max="40" width="10.33203125" style="342" bestFit="1" customWidth="1"/>
    <col min="41" max="41" width="9.109375" style="342" customWidth="1"/>
    <col min="42" max="42" width="11.109375" style="344" bestFit="1" customWidth="1"/>
    <col min="43" max="44" width="9.109375" style="342" customWidth="1"/>
  </cols>
  <sheetData>
    <row r="1" spans="1:44" ht="15.75" customHeight="1" x14ac:dyDescent="0.3">
      <c r="A1" s="407"/>
      <c r="B1" s="408"/>
      <c r="C1" s="408"/>
      <c r="D1" s="408"/>
      <c r="E1" s="409"/>
      <c r="F1" s="401"/>
      <c r="G1" s="401"/>
      <c r="H1" s="392"/>
      <c r="I1" s="402"/>
      <c r="J1" s="409"/>
      <c r="K1" s="402"/>
      <c r="L1" s="402"/>
      <c r="M1" s="410"/>
      <c r="N1" s="410"/>
      <c r="O1" s="410"/>
      <c r="P1" s="410"/>
      <c r="Q1" s="410"/>
      <c r="R1" s="410"/>
      <c r="S1" s="410"/>
      <c r="T1" s="410"/>
      <c r="U1" s="410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341"/>
      <c r="AL1" s="341"/>
    </row>
    <row r="2" spans="1:44" ht="15.75" customHeight="1" x14ac:dyDescent="0.3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25"/>
      <c r="N2" s="25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31"/>
      <c r="AE2" s="31"/>
      <c r="AF2" s="113"/>
      <c r="AG2" s="113"/>
      <c r="AH2" s="113"/>
      <c r="AI2" s="31"/>
      <c r="AJ2" s="31"/>
      <c r="AK2" s="341"/>
      <c r="AL2" s="363"/>
    </row>
    <row r="3" spans="1:44" ht="18.75" customHeight="1" x14ac:dyDescent="0.35">
      <c r="E3" s="9"/>
      <c r="F3" s="15"/>
      <c r="G3" s="15"/>
      <c r="H3" s="23"/>
      <c r="I3" s="23"/>
      <c r="J3" s="8"/>
      <c r="Q3" s="222"/>
      <c r="R3" s="222"/>
      <c r="S3" s="222"/>
      <c r="V3" s="416" t="s">
        <v>220</v>
      </c>
      <c r="W3" s="410"/>
      <c r="X3" s="402"/>
      <c r="Y3" s="402"/>
      <c r="AD3" s="32"/>
      <c r="AE3" s="32"/>
      <c r="AI3" s="32"/>
      <c r="AJ3" s="32"/>
      <c r="AL3" s="364"/>
    </row>
    <row r="4" spans="1:44" ht="18.75" customHeight="1" x14ac:dyDescent="0.35">
      <c r="E4" s="9"/>
      <c r="F4" s="15"/>
      <c r="G4" s="15"/>
      <c r="H4" s="4"/>
      <c r="I4" s="4"/>
      <c r="J4" s="112"/>
      <c r="K4" s="112"/>
      <c r="L4" s="112"/>
      <c r="V4" s="416" t="s">
        <v>221</v>
      </c>
      <c r="W4" s="410"/>
      <c r="X4" s="402"/>
      <c r="Y4" s="402"/>
      <c r="Z4" s="5"/>
      <c r="AA4" s="173"/>
      <c r="AC4" s="4"/>
      <c r="AD4" s="4"/>
      <c r="AE4" s="4"/>
      <c r="AF4" s="112"/>
      <c r="AG4" s="112"/>
      <c r="AH4" s="112"/>
      <c r="AI4" s="4"/>
      <c r="AJ4" s="4"/>
      <c r="AK4" s="365"/>
      <c r="AL4" s="365"/>
      <c r="AM4" s="365"/>
    </row>
    <row r="5" spans="1:44" ht="18.75" customHeight="1" x14ac:dyDescent="0.35">
      <c r="E5" s="9"/>
      <c r="F5" s="15"/>
      <c r="G5" s="15"/>
      <c r="H5" s="4"/>
      <c r="I5" s="4"/>
      <c r="J5" s="112"/>
      <c r="K5" s="112"/>
      <c r="L5" s="112"/>
      <c r="Q5" s="174" t="s">
        <v>222</v>
      </c>
      <c r="R5" s="174"/>
      <c r="S5" s="174"/>
      <c r="T5" s="175"/>
      <c r="X5" s="5"/>
      <c r="Y5" s="5"/>
      <c r="Z5" s="5"/>
      <c r="AA5" s="173"/>
      <c r="AC5" s="4"/>
      <c r="AD5" s="4"/>
      <c r="AE5" s="4"/>
      <c r="AF5" s="112"/>
      <c r="AG5" s="112"/>
      <c r="AH5" s="112"/>
      <c r="AI5" s="4"/>
      <c r="AJ5" s="4"/>
      <c r="AK5" s="365"/>
      <c r="AL5" s="365"/>
      <c r="AM5" s="365"/>
    </row>
    <row r="6" spans="1:44" ht="18.75" customHeight="1" x14ac:dyDescent="0.35">
      <c r="E6" s="9"/>
      <c r="F6" s="15"/>
      <c r="G6" s="15"/>
      <c r="H6" s="4"/>
      <c r="I6" s="112"/>
      <c r="J6" s="112"/>
      <c r="K6" s="112"/>
      <c r="L6" s="112"/>
      <c r="M6" s="4"/>
      <c r="N6" s="4"/>
      <c r="X6" s="5"/>
      <c r="Y6" s="5"/>
      <c r="Z6" s="5"/>
      <c r="AA6" s="173"/>
      <c r="AC6" s="4"/>
      <c r="AD6" s="4"/>
      <c r="AE6" s="4"/>
      <c r="AF6" s="112"/>
      <c r="AG6" s="112"/>
      <c r="AH6" s="112"/>
      <c r="AI6" s="4"/>
      <c r="AJ6" s="4"/>
      <c r="AK6" s="365"/>
      <c r="AL6" s="365"/>
      <c r="AM6" s="365"/>
    </row>
    <row r="7" spans="1:44" x14ac:dyDescent="0.3">
      <c r="M7" s="176" t="s">
        <v>223</v>
      </c>
      <c r="N7" s="176"/>
      <c r="O7" s="176" t="s">
        <v>223</v>
      </c>
      <c r="P7" s="176"/>
      <c r="Q7" s="176" t="s">
        <v>223</v>
      </c>
      <c r="S7" s="176" t="s">
        <v>223</v>
      </c>
      <c r="T7" s="176" t="s">
        <v>223</v>
      </c>
      <c r="W7" s="176" t="s">
        <v>223</v>
      </c>
      <c r="AB7" s="176" t="s">
        <v>223</v>
      </c>
      <c r="AI7" s="176" t="s">
        <v>223</v>
      </c>
      <c r="AK7" s="406" t="s">
        <v>5</v>
      </c>
      <c r="AL7" s="404"/>
      <c r="AM7" s="405"/>
      <c r="AP7" s="345" t="s">
        <v>6</v>
      </c>
    </row>
    <row r="8" spans="1:44" s="7" customFormat="1" ht="18.75" customHeight="1" x14ac:dyDescent="0.3">
      <c r="B8" s="10" t="s">
        <v>7</v>
      </c>
      <c r="C8" s="10" t="s">
        <v>302</v>
      </c>
      <c r="D8" s="10" t="s">
        <v>301</v>
      </c>
      <c r="E8" s="79" t="s">
        <v>52</v>
      </c>
      <c r="F8" s="26" t="s">
        <v>11</v>
      </c>
      <c r="G8" s="254" t="s">
        <v>224</v>
      </c>
      <c r="H8" s="12" t="s">
        <v>225</v>
      </c>
      <c r="I8" s="12" t="s">
        <v>226</v>
      </c>
      <c r="J8" s="12" t="s">
        <v>16</v>
      </c>
      <c r="K8" s="12" t="s">
        <v>227</v>
      </c>
      <c r="L8" s="12" t="s">
        <v>228</v>
      </c>
      <c r="M8" s="44" t="s">
        <v>229</v>
      </c>
      <c r="N8" s="44" t="s">
        <v>230</v>
      </c>
      <c r="O8" s="48" t="s">
        <v>209</v>
      </c>
      <c r="P8" s="48" t="s">
        <v>210</v>
      </c>
      <c r="Q8" s="44" t="s">
        <v>231</v>
      </c>
      <c r="R8" s="44" t="s">
        <v>232</v>
      </c>
      <c r="S8" s="44" t="s">
        <v>233</v>
      </c>
      <c r="T8" s="44" t="s">
        <v>234</v>
      </c>
      <c r="U8" s="44" t="s">
        <v>32</v>
      </c>
      <c r="V8" s="86" t="s">
        <v>33</v>
      </c>
      <c r="W8" s="79" t="s">
        <v>34</v>
      </c>
      <c r="X8" s="12" t="s">
        <v>212</v>
      </c>
      <c r="Y8" s="12" t="s">
        <v>213</v>
      </c>
      <c r="Z8" s="12" t="s">
        <v>38</v>
      </c>
      <c r="AA8" s="12" t="s">
        <v>39</v>
      </c>
      <c r="AB8" s="12" t="s">
        <v>215</v>
      </c>
      <c r="AC8" s="79" t="s">
        <v>235</v>
      </c>
      <c r="AD8" s="12" t="s">
        <v>41</v>
      </c>
      <c r="AE8" s="12" t="s">
        <v>236</v>
      </c>
      <c r="AF8" s="12" t="s">
        <v>43</v>
      </c>
      <c r="AG8" s="12" t="s">
        <v>44</v>
      </c>
      <c r="AH8" s="12" t="s">
        <v>45</v>
      </c>
      <c r="AI8" s="6" t="s">
        <v>46</v>
      </c>
      <c r="AK8" s="366" t="s">
        <v>49</v>
      </c>
      <c r="AL8" s="350" t="s">
        <v>237</v>
      </c>
      <c r="AM8" s="350" t="s">
        <v>51</v>
      </c>
      <c r="AN8" s="352"/>
      <c r="AO8" s="352"/>
      <c r="AP8" s="351"/>
      <c r="AQ8" s="352"/>
      <c r="AR8" s="352"/>
    </row>
    <row r="9" spans="1:44" ht="15" customHeight="1" x14ac:dyDescent="0.3">
      <c r="A9" s="42"/>
      <c r="B9" s="11">
        <v>1</v>
      </c>
      <c r="C9" s="11"/>
      <c r="D9" s="11"/>
      <c r="E9" s="62"/>
      <c r="F9" s="117"/>
      <c r="G9" s="117"/>
      <c r="H9" s="36"/>
      <c r="I9" s="13"/>
      <c r="J9" s="60"/>
      <c r="K9" s="13"/>
      <c r="L9" s="13"/>
      <c r="M9" s="45"/>
      <c r="N9" s="45"/>
      <c r="O9" s="45"/>
      <c r="P9" s="45"/>
      <c r="Q9" s="45"/>
      <c r="R9" s="45"/>
      <c r="S9" s="45"/>
      <c r="T9" s="45"/>
      <c r="U9" s="45">
        <f t="shared" ref="U9:U39" si="0">SUM(M9:T9)</f>
        <v>0</v>
      </c>
      <c r="V9" s="52">
        <f t="shared" ref="V9:V39" si="1">R9</f>
        <v>0</v>
      </c>
      <c r="W9" s="45">
        <f t="shared" ref="W9:W39" si="2">U9-V9</f>
        <v>0</v>
      </c>
      <c r="X9" s="29"/>
      <c r="Y9" s="29"/>
      <c r="Z9" s="60"/>
      <c r="AA9" s="29"/>
      <c r="AB9" s="13"/>
      <c r="AC9" s="60"/>
      <c r="AD9" s="16"/>
      <c r="AE9" s="16"/>
      <c r="AF9" s="16"/>
      <c r="AG9" s="16"/>
      <c r="AH9" s="16"/>
      <c r="AI9" s="178"/>
      <c r="AK9" s="355">
        <f t="shared" ref="AK9:AK38" si="3">M9+N9+O9</f>
        <v>0</v>
      </c>
      <c r="AL9" s="355">
        <f t="shared" ref="AL9:AL38" si="4">Q9+S9+T9</f>
        <v>0</v>
      </c>
      <c r="AM9" s="355">
        <f t="shared" ref="AM9:AM38" si="5">SUM(AK9:AL9)</f>
        <v>0</v>
      </c>
      <c r="AN9" s="356">
        <f t="shared" ref="AN9:AN38" si="6">AM9-W9</f>
        <v>0</v>
      </c>
      <c r="AP9" s="357">
        <f t="shared" ref="AP9:AP38" si="7">U9-AM9</f>
        <v>0</v>
      </c>
      <c r="AQ9" s="358">
        <f t="shared" ref="AQ9:AQ38" si="8">AP9-V9</f>
        <v>0</v>
      </c>
    </row>
    <row r="10" spans="1:44" ht="15" customHeight="1" x14ac:dyDescent="0.3">
      <c r="A10" s="42"/>
      <c r="B10" s="11">
        <v>2</v>
      </c>
      <c r="C10" s="11"/>
      <c r="D10" s="11"/>
      <c r="E10" s="104"/>
      <c r="F10" s="117"/>
      <c r="G10" s="117"/>
      <c r="H10" s="36"/>
      <c r="I10" s="13"/>
      <c r="J10" s="60"/>
      <c r="K10" s="13"/>
      <c r="L10" s="13"/>
      <c r="M10" s="45"/>
      <c r="N10" s="45"/>
      <c r="O10" s="45"/>
      <c r="P10" s="45"/>
      <c r="Q10" s="45"/>
      <c r="R10" s="45"/>
      <c r="S10" s="45"/>
      <c r="T10" s="45"/>
      <c r="U10" s="45">
        <f t="shared" si="0"/>
        <v>0</v>
      </c>
      <c r="V10" s="52">
        <f t="shared" si="1"/>
        <v>0</v>
      </c>
      <c r="W10" s="45">
        <f t="shared" si="2"/>
        <v>0</v>
      </c>
      <c r="X10" s="29"/>
      <c r="Y10" s="29"/>
      <c r="Z10" s="60"/>
      <c r="AA10" s="29"/>
      <c r="AB10" s="13"/>
      <c r="AC10" s="60"/>
      <c r="AD10" s="16"/>
      <c r="AE10" s="16"/>
      <c r="AF10" s="16"/>
      <c r="AG10" s="16"/>
      <c r="AH10" s="16"/>
      <c r="AI10" s="36"/>
      <c r="AK10" s="355">
        <f t="shared" si="3"/>
        <v>0</v>
      </c>
      <c r="AL10" s="355">
        <f t="shared" si="4"/>
        <v>0</v>
      </c>
      <c r="AM10" s="355">
        <f t="shared" si="5"/>
        <v>0</v>
      </c>
      <c r="AN10" s="356">
        <f t="shared" si="6"/>
        <v>0</v>
      </c>
      <c r="AP10" s="357">
        <f t="shared" si="7"/>
        <v>0</v>
      </c>
      <c r="AQ10" s="358">
        <f t="shared" si="8"/>
        <v>0</v>
      </c>
    </row>
    <row r="11" spans="1:44" ht="15" customHeight="1" x14ac:dyDescent="0.3">
      <c r="A11" s="42"/>
      <c r="B11" s="11">
        <v>3</v>
      </c>
      <c r="C11" s="11"/>
      <c r="D11" s="11"/>
      <c r="E11" s="60"/>
      <c r="F11" s="117"/>
      <c r="G11" s="117"/>
      <c r="H11" s="36"/>
      <c r="I11" s="13"/>
      <c r="J11" s="60"/>
      <c r="K11" s="13"/>
      <c r="L11" s="13"/>
      <c r="M11" s="45"/>
      <c r="N11" s="45"/>
      <c r="O11" s="45"/>
      <c r="P11" s="45"/>
      <c r="Q11" s="45"/>
      <c r="R11" s="45"/>
      <c r="S11" s="45"/>
      <c r="T11" s="45"/>
      <c r="U11" s="45">
        <f t="shared" si="0"/>
        <v>0</v>
      </c>
      <c r="V11" s="52">
        <f t="shared" si="1"/>
        <v>0</v>
      </c>
      <c r="W11" s="45">
        <f t="shared" si="2"/>
        <v>0</v>
      </c>
      <c r="X11" s="29"/>
      <c r="Y11" s="29"/>
      <c r="Z11" s="60"/>
      <c r="AA11" s="29"/>
      <c r="AB11" s="13"/>
      <c r="AC11" s="60"/>
      <c r="AD11" s="16"/>
      <c r="AE11" s="16"/>
      <c r="AF11" s="16"/>
      <c r="AG11" s="16"/>
      <c r="AH11" s="16"/>
      <c r="AI11" s="178"/>
      <c r="AK11" s="355">
        <f t="shared" si="3"/>
        <v>0</v>
      </c>
      <c r="AL11" s="355">
        <f t="shared" si="4"/>
        <v>0</v>
      </c>
      <c r="AM11" s="355">
        <f t="shared" si="5"/>
        <v>0</v>
      </c>
      <c r="AN11" s="356">
        <f t="shared" si="6"/>
        <v>0</v>
      </c>
      <c r="AP11" s="357">
        <f t="shared" si="7"/>
        <v>0</v>
      </c>
      <c r="AQ11" s="358">
        <f t="shared" si="8"/>
        <v>0</v>
      </c>
    </row>
    <row r="12" spans="1:44" ht="15" customHeight="1" x14ac:dyDescent="0.3">
      <c r="B12" s="11">
        <v>4</v>
      </c>
      <c r="C12" s="11"/>
      <c r="D12" s="11"/>
      <c r="E12" s="104"/>
      <c r="F12" s="117"/>
      <c r="G12" s="117"/>
      <c r="H12" s="36"/>
      <c r="I12" s="13"/>
      <c r="J12" s="60"/>
      <c r="K12" s="13"/>
      <c r="L12" s="13"/>
      <c r="M12" s="45"/>
      <c r="N12" s="45"/>
      <c r="O12" s="45"/>
      <c r="P12" s="45"/>
      <c r="Q12" s="45"/>
      <c r="R12" s="45"/>
      <c r="S12" s="45"/>
      <c r="T12" s="45"/>
      <c r="U12" s="45">
        <f t="shared" si="0"/>
        <v>0</v>
      </c>
      <c r="V12" s="52">
        <f t="shared" si="1"/>
        <v>0</v>
      </c>
      <c r="W12" s="45">
        <f t="shared" si="2"/>
        <v>0</v>
      </c>
      <c r="X12" s="29"/>
      <c r="Y12" s="13"/>
      <c r="Z12" s="60"/>
      <c r="AA12" s="29"/>
      <c r="AB12" s="13"/>
      <c r="AC12" s="60"/>
      <c r="AD12" s="16"/>
      <c r="AE12" s="16"/>
      <c r="AF12" s="16"/>
      <c r="AG12" s="16"/>
      <c r="AH12" s="16"/>
      <c r="AI12" s="178"/>
      <c r="AK12" s="355">
        <f t="shared" si="3"/>
        <v>0</v>
      </c>
      <c r="AL12" s="355">
        <f t="shared" si="4"/>
        <v>0</v>
      </c>
      <c r="AM12" s="355">
        <f t="shared" si="5"/>
        <v>0</v>
      </c>
      <c r="AN12" s="356">
        <f t="shared" si="6"/>
        <v>0</v>
      </c>
      <c r="AP12" s="357">
        <f t="shared" si="7"/>
        <v>0</v>
      </c>
      <c r="AQ12" s="358">
        <f t="shared" si="8"/>
        <v>0</v>
      </c>
    </row>
    <row r="13" spans="1:44" ht="15" customHeight="1" x14ac:dyDescent="0.3">
      <c r="A13" s="42"/>
      <c r="B13" s="11">
        <v>5</v>
      </c>
      <c r="C13" s="11"/>
      <c r="D13" s="11"/>
      <c r="E13" s="62"/>
      <c r="F13" s="117"/>
      <c r="G13" s="117"/>
      <c r="H13" s="36"/>
      <c r="I13" s="13"/>
      <c r="J13" s="60"/>
      <c r="K13" s="13"/>
      <c r="L13" s="13"/>
      <c r="M13" s="45"/>
      <c r="N13" s="45"/>
      <c r="O13" s="45"/>
      <c r="P13" s="45"/>
      <c r="Q13" s="45"/>
      <c r="R13" s="45"/>
      <c r="S13" s="45"/>
      <c r="T13" s="45"/>
      <c r="U13" s="45">
        <f t="shared" si="0"/>
        <v>0</v>
      </c>
      <c r="V13" s="52">
        <f t="shared" si="1"/>
        <v>0</v>
      </c>
      <c r="W13" s="45">
        <f t="shared" si="2"/>
        <v>0</v>
      </c>
      <c r="X13" s="29"/>
      <c r="Y13" s="13"/>
      <c r="Z13" s="60"/>
      <c r="AA13" s="29"/>
      <c r="AB13" s="13"/>
      <c r="AC13" s="60"/>
      <c r="AD13" s="16"/>
      <c r="AE13" s="16"/>
      <c r="AF13" s="16"/>
      <c r="AG13" s="16"/>
      <c r="AH13" s="16"/>
      <c r="AI13" s="178"/>
      <c r="AK13" s="355">
        <f t="shared" si="3"/>
        <v>0</v>
      </c>
      <c r="AL13" s="355">
        <f t="shared" si="4"/>
        <v>0</v>
      </c>
      <c r="AM13" s="355">
        <f t="shared" si="5"/>
        <v>0</v>
      </c>
      <c r="AN13" s="356">
        <f t="shared" si="6"/>
        <v>0</v>
      </c>
      <c r="AP13" s="357">
        <f t="shared" si="7"/>
        <v>0</v>
      </c>
      <c r="AQ13" s="358">
        <f t="shared" si="8"/>
        <v>0</v>
      </c>
    </row>
    <row r="14" spans="1:44" ht="15" customHeight="1" x14ac:dyDescent="0.3">
      <c r="A14" s="42"/>
      <c r="B14" s="11">
        <v>6</v>
      </c>
      <c r="C14" s="11"/>
      <c r="D14" s="11"/>
      <c r="E14" s="62"/>
      <c r="F14" s="117"/>
      <c r="G14" s="117"/>
      <c r="H14" s="36"/>
      <c r="I14" s="13"/>
      <c r="J14" s="60"/>
      <c r="K14" s="13"/>
      <c r="L14" s="13"/>
      <c r="M14" s="45"/>
      <c r="N14" s="45"/>
      <c r="O14" s="45"/>
      <c r="P14" s="45"/>
      <c r="Q14" s="45"/>
      <c r="R14" s="45"/>
      <c r="S14" s="45"/>
      <c r="T14" s="45"/>
      <c r="U14" s="45">
        <f t="shared" si="0"/>
        <v>0</v>
      </c>
      <c r="V14" s="52">
        <f t="shared" si="1"/>
        <v>0</v>
      </c>
      <c r="W14" s="45">
        <f t="shared" si="2"/>
        <v>0</v>
      </c>
      <c r="X14" s="29"/>
      <c r="Y14" s="13"/>
      <c r="Z14" s="60"/>
      <c r="AA14" s="29"/>
      <c r="AB14" s="13"/>
      <c r="AC14" s="60"/>
      <c r="AD14" s="16"/>
      <c r="AE14" s="16"/>
      <c r="AF14" s="16"/>
      <c r="AG14" s="16"/>
      <c r="AH14" s="16"/>
      <c r="AI14" s="178"/>
      <c r="AK14" s="355">
        <f t="shared" si="3"/>
        <v>0</v>
      </c>
      <c r="AL14" s="355">
        <f t="shared" si="4"/>
        <v>0</v>
      </c>
      <c r="AM14" s="355">
        <f t="shared" si="5"/>
        <v>0</v>
      </c>
      <c r="AN14" s="356">
        <f t="shared" si="6"/>
        <v>0</v>
      </c>
      <c r="AP14" s="357">
        <f t="shared" si="7"/>
        <v>0</v>
      </c>
      <c r="AQ14" s="358">
        <f t="shared" si="8"/>
        <v>0</v>
      </c>
    </row>
    <row r="15" spans="1:44" ht="15" customHeight="1" x14ac:dyDescent="0.3">
      <c r="A15" s="42"/>
      <c r="B15" s="11">
        <v>7</v>
      </c>
      <c r="C15" s="11"/>
      <c r="D15" s="11"/>
      <c r="E15" s="62"/>
      <c r="F15" s="117"/>
      <c r="G15" s="117"/>
      <c r="H15" s="36"/>
      <c r="I15" s="13"/>
      <c r="J15" s="60"/>
      <c r="K15" s="13"/>
      <c r="L15" s="13"/>
      <c r="M15" s="45"/>
      <c r="N15" s="45"/>
      <c r="O15" s="45"/>
      <c r="P15" s="45"/>
      <c r="Q15" s="45"/>
      <c r="R15" s="45"/>
      <c r="S15" s="45"/>
      <c r="T15" s="45"/>
      <c r="U15" s="45">
        <f t="shared" si="0"/>
        <v>0</v>
      </c>
      <c r="V15" s="52">
        <f t="shared" si="1"/>
        <v>0</v>
      </c>
      <c r="W15" s="45">
        <f t="shared" si="2"/>
        <v>0</v>
      </c>
      <c r="X15" s="29"/>
      <c r="Y15" s="13"/>
      <c r="Z15" s="60"/>
      <c r="AA15" s="29"/>
      <c r="AB15" s="13"/>
      <c r="AC15" s="60"/>
      <c r="AD15" s="16"/>
      <c r="AE15" s="16"/>
      <c r="AF15" s="16"/>
      <c r="AG15" s="16"/>
      <c r="AH15" s="16"/>
      <c r="AI15" s="178"/>
      <c r="AK15" s="355">
        <f t="shared" si="3"/>
        <v>0</v>
      </c>
      <c r="AL15" s="355">
        <f t="shared" si="4"/>
        <v>0</v>
      </c>
      <c r="AM15" s="355">
        <f t="shared" si="5"/>
        <v>0</v>
      </c>
      <c r="AN15" s="356">
        <f t="shared" si="6"/>
        <v>0</v>
      </c>
      <c r="AP15" s="357">
        <f t="shared" si="7"/>
        <v>0</v>
      </c>
      <c r="AQ15" s="358">
        <f t="shared" si="8"/>
        <v>0</v>
      </c>
    </row>
    <row r="16" spans="1:44" ht="15" customHeight="1" x14ac:dyDescent="0.3">
      <c r="B16" s="11">
        <v>8</v>
      </c>
      <c r="C16" s="11"/>
      <c r="D16" s="11"/>
      <c r="E16" s="62"/>
      <c r="F16" s="117"/>
      <c r="G16" s="117"/>
      <c r="H16" s="36"/>
      <c r="I16" s="13"/>
      <c r="J16" s="60"/>
      <c r="K16" s="13"/>
      <c r="L16" s="13"/>
      <c r="M16" s="45"/>
      <c r="N16" s="45"/>
      <c r="O16" s="45"/>
      <c r="P16" s="45"/>
      <c r="Q16" s="45"/>
      <c r="R16" s="45"/>
      <c r="S16" s="45"/>
      <c r="T16" s="45"/>
      <c r="U16" s="45">
        <f t="shared" si="0"/>
        <v>0</v>
      </c>
      <c r="V16" s="52">
        <f t="shared" si="1"/>
        <v>0</v>
      </c>
      <c r="W16" s="45">
        <f t="shared" si="2"/>
        <v>0</v>
      </c>
      <c r="X16" s="29"/>
      <c r="Y16" s="13"/>
      <c r="Z16" s="60"/>
      <c r="AA16" s="29"/>
      <c r="AB16" s="13"/>
      <c r="AC16" s="60"/>
      <c r="AD16" s="16"/>
      <c r="AE16" s="16"/>
      <c r="AF16" s="16"/>
      <c r="AG16" s="16"/>
      <c r="AH16" s="16"/>
      <c r="AI16" s="178"/>
      <c r="AK16" s="355">
        <f t="shared" si="3"/>
        <v>0</v>
      </c>
      <c r="AL16" s="355">
        <f t="shared" si="4"/>
        <v>0</v>
      </c>
      <c r="AM16" s="355">
        <f t="shared" si="5"/>
        <v>0</v>
      </c>
      <c r="AN16" s="356">
        <f t="shared" si="6"/>
        <v>0</v>
      </c>
      <c r="AP16" s="357">
        <f t="shared" si="7"/>
        <v>0</v>
      </c>
      <c r="AQ16" s="358">
        <f t="shared" si="8"/>
        <v>0</v>
      </c>
    </row>
    <row r="17" spans="1:44" s="32" customFormat="1" x14ac:dyDescent="0.3">
      <c r="A17" s="182"/>
      <c r="B17" s="11">
        <v>9</v>
      </c>
      <c r="C17" s="11"/>
      <c r="D17" s="11"/>
      <c r="E17" s="62"/>
      <c r="F17" s="117"/>
      <c r="G17" s="117"/>
      <c r="H17" s="36"/>
      <c r="I17" s="13"/>
      <c r="J17" s="60"/>
      <c r="K17" s="13"/>
      <c r="L17" s="13"/>
      <c r="M17" s="45"/>
      <c r="N17" s="45"/>
      <c r="O17" s="45"/>
      <c r="P17" s="45"/>
      <c r="Q17" s="45"/>
      <c r="R17" s="45"/>
      <c r="S17" s="45"/>
      <c r="T17" s="45"/>
      <c r="U17" s="45">
        <f t="shared" si="0"/>
        <v>0</v>
      </c>
      <c r="V17" s="52">
        <f t="shared" si="1"/>
        <v>0</v>
      </c>
      <c r="W17" s="45">
        <f t="shared" si="2"/>
        <v>0</v>
      </c>
      <c r="X17" s="29"/>
      <c r="Y17" s="13"/>
      <c r="Z17" s="60"/>
      <c r="AA17" s="29"/>
      <c r="AB17" s="13"/>
      <c r="AC17" s="60"/>
      <c r="AD17" s="16"/>
      <c r="AE17" s="16"/>
      <c r="AF17" s="16"/>
      <c r="AG17" s="16"/>
      <c r="AH17" s="16"/>
      <c r="AI17" s="178"/>
      <c r="AK17" s="355">
        <f t="shared" si="3"/>
        <v>0</v>
      </c>
      <c r="AL17" s="355">
        <f t="shared" si="4"/>
        <v>0</v>
      </c>
      <c r="AM17" s="355">
        <f t="shared" si="5"/>
        <v>0</v>
      </c>
      <c r="AN17" s="356">
        <f t="shared" si="6"/>
        <v>0</v>
      </c>
      <c r="AO17" s="342"/>
      <c r="AP17" s="357">
        <f t="shared" si="7"/>
        <v>0</v>
      </c>
      <c r="AQ17" s="358">
        <f t="shared" si="8"/>
        <v>0</v>
      </c>
      <c r="AR17" s="342"/>
    </row>
    <row r="18" spans="1:44" ht="15" customHeight="1" x14ac:dyDescent="0.3">
      <c r="A18" s="42"/>
      <c r="B18" s="11">
        <v>10</v>
      </c>
      <c r="C18" s="11"/>
      <c r="D18" s="11"/>
      <c r="E18" s="62"/>
      <c r="F18" s="117"/>
      <c r="G18" s="117"/>
      <c r="H18" s="36"/>
      <c r="I18" s="13"/>
      <c r="J18" s="60"/>
      <c r="K18" s="13"/>
      <c r="L18" s="13"/>
      <c r="M18" s="45"/>
      <c r="N18" s="45"/>
      <c r="O18" s="45"/>
      <c r="P18" s="45"/>
      <c r="Q18" s="45"/>
      <c r="R18" s="45"/>
      <c r="S18" s="45"/>
      <c r="T18" s="45"/>
      <c r="U18" s="45">
        <f t="shared" si="0"/>
        <v>0</v>
      </c>
      <c r="V18" s="52">
        <f t="shared" si="1"/>
        <v>0</v>
      </c>
      <c r="W18" s="45">
        <f t="shared" si="2"/>
        <v>0</v>
      </c>
      <c r="X18" s="29"/>
      <c r="Y18" s="13"/>
      <c r="Z18" s="60"/>
      <c r="AA18" s="29"/>
      <c r="AB18" s="13"/>
      <c r="AC18" s="60"/>
      <c r="AD18" s="16"/>
      <c r="AE18" s="16"/>
      <c r="AF18" s="16"/>
      <c r="AG18" s="16"/>
      <c r="AH18" s="16"/>
      <c r="AI18" s="178"/>
      <c r="AK18" s="355">
        <f t="shared" si="3"/>
        <v>0</v>
      </c>
      <c r="AL18" s="355">
        <f t="shared" si="4"/>
        <v>0</v>
      </c>
      <c r="AM18" s="355">
        <f t="shared" si="5"/>
        <v>0</v>
      </c>
      <c r="AN18" s="356">
        <f t="shared" si="6"/>
        <v>0</v>
      </c>
      <c r="AP18" s="357">
        <f t="shared" si="7"/>
        <v>0</v>
      </c>
      <c r="AQ18" s="358">
        <f t="shared" si="8"/>
        <v>0</v>
      </c>
    </row>
    <row r="19" spans="1:44" ht="15" customHeight="1" x14ac:dyDescent="0.3">
      <c r="B19" s="11">
        <v>11</v>
      </c>
      <c r="C19" s="11"/>
      <c r="D19" s="11"/>
      <c r="E19" s="104"/>
      <c r="F19" s="117"/>
      <c r="G19" s="117"/>
      <c r="H19" s="36"/>
      <c r="I19" s="13"/>
      <c r="J19" s="60"/>
      <c r="K19" s="13"/>
      <c r="L19" s="13"/>
      <c r="M19" s="45"/>
      <c r="N19" s="45"/>
      <c r="O19" s="45"/>
      <c r="P19" s="45"/>
      <c r="Q19" s="45"/>
      <c r="R19" s="45"/>
      <c r="S19" s="45"/>
      <c r="T19" s="45"/>
      <c r="U19" s="45">
        <f t="shared" si="0"/>
        <v>0</v>
      </c>
      <c r="V19" s="52">
        <f t="shared" si="1"/>
        <v>0</v>
      </c>
      <c r="W19" s="45">
        <f t="shared" si="2"/>
        <v>0</v>
      </c>
      <c r="X19" s="29"/>
      <c r="Y19" s="13"/>
      <c r="Z19" s="60"/>
      <c r="AA19" s="29"/>
      <c r="AB19" s="13"/>
      <c r="AC19" s="60"/>
      <c r="AD19" s="16"/>
      <c r="AE19" s="16"/>
      <c r="AF19" s="16"/>
      <c r="AG19" s="16"/>
      <c r="AH19" s="16"/>
      <c r="AI19" s="178"/>
      <c r="AK19" s="355">
        <f t="shared" si="3"/>
        <v>0</v>
      </c>
      <c r="AL19" s="355">
        <f t="shared" si="4"/>
        <v>0</v>
      </c>
      <c r="AM19" s="355">
        <f t="shared" si="5"/>
        <v>0</v>
      </c>
      <c r="AN19" s="356">
        <f t="shared" si="6"/>
        <v>0</v>
      </c>
      <c r="AP19" s="357">
        <f t="shared" si="7"/>
        <v>0</v>
      </c>
      <c r="AQ19" s="358">
        <f t="shared" si="8"/>
        <v>0</v>
      </c>
    </row>
    <row r="20" spans="1:44" ht="15" customHeight="1" x14ac:dyDescent="0.3">
      <c r="B20" s="11">
        <v>12</v>
      </c>
      <c r="C20" s="11"/>
      <c r="D20" s="11"/>
      <c r="E20" s="104"/>
      <c r="F20" s="117"/>
      <c r="G20" s="117"/>
      <c r="H20" s="36"/>
      <c r="I20" s="13"/>
      <c r="J20" s="60"/>
      <c r="K20" s="13"/>
      <c r="L20" s="13"/>
      <c r="M20" s="45"/>
      <c r="N20" s="45"/>
      <c r="O20" s="45"/>
      <c r="P20" s="45"/>
      <c r="Q20" s="45"/>
      <c r="R20" s="45"/>
      <c r="S20" s="45"/>
      <c r="T20" s="45"/>
      <c r="U20" s="45">
        <f t="shared" si="0"/>
        <v>0</v>
      </c>
      <c r="V20" s="52">
        <f t="shared" si="1"/>
        <v>0</v>
      </c>
      <c r="W20" s="45">
        <f t="shared" si="2"/>
        <v>0</v>
      </c>
      <c r="X20" s="29"/>
      <c r="Y20" s="13"/>
      <c r="Z20" s="60"/>
      <c r="AA20" s="29"/>
      <c r="AB20" s="13"/>
      <c r="AC20" s="60"/>
      <c r="AD20" s="16"/>
      <c r="AE20" s="16"/>
      <c r="AF20" s="16"/>
      <c r="AG20" s="16"/>
      <c r="AH20" s="16"/>
      <c r="AI20" s="178"/>
      <c r="AK20" s="355">
        <f t="shared" si="3"/>
        <v>0</v>
      </c>
      <c r="AL20" s="355">
        <f t="shared" si="4"/>
        <v>0</v>
      </c>
      <c r="AM20" s="355">
        <f t="shared" si="5"/>
        <v>0</v>
      </c>
      <c r="AN20" s="356">
        <f t="shared" si="6"/>
        <v>0</v>
      </c>
      <c r="AP20" s="357">
        <f t="shared" si="7"/>
        <v>0</v>
      </c>
      <c r="AQ20" s="358">
        <f t="shared" si="8"/>
        <v>0</v>
      </c>
    </row>
    <row r="21" spans="1:44" ht="15" customHeight="1" x14ac:dyDescent="0.3">
      <c r="A21" s="42"/>
      <c r="B21" s="11">
        <v>13</v>
      </c>
      <c r="C21" s="11"/>
      <c r="D21" s="11"/>
      <c r="E21" s="104"/>
      <c r="F21" s="117"/>
      <c r="G21" s="117"/>
      <c r="H21" s="36"/>
      <c r="I21" s="13"/>
      <c r="J21" s="60"/>
      <c r="K21" s="13"/>
      <c r="L21" s="13"/>
      <c r="M21" s="45"/>
      <c r="N21" s="45"/>
      <c r="O21" s="45"/>
      <c r="P21" s="45"/>
      <c r="Q21" s="45"/>
      <c r="R21" s="45"/>
      <c r="S21" s="45"/>
      <c r="T21" s="45"/>
      <c r="U21" s="45">
        <f t="shared" si="0"/>
        <v>0</v>
      </c>
      <c r="V21" s="52">
        <f t="shared" si="1"/>
        <v>0</v>
      </c>
      <c r="W21" s="45">
        <f t="shared" si="2"/>
        <v>0</v>
      </c>
      <c r="X21" s="29"/>
      <c r="Y21" s="13"/>
      <c r="Z21" s="60"/>
      <c r="AA21" s="29"/>
      <c r="AB21" s="13"/>
      <c r="AC21" s="60"/>
      <c r="AD21" s="16"/>
      <c r="AE21" s="16"/>
      <c r="AF21" s="16"/>
      <c r="AG21" s="16"/>
      <c r="AH21" s="16"/>
      <c r="AI21" s="178"/>
      <c r="AK21" s="355">
        <f t="shared" si="3"/>
        <v>0</v>
      </c>
      <c r="AL21" s="355">
        <f t="shared" si="4"/>
        <v>0</v>
      </c>
      <c r="AM21" s="355">
        <f t="shared" si="5"/>
        <v>0</v>
      </c>
      <c r="AN21" s="356">
        <f t="shared" si="6"/>
        <v>0</v>
      </c>
      <c r="AP21" s="357">
        <f t="shared" si="7"/>
        <v>0</v>
      </c>
      <c r="AQ21" s="358">
        <f t="shared" si="8"/>
        <v>0</v>
      </c>
    </row>
    <row r="22" spans="1:44" ht="15" customHeight="1" x14ac:dyDescent="0.3">
      <c r="A22" s="42"/>
      <c r="B22" s="11">
        <v>14</v>
      </c>
      <c r="C22" s="11"/>
      <c r="D22" s="11"/>
      <c r="E22" s="104"/>
      <c r="F22" s="117"/>
      <c r="G22" s="117"/>
      <c r="H22" s="36"/>
      <c r="I22" s="13"/>
      <c r="J22" s="60"/>
      <c r="K22" s="13"/>
      <c r="L22" s="13"/>
      <c r="M22" s="45"/>
      <c r="N22" s="45"/>
      <c r="O22" s="45"/>
      <c r="P22" s="45"/>
      <c r="Q22" s="45"/>
      <c r="R22" s="45"/>
      <c r="S22" s="45"/>
      <c r="T22" s="45"/>
      <c r="U22" s="45">
        <f t="shared" si="0"/>
        <v>0</v>
      </c>
      <c r="V22" s="52">
        <f t="shared" si="1"/>
        <v>0</v>
      </c>
      <c r="W22" s="45">
        <f t="shared" si="2"/>
        <v>0</v>
      </c>
      <c r="X22" s="29"/>
      <c r="Y22" s="13"/>
      <c r="Z22" s="60"/>
      <c r="AA22" s="29"/>
      <c r="AB22" s="13"/>
      <c r="AC22" s="60"/>
      <c r="AD22" s="16"/>
      <c r="AE22" s="16"/>
      <c r="AF22" s="16"/>
      <c r="AG22" s="16"/>
      <c r="AH22" s="16"/>
      <c r="AI22" s="178"/>
      <c r="AK22" s="355">
        <f t="shared" si="3"/>
        <v>0</v>
      </c>
      <c r="AL22" s="355">
        <f t="shared" si="4"/>
        <v>0</v>
      </c>
      <c r="AM22" s="355">
        <f t="shared" si="5"/>
        <v>0</v>
      </c>
      <c r="AN22" s="356">
        <f t="shared" si="6"/>
        <v>0</v>
      </c>
      <c r="AP22" s="357">
        <f t="shared" si="7"/>
        <v>0</v>
      </c>
      <c r="AQ22" s="358">
        <f t="shared" si="8"/>
        <v>0</v>
      </c>
    </row>
    <row r="23" spans="1:44" ht="15" customHeight="1" x14ac:dyDescent="0.3">
      <c r="A23" s="42"/>
      <c r="B23" s="11">
        <v>15</v>
      </c>
      <c r="C23" s="11"/>
      <c r="D23" s="11"/>
      <c r="E23" s="104"/>
      <c r="F23" s="117"/>
      <c r="G23" s="117"/>
      <c r="H23" s="36"/>
      <c r="I23" s="13"/>
      <c r="J23" s="60"/>
      <c r="K23" s="13"/>
      <c r="L23" s="13"/>
      <c r="M23" s="45"/>
      <c r="N23" s="45"/>
      <c r="O23" s="45"/>
      <c r="P23" s="45"/>
      <c r="Q23" s="45"/>
      <c r="R23" s="45"/>
      <c r="S23" s="45"/>
      <c r="T23" s="45"/>
      <c r="U23" s="45">
        <f t="shared" si="0"/>
        <v>0</v>
      </c>
      <c r="V23" s="52">
        <f t="shared" si="1"/>
        <v>0</v>
      </c>
      <c r="W23" s="45">
        <f t="shared" si="2"/>
        <v>0</v>
      </c>
      <c r="X23" s="29"/>
      <c r="Y23" s="13"/>
      <c r="Z23" s="60"/>
      <c r="AA23" s="29"/>
      <c r="AB23" s="13"/>
      <c r="AC23" s="60"/>
      <c r="AD23" s="16"/>
      <c r="AE23" s="16"/>
      <c r="AF23" s="16"/>
      <c r="AG23" s="16"/>
      <c r="AH23" s="16"/>
      <c r="AI23" s="178"/>
      <c r="AK23" s="355">
        <f t="shared" si="3"/>
        <v>0</v>
      </c>
      <c r="AL23" s="355">
        <f t="shared" si="4"/>
        <v>0</v>
      </c>
      <c r="AM23" s="355">
        <f t="shared" si="5"/>
        <v>0</v>
      </c>
      <c r="AN23" s="356">
        <f t="shared" si="6"/>
        <v>0</v>
      </c>
      <c r="AP23" s="357">
        <f t="shared" si="7"/>
        <v>0</v>
      </c>
      <c r="AQ23" s="358">
        <f t="shared" si="8"/>
        <v>0</v>
      </c>
    </row>
    <row r="24" spans="1:44" ht="15" customHeight="1" x14ac:dyDescent="0.3">
      <c r="B24" s="11">
        <v>16</v>
      </c>
      <c r="C24" s="11"/>
      <c r="D24" s="11"/>
      <c r="E24" s="104"/>
      <c r="F24" s="117"/>
      <c r="G24" s="117"/>
      <c r="H24" s="36"/>
      <c r="I24" s="13"/>
      <c r="J24" s="60"/>
      <c r="K24" s="13"/>
      <c r="L24" s="13"/>
      <c r="M24" s="45"/>
      <c r="N24" s="45"/>
      <c r="O24" s="45"/>
      <c r="P24" s="45"/>
      <c r="Q24" s="45"/>
      <c r="R24" s="45"/>
      <c r="S24" s="45"/>
      <c r="T24" s="45"/>
      <c r="U24" s="45">
        <f t="shared" si="0"/>
        <v>0</v>
      </c>
      <c r="V24" s="52">
        <f t="shared" si="1"/>
        <v>0</v>
      </c>
      <c r="W24" s="45">
        <f t="shared" si="2"/>
        <v>0</v>
      </c>
      <c r="X24" s="29"/>
      <c r="Y24" s="13"/>
      <c r="Z24" s="60"/>
      <c r="AA24" s="29"/>
      <c r="AB24" s="13"/>
      <c r="AC24" s="60"/>
      <c r="AD24" s="16"/>
      <c r="AE24" s="16"/>
      <c r="AF24" s="16"/>
      <c r="AG24" s="16"/>
      <c r="AH24" s="16"/>
      <c r="AI24" s="36"/>
      <c r="AK24" s="355">
        <f t="shared" si="3"/>
        <v>0</v>
      </c>
      <c r="AL24" s="355">
        <f t="shared" si="4"/>
        <v>0</v>
      </c>
      <c r="AM24" s="355">
        <f t="shared" si="5"/>
        <v>0</v>
      </c>
      <c r="AN24" s="356">
        <f t="shared" si="6"/>
        <v>0</v>
      </c>
      <c r="AP24" s="357">
        <f t="shared" si="7"/>
        <v>0</v>
      </c>
      <c r="AQ24" s="358">
        <f t="shared" si="8"/>
        <v>0</v>
      </c>
    </row>
    <row r="25" spans="1:44" ht="15" customHeight="1" x14ac:dyDescent="0.3">
      <c r="B25" s="11">
        <v>17</v>
      </c>
      <c r="C25" s="11"/>
      <c r="D25" s="11"/>
      <c r="E25" s="104"/>
      <c r="F25" s="117"/>
      <c r="G25" s="117"/>
      <c r="H25" s="36"/>
      <c r="I25" s="13"/>
      <c r="J25" s="60"/>
      <c r="K25" s="13"/>
      <c r="L25" s="13"/>
      <c r="M25" s="45"/>
      <c r="N25" s="45"/>
      <c r="O25" s="45"/>
      <c r="P25" s="45"/>
      <c r="Q25" s="45"/>
      <c r="R25" s="45"/>
      <c r="S25" s="45"/>
      <c r="T25" s="45"/>
      <c r="U25" s="45">
        <f t="shared" si="0"/>
        <v>0</v>
      </c>
      <c r="V25" s="52">
        <f t="shared" si="1"/>
        <v>0</v>
      </c>
      <c r="W25" s="45">
        <f t="shared" si="2"/>
        <v>0</v>
      </c>
      <c r="X25" s="29"/>
      <c r="Y25" s="13"/>
      <c r="Z25" s="60"/>
      <c r="AA25" s="29"/>
      <c r="AB25" s="13"/>
      <c r="AC25" s="60"/>
      <c r="AD25" s="16"/>
      <c r="AE25" s="16"/>
      <c r="AF25" s="16"/>
      <c r="AG25" s="16"/>
      <c r="AH25" s="16"/>
      <c r="AI25" s="178"/>
      <c r="AK25" s="355">
        <f t="shared" si="3"/>
        <v>0</v>
      </c>
      <c r="AL25" s="355">
        <f t="shared" si="4"/>
        <v>0</v>
      </c>
      <c r="AM25" s="355">
        <f t="shared" si="5"/>
        <v>0</v>
      </c>
      <c r="AN25" s="356">
        <f t="shared" si="6"/>
        <v>0</v>
      </c>
      <c r="AP25" s="357">
        <f t="shared" si="7"/>
        <v>0</v>
      </c>
      <c r="AQ25" s="358">
        <f t="shared" si="8"/>
        <v>0</v>
      </c>
    </row>
    <row r="26" spans="1:44" ht="15" customHeight="1" x14ac:dyDescent="0.3">
      <c r="B26" s="11">
        <v>18</v>
      </c>
      <c r="C26" s="11"/>
      <c r="D26" s="11"/>
      <c r="E26" s="104"/>
      <c r="F26" s="117"/>
      <c r="G26" s="117"/>
      <c r="H26" s="36"/>
      <c r="I26" s="13"/>
      <c r="J26" s="60"/>
      <c r="K26" s="13"/>
      <c r="L26" s="13"/>
      <c r="M26" s="45"/>
      <c r="N26" s="45"/>
      <c r="O26" s="45"/>
      <c r="P26" s="45"/>
      <c r="Q26" s="45"/>
      <c r="R26" s="45"/>
      <c r="S26" s="45"/>
      <c r="T26" s="45"/>
      <c r="U26" s="45">
        <f t="shared" si="0"/>
        <v>0</v>
      </c>
      <c r="V26" s="52">
        <f t="shared" si="1"/>
        <v>0</v>
      </c>
      <c r="W26" s="45">
        <f t="shared" si="2"/>
        <v>0</v>
      </c>
      <c r="X26" s="29"/>
      <c r="Y26" s="13"/>
      <c r="Z26" s="60"/>
      <c r="AA26" s="29"/>
      <c r="AB26" s="13"/>
      <c r="AC26" s="60"/>
      <c r="AD26" s="16"/>
      <c r="AE26" s="16"/>
      <c r="AF26" s="16"/>
      <c r="AG26" s="16"/>
      <c r="AH26" s="16"/>
      <c r="AI26" s="36"/>
      <c r="AK26" s="355">
        <f t="shared" si="3"/>
        <v>0</v>
      </c>
      <c r="AL26" s="355">
        <f t="shared" si="4"/>
        <v>0</v>
      </c>
      <c r="AM26" s="355">
        <f t="shared" si="5"/>
        <v>0</v>
      </c>
      <c r="AN26" s="356">
        <f t="shared" si="6"/>
        <v>0</v>
      </c>
      <c r="AP26" s="357">
        <f t="shared" si="7"/>
        <v>0</v>
      </c>
      <c r="AQ26" s="358">
        <f t="shared" si="8"/>
        <v>0</v>
      </c>
    </row>
    <row r="27" spans="1:44" ht="15" customHeight="1" x14ac:dyDescent="0.3">
      <c r="B27" s="11">
        <v>19</v>
      </c>
      <c r="C27" s="11"/>
      <c r="D27" s="11"/>
      <c r="E27" s="104"/>
      <c r="F27" s="117"/>
      <c r="G27" s="117"/>
      <c r="H27" s="36"/>
      <c r="I27" s="13"/>
      <c r="J27" s="60"/>
      <c r="K27" s="13"/>
      <c r="L27" s="13"/>
      <c r="M27" s="45"/>
      <c r="N27" s="45"/>
      <c r="O27" s="45"/>
      <c r="P27" s="45"/>
      <c r="Q27" s="45"/>
      <c r="R27" s="45"/>
      <c r="S27" s="45"/>
      <c r="T27" s="45"/>
      <c r="U27" s="45">
        <f t="shared" si="0"/>
        <v>0</v>
      </c>
      <c r="V27" s="52">
        <f t="shared" si="1"/>
        <v>0</v>
      </c>
      <c r="W27" s="45">
        <f t="shared" si="2"/>
        <v>0</v>
      </c>
      <c r="X27" s="29"/>
      <c r="Y27" s="13"/>
      <c r="Z27" s="60"/>
      <c r="AA27" s="29"/>
      <c r="AB27" s="13"/>
      <c r="AC27" s="60"/>
      <c r="AD27" s="16"/>
      <c r="AE27" s="16"/>
      <c r="AF27" s="16"/>
      <c r="AG27" s="16"/>
      <c r="AH27" s="16"/>
      <c r="AI27" s="178"/>
      <c r="AK27" s="355">
        <f t="shared" si="3"/>
        <v>0</v>
      </c>
      <c r="AL27" s="355">
        <f t="shared" si="4"/>
        <v>0</v>
      </c>
      <c r="AM27" s="355">
        <f t="shared" si="5"/>
        <v>0</v>
      </c>
      <c r="AN27" s="356">
        <f t="shared" si="6"/>
        <v>0</v>
      </c>
      <c r="AP27" s="357">
        <f t="shared" si="7"/>
        <v>0</v>
      </c>
      <c r="AQ27" s="358">
        <f t="shared" si="8"/>
        <v>0</v>
      </c>
    </row>
    <row r="28" spans="1:44" ht="15" customHeight="1" x14ac:dyDescent="0.3">
      <c r="B28" s="11">
        <v>20</v>
      </c>
      <c r="C28" s="11"/>
      <c r="D28" s="11"/>
      <c r="E28" s="104"/>
      <c r="F28" s="117"/>
      <c r="G28" s="117"/>
      <c r="H28" s="36"/>
      <c r="I28" s="13"/>
      <c r="J28" s="60"/>
      <c r="K28" s="13"/>
      <c r="L28" s="13"/>
      <c r="M28" s="45"/>
      <c r="N28" s="45"/>
      <c r="O28" s="45"/>
      <c r="P28" s="45"/>
      <c r="Q28" s="45"/>
      <c r="R28" s="45"/>
      <c r="S28" s="45"/>
      <c r="T28" s="45"/>
      <c r="U28" s="45">
        <f t="shared" si="0"/>
        <v>0</v>
      </c>
      <c r="V28" s="52">
        <f t="shared" si="1"/>
        <v>0</v>
      </c>
      <c r="W28" s="45">
        <f t="shared" si="2"/>
        <v>0</v>
      </c>
      <c r="X28" s="29"/>
      <c r="Y28" s="13"/>
      <c r="Z28" s="60"/>
      <c r="AA28" s="29"/>
      <c r="AB28" s="13"/>
      <c r="AC28" s="60"/>
      <c r="AD28" s="16"/>
      <c r="AE28" s="16"/>
      <c r="AF28" s="16"/>
      <c r="AG28" s="16"/>
      <c r="AH28" s="16"/>
      <c r="AI28" s="36"/>
      <c r="AK28" s="355">
        <f t="shared" si="3"/>
        <v>0</v>
      </c>
      <c r="AL28" s="355">
        <f t="shared" si="4"/>
        <v>0</v>
      </c>
      <c r="AM28" s="355">
        <f t="shared" si="5"/>
        <v>0</v>
      </c>
      <c r="AN28" s="356">
        <f t="shared" si="6"/>
        <v>0</v>
      </c>
      <c r="AP28" s="357">
        <f t="shared" si="7"/>
        <v>0</v>
      </c>
      <c r="AQ28" s="358">
        <f t="shared" si="8"/>
        <v>0</v>
      </c>
    </row>
    <row r="29" spans="1:44" ht="15" customHeight="1" x14ac:dyDescent="0.3">
      <c r="B29" s="11">
        <v>21</v>
      </c>
      <c r="C29" s="11"/>
      <c r="D29" s="11"/>
      <c r="E29" s="104"/>
      <c r="F29" s="117"/>
      <c r="G29" s="117"/>
      <c r="H29" s="36"/>
      <c r="I29" s="13"/>
      <c r="J29" s="60"/>
      <c r="K29" s="13"/>
      <c r="L29" s="13"/>
      <c r="M29" s="45"/>
      <c r="N29" s="45"/>
      <c r="O29" s="45"/>
      <c r="P29" s="45"/>
      <c r="Q29" s="45"/>
      <c r="R29" s="45"/>
      <c r="S29" s="45"/>
      <c r="T29" s="45"/>
      <c r="U29" s="45">
        <f t="shared" si="0"/>
        <v>0</v>
      </c>
      <c r="V29" s="52">
        <f t="shared" si="1"/>
        <v>0</v>
      </c>
      <c r="W29" s="45">
        <f t="shared" si="2"/>
        <v>0</v>
      </c>
      <c r="X29" s="29"/>
      <c r="Y29" s="13"/>
      <c r="Z29" s="60"/>
      <c r="AA29" s="29"/>
      <c r="AB29" s="13"/>
      <c r="AC29" s="60"/>
      <c r="AD29" s="16"/>
      <c r="AE29" s="16"/>
      <c r="AF29" s="16"/>
      <c r="AG29" s="16"/>
      <c r="AH29" s="16"/>
      <c r="AI29" s="178"/>
      <c r="AK29" s="355">
        <f t="shared" si="3"/>
        <v>0</v>
      </c>
      <c r="AL29" s="355">
        <f t="shared" si="4"/>
        <v>0</v>
      </c>
      <c r="AM29" s="355">
        <f t="shared" si="5"/>
        <v>0</v>
      </c>
      <c r="AN29" s="356">
        <f t="shared" si="6"/>
        <v>0</v>
      </c>
      <c r="AP29" s="357">
        <f t="shared" si="7"/>
        <v>0</v>
      </c>
      <c r="AQ29" s="358">
        <f t="shared" si="8"/>
        <v>0</v>
      </c>
    </row>
    <row r="30" spans="1:44" ht="15" customHeight="1" x14ac:dyDescent="0.3">
      <c r="B30" s="11">
        <v>22</v>
      </c>
      <c r="C30" s="11"/>
      <c r="D30" s="11"/>
      <c r="E30" s="104"/>
      <c r="F30" s="117"/>
      <c r="G30" s="117"/>
      <c r="H30" s="36"/>
      <c r="I30" s="13"/>
      <c r="J30" s="60"/>
      <c r="K30" s="13"/>
      <c r="L30" s="13"/>
      <c r="M30" s="45"/>
      <c r="N30" s="45"/>
      <c r="O30" s="45"/>
      <c r="P30" s="45"/>
      <c r="Q30" s="45"/>
      <c r="R30" s="45"/>
      <c r="S30" s="45"/>
      <c r="T30" s="45"/>
      <c r="U30" s="45">
        <f t="shared" si="0"/>
        <v>0</v>
      </c>
      <c r="V30" s="52">
        <f t="shared" si="1"/>
        <v>0</v>
      </c>
      <c r="W30" s="45">
        <f t="shared" si="2"/>
        <v>0</v>
      </c>
      <c r="X30" s="29"/>
      <c r="Y30" s="13"/>
      <c r="Z30" s="60"/>
      <c r="AA30" s="29"/>
      <c r="AB30" s="13"/>
      <c r="AC30" s="60"/>
      <c r="AD30" s="16"/>
      <c r="AE30" s="16"/>
      <c r="AF30" s="16"/>
      <c r="AG30" s="16"/>
      <c r="AH30" s="16"/>
      <c r="AI30" s="36"/>
      <c r="AK30" s="355">
        <f t="shared" si="3"/>
        <v>0</v>
      </c>
      <c r="AL30" s="355">
        <f t="shared" si="4"/>
        <v>0</v>
      </c>
      <c r="AM30" s="355">
        <f t="shared" si="5"/>
        <v>0</v>
      </c>
      <c r="AN30" s="356">
        <f t="shared" si="6"/>
        <v>0</v>
      </c>
      <c r="AP30" s="357">
        <f t="shared" si="7"/>
        <v>0</v>
      </c>
      <c r="AQ30" s="358">
        <f t="shared" si="8"/>
        <v>0</v>
      </c>
    </row>
    <row r="31" spans="1:44" ht="15" customHeight="1" x14ac:dyDescent="0.3">
      <c r="B31" s="11">
        <v>23</v>
      </c>
      <c r="C31" s="11"/>
      <c r="D31" s="11"/>
      <c r="E31" s="179"/>
      <c r="F31" s="117"/>
      <c r="G31" s="117"/>
      <c r="H31" s="36"/>
      <c r="I31" s="13"/>
      <c r="J31" s="60"/>
      <c r="K31" s="13"/>
      <c r="L31" s="13"/>
      <c r="M31" s="45"/>
      <c r="N31" s="45"/>
      <c r="O31" s="45"/>
      <c r="P31" s="45"/>
      <c r="Q31" s="45"/>
      <c r="R31" s="45"/>
      <c r="S31" s="45"/>
      <c r="T31" s="45"/>
      <c r="U31" s="45">
        <f t="shared" si="0"/>
        <v>0</v>
      </c>
      <c r="V31" s="52">
        <f t="shared" si="1"/>
        <v>0</v>
      </c>
      <c r="W31" s="45">
        <f t="shared" si="2"/>
        <v>0</v>
      </c>
      <c r="X31" s="29"/>
      <c r="Y31" s="13"/>
      <c r="Z31" s="60"/>
      <c r="AA31" s="29"/>
      <c r="AB31" s="13"/>
      <c r="AC31" s="60"/>
      <c r="AD31" s="16"/>
      <c r="AE31" s="16"/>
      <c r="AF31" s="16"/>
      <c r="AG31" s="16"/>
      <c r="AH31" s="16"/>
      <c r="AI31" s="178"/>
      <c r="AK31" s="355">
        <f t="shared" si="3"/>
        <v>0</v>
      </c>
      <c r="AL31" s="355">
        <f t="shared" si="4"/>
        <v>0</v>
      </c>
      <c r="AM31" s="355">
        <f t="shared" si="5"/>
        <v>0</v>
      </c>
      <c r="AN31" s="356">
        <f t="shared" si="6"/>
        <v>0</v>
      </c>
      <c r="AP31" s="357">
        <f t="shared" si="7"/>
        <v>0</v>
      </c>
      <c r="AQ31" s="358">
        <f t="shared" si="8"/>
        <v>0</v>
      </c>
    </row>
    <row r="32" spans="1:44" ht="15" customHeight="1" x14ac:dyDescent="0.3">
      <c r="B32" s="11">
        <v>24</v>
      </c>
      <c r="C32" s="11"/>
      <c r="D32" s="11"/>
      <c r="E32" s="179"/>
      <c r="F32" s="117"/>
      <c r="G32" s="117"/>
      <c r="H32" s="36"/>
      <c r="I32" s="13"/>
      <c r="J32" s="60"/>
      <c r="K32" s="13"/>
      <c r="L32" s="13"/>
      <c r="M32" s="45"/>
      <c r="N32" s="45"/>
      <c r="O32" s="45"/>
      <c r="P32" s="45"/>
      <c r="Q32" s="45"/>
      <c r="R32" s="45"/>
      <c r="S32" s="45"/>
      <c r="T32" s="45"/>
      <c r="U32" s="45">
        <f t="shared" si="0"/>
        <v>0</v>
      </c>
      <c r="V32" s="52">
        <f t="shared" si="1"/>
        <v>0</v>
      </c>
      <c r="W32" s="45">
        <f t="shared" si="2"/>
        <v>0</v>
      </c>
      <c r="X32" s="29"/>
      <c r="Y32" s="13"/>
      <c r="Z32" s="60"/>
      <c r="AA32" s="29"/>
      <c r="AB32" s="13"/>
      <c r="AC32" s="60"/>
      <c r="AD32" s="16"/>
      <c r="AE32" s="16"/>
      <c r="AF32" s="16"/>
      <c r="AG32" s="16"/>
      <c r="AH32" s="16"/>
      <c r="AI32" s="178"/>
      <c r="AK32" s="355">
        <f t="shared" si="3"/>
        <v>0</v>
      </c>
      <c r="AL32" s="355">
        <f t="shared" si="4"/>
        <v>0</v>
      </c>
      <c r="AM32" s="355">
        <f t="shared" si="5"/>
        <v>0</v>
      </c>
      <c r="AN32" s="356">
        <f t="shared" si="6"/>
        <v>0</v>
      </c>
      <c r="AP32" s="357">
        <f t="shared" si="7"/>
        <v>0</v>
      </c>
      <c r="AQ32" s="358">
        <f t="shared" si="8"/>
        <v>0</v>
      </c>
    </row>
    <row r="33" spans="1:43" ht="15" customHeight="1" x14ac:dyDescent="0.3">
      <c r="B33" s="11">
        <v>25</v>
      </c>
      <c r="C33" s="11"/>
      <c r="D33" s="11"/>
      <c r="E33" s="179"/>
      <c r="F33" s="117"/>
      <c r="G33" s="117"/>
      <c r="H33" s="36"/>
      <c r="I33" s="13"/>
      <c r="J33" s="60"/>
      <c r="K33" s="13"/>
      <c r="L33" s="13"/>
      <c r="M33" s="45"/>
      <c r="N33" s="45"/>
      <c r="O33" s="45"/>
      <c r="P33" s="45"/>
      <c r="Q33" s="45"/>
      <c r="R33" s="45"/>
      <c r="S33" s="45"/>
      <c r="T33" s="45"/>
      <c r="U33" s="45">
        <f t="shared" si="0"/>
        <v>0</v>
      </c>
      <c r="V33" s="52">
        <f t="shared" si="1"/>
        <v>0</v>
      </c>
      <c r="W33" s="45">
        <f t="shared" si="2"/>
        <v>0</v>
      </c>
      <c r="X33" s="29"/>
      <c r="Y33" s="13"/>
      <c r="Z33" s="60"/>
      <c r="AA33" s="29"/>
      <c r="AB33" s="13"/>
      <c r="AC33" s="60"/>
      <c r="AD33" s="16"/>
      <c r="AE33" s="16"/>
      <c r="AF33" s="16"/>
      <c r="AG33" s="16"/>
      <c r="AH33" s="16"/>
      <c r="AI33" s="178"/>
      <c r="AK33" s="355">
        <f t="shared" si="3"/>
        <v>0</v>
      </c>
      <c r="AL33" s="355">
        <f t="shared" si="4"/>
        <v>0</v>
      </c>
      <c r="AM33" s="355">
        <f t="shared" si="5"/>
        <v>0</v>
      </c>
      <c r="AN33" s="356">
        <f t="shared" si="6"/>
        <v>0</v>
      </c>
      <c r="AP33" s="357">
        <f t="shared" si="7"/>
        <v>0</v>
      </c>
      <c r="AQ33" s="358">
        <f t="shared" si="8"/>
        <v>0</v>
      </c>
    </row>
    <row r="34" spans="1:43" ht="15" customHeight="1" x14ac:dyDescent="0.3">
      <c r="B34" s="11">
        <v>26</v>
      </c>
      <c r="C34" s="11"/>
      <c r="D34" s="11"/>
      <c r="E34" s="179"/>
      <c r="F34" s="117"/>
      <c r="G34" s="117"/>
      <c r="H34" s="36"/>
      <c r="I34" s="13"/>
      <c r="J34" s="60"/>
      <c r="K34" s="13"/>
      <c r="L34" s="13"/>
      <c r="M34" s="45"/>
      <c r="N34" s="45"/>
      <c r="O34" s="45"/>
      <c r="P34" s="45"/>
      <c r="Q34" s="45"/>
      <c r="R34" s="45"/>
      <c r="S34" s="45"/>
      <c r="T34" s="45"/>
      <c r="U34" s="45">
        <f t="shared" si="0"/>
        <v>0</v>
      </c>
      <c r="V34" s="52">
        <f t="shared" si="1"/>
        <v>0</v>
      </c>
      <c r="W34" s="45">
        <f t="shared" si="2"/>
        <v>0</v>
      </c>
      <c r="X34" s="29"/>
      <c r="Y34" s="13"/>
      <c r="Z34" s="60"/>
      <c r="AA34" s="29"/>
      <c r="AB34" s="13"/>
      <c r="AC34" s="60"/>
      <c r="AD34" s="16"/>
      <c r="AE34" s="16"/>
      <c r="AF34" s="16"/>
      <c r="AG34" s="16"/>
      <c r="AH34" s="16"/>
      <c r="AI34" s="36"/>
      <c r="AK34" s="355">
        <f t="shared" si="3"/>
        <v>0</v>
      </c>
      <c r="AL34" s="355">
        <f t="shared" si="4"/>
        <v>0</v>
      </c>
      <c r="AM34" s="355">
        <f t="shared" si="5"/>
        <v>0</v>
      </c>
      <c r="AN34" s="356">
        <f t="shared" si="6"/>
        <v>0</v>
      </c>
      <c r="AP34" s="357">
        <f t="shared" si="7"/>
        <v>0</v>
      </c>
      <c r="AQ34" s="358">
        <f t="shared" si="8"/>
        <v>0</v>
      </c>
    </row>
    <row r="35" spans="1:43" ht="15" customHeight="1" x14ac:dyDescent="0.3">
      <c r="A35" s="42"/>
      <c r="B35" s="11">
        <v>27</v>
      </c>
      <c r="C35" s="11"/>
      <c r="D35" s="11"/>
      <c r="E35" s="179"/>
      <c r="F35" s="117"/>
      <c r="G35" s="117"/>
      <c r="H35" s="36"/>
      <c r="I35" s="13"/>
      <c r="J35" s="60"/>
      <c r="K35" s="13"/>
      <c r="L35" s="13"/>
      <c r="M35" s="45"/>
      <c r="N35" s="45"/>
      <c r="O35" s="45"/>
      <c r="P35" s="45"/>
      <c r="Q35" s="45"/>
      <c r="R35" s="45"/>
      <c r="S35" s="45"/>
      <c r="T35" s="45"/>
      <c r="U35" s="45">
        <f t="shared" si="0"/>
        <v>0</v>
      </c>
      <c r="V35" s="52">
        <f t="shared" si="1"/>
        <v>0</v>
      </c>
      <c r="W35" s="45">
        <f t="shared" si="2"/>
        <v>0</v>
      </c>
      <c r="X35" s="29"/>
      <c r="Y35" s="13"/>
      <c r="Z35" s="60"/>
      <c r="AA35" s="29"/>
      <c r="AB35" s="13"/>
      <c r="AC35" s="60"/>
      <c r="AD35" s="16"/>
      <c r="AE35" s="16"/>
      <c r="AF35" s="16"/>
      <c r="AG35" s="16"/>
      <c r="AH35" s="16"/>
      <c r="AI35" s="178"/>
      <c r="AK35" s="355">
        <f t="shared" si="3"/>
        <v>0</v>
      </c>
      <c r="AL35" s="355">
        <f t="shared" si="4"/>
        <v>0</v>
      </c>
      <c r="AM35" s="355">
        <f t="shared" si="5"/>
        <v>0</v>
      </c>
      <c r="AN35" s="356">
        <f t="shared" si="6"/>
        <v>0</v>
      </c>
      <c r="AP35" s="357">
        <f t="shared" si="7"/>
        <v>0</v>
      </c>
      <c r="AQ35" s="358">
        <f t="shared" si="8"/>
        <v>0</v>
      </c>
    </row>
    <row r="36" spans="1:43" ht="15" customHeight="1" x14ac:dyDescent="0.3">
      <c r="B36" s="11">
        <v>28</v>
      </c>
      <c r="C36" s="11"/>
      <c r="D36" s="11"/>
      <c r="E36" s="179"/>
      <c r="F36" s="117"/>
      <c r="G36" s="117"/>
      <c r="H36" s="36"/>
      <c r="I36" s="13"/>
      <c r="J36" s="60"/>
      <c r="K36" s="13"/>
      <c r="L36" s="13"/>
      <c r="M36" s="45"/>
      <c r="N36" s="45"/>
      <c r="O36" s="45"/>
      <c r="P36" s="45"/>
      <c r="Q36" s="45"/>
      <c r="R36" s="45"/>
      <c r="S36" s="45"/>
      <c r="T36" s="45"/>
      <c r="U36" s="45">
        <f t="shared" si="0"/>
        <v>0</v>
      </c>
      <c r="V36" s="52">
        <f t="shared" si="1"/>
        <v>0</v>
      </c>
      <c r="W36" s="45">
        <f t="shared" si="2"/>
        <v>0</v>
      </c>
      <c r="X36" s="29"/>
      <c r="Y36" s="13"/>
      <c r="Z36" s="60"/>
      <c r="AA36" s="29"/>
      <c r="AB36" s="13"/>
      <c r="AC36" s="60"/>
      <c r="AD36" s="16"/>
      <c r="AE36" s="16"/>
      <c r="AF36" s="16"/>
      <c r="AG36" s="16"/>
      <c r="AH36" s="16"/>
      <c r="AI36" s="36"/>
      <c r="AK36" s="355">
        <f t="shared" si="3"/>
        <v>0</v>
      </c>
      <c r="AL36" s="355">
        <f t="shared" si="4"/>
        <v>0</v>
      </c>
      <c r="AM36" s="355">
        <f t="shared" si="5"/>
        <v>0</v>
      </c>
      <c r="AN36" s="356">
        <f t="shared" si="6"/>
        <v>0</v>
      </c>
      <c r="AP36" s="357">
        <f t="shared" si="7"/>
        <v>0</v>
      </c>
      <c r="AQ36" s="358">
        <f t="shared" si="8"/>
        <v>0</v>
      </c>
    </row>
    <row r="37" spans="1:43" ht="15" customHeight="1" x14ac:dyDescent="0.3">
      <c r="B37" s="11">
        <v>29</v>
      </c>
      <c r="C37" s="11"/>
      <c r="D37" s="11"/>
      <c r="E37" s="179"/>
      <c r="F37" s="117"/>
      <c r="G37" s="117"/>
      <c r="H37" s="36"/>
      <c r="I37" s="13"/>
      <c r="J37" s="60"/>
      <c r="K37" s="13"/>
      <c r="L37" s="13"/>
      <c r="M37" s="45"/>
      <c r="N37" s="45"/>
      <c r="O37" s="45"/>
      <c r="P37" s="45"/>
      <c r="Q37" s="45"/>
      <c r="R37" s="45"/>
      <c r="S37" s="45"/>
      <c r="T37" s="45"/>
      <c r="U37" s="45">
        <f t="shared" si="0"/>
        <v>0</v>
      </c>
      <c r="V37" s="52">
        <f t="shared" si="1"/>
        <v>0</v>
      </c>
      <c r="W37" s="45">
        <f t="shared" si="2"/>
        <v>0</v>
      </c>
      <c r="X37" s="29"/>
      <c r="Y37" s="13"/>
      <c r="Z37" s="60"/>
      <c r="AA37" s="29"/>
      <c r="AB37" s="13"/>
      <c r="AC37" s="60"/>
      <c r="AD37" s="16"/>
      <c r="AE37" s="16"/>
      <c r="AF37" s="16"/>
      <c r="AG37" s="16"/>
      <c r="AH37" s="16"/>
      <c r="AI37" s="36"/>
      <c r="AK37" s="355">
        <f t="shared" si="3"/>
        <v>0</v>
      </c>
      <c r="AL37" s="355">
        <f t="shared" si="4"/>
        <v>0</v>
      </c>
      <c r="AM37" s="355">
        <f t="shared" si="5"/>
        <v>0</v>
      </c>
      <c r="AN37" s="356">
        <f t="shared" si="6"/>
        <v>0</v>
      </c>
      <c r="AP37" s="357">
        <f t="shared" si="7"/>
        <v>0</v>
      </c>
      <c r="AQ37" s="358">
        <f t="shared" si="8"/>
        <v>0</v>
      </c>
    </row>
    <row r="38" spans="1:43" ht="15" customHeight="1" x14ac:dyDescent="0.3">
      <c r="B38" s="11">
        <v>30</v>
      </c>
      <c r="C38" s="11"/>
      <c r="D38" s="11"/>
      <c r="E38" s="104"/>
      <c r="F38" s="117"/>
      <c r="G38" s="117"/>
      <c r="H38" s="36"/>
      <c r="I38" s="13"/>
      <c r="J38" s="60"/>
      <c r="K38" s="13"/>
      <c r="L38" s="13"/>
      <c r="M38" s="45"/>
      <c r="N38" s="45"/>
      <c r="O38" s="45"/>
      <c r="P38" s="45"/>
      <c r="Q38" s="45"/>
      <c r="R38" s="45"/>
      <c r="S38" s="45"/>
      <c r="T38" s="45"/>
      <c r="U38" s="45">
        <f t="shared" si="0"/>
        <v>0</v>
      </c>
      <c r="V38" s="52">
        <f t="shared" si="1"/>
        <v>0</v>
      </c>
      <c r="W38" s="45">
        <f t="shared" si="2"/>
        <v>0</v>
      </c>
      <c r="X38" s="13"/>
      <c r="Y38" s="13"/>
      <c r="Z38" s="60"/>
      <c r="AA38" s="13"/>
      <c r="AB38" s="13"/>
      <c r="AC38" s="60"/>
      <c r="AD38" s="65"/>
      <c r="AE38" s="16"/>
      <c r="AF38" s="16"/>
      <c r="AG38" s="16"/>
      <c r="AH38" s="16"/>
      <c r="AI38" s="36"/>
      <c r="AK38" s="355">
        <f t="shared" si="3"/>
        <v>0</v>
      </c>
      <c r="AL38" s="355">
        <f t="shared" si="4"/>
        <v>0</v>
      </c>
      <c r="AM38" s="355">
        <f t="shared" si="5"/>
        <v>0</v>
      </c>
      <c r="AN38" s="356">
        <f t="shared" si="6"/>
        <v>0</v>
      </c>
      <c r="AP38" s="357">
        <f t="shared" si="7"/>
        <v>0</v>
      </c>
      <c r="AQ38" s="358">
        <f t="shared" si="8"/>
        <v>0</v>
      </c>
    </row>
    <row r="39" spans="1:43" x14ac:dyDescent="0.3">
      <c r="B39" s="11"/>
      <c r="C39" s="11"/>
      <c r="D39" s="11"/>
      <c r="E39" s="62"/>
      <c r="F39" s="117"/>
      <c r="G39" s="117"/>
      <c r="H39" s="117"/>
      <c r="I39" s="13"/>
      <c r="J39" s="60"/>
      <c r="K39" s="13"/>
      <c r="L39" s="13"/>
      <c r="M39" s="45"/>
      <c r="N39" s="45"/>
      <c r="O39" s="45"/>
      <c r="P39" s="45"/>
      <c r="Q39" s="45"/>
      <c r="R39" s="45"/>
      <c r="S39" s="45"/>
      <c r="T39" s="45"/>
      <c r="U39" s="45">
        <f t="shared" si="0"/>
        <v>0</v>
      </c>
      <c r="V39" s="52">
        <f t="shared" si="1"/>
        <v>0</v>
      </c>
      <c r="W39" s="45">
        <f t="shared" si="2"/>
        <v>0</v>
      </c>
      <c r="X39" s="13"/>
      <c r="Y39" s="13"/>
      <c r="Z39" s="13"/>
      <c r="AA39" s="13"/>
      <c r="AB39" s="13"/>
      <c r="AC39" s="60"/>
      <c r="AD39" s="16"/>
      <c r="AE39" s="16"/>
      <c r="AF39" s="16"/>
      <c r="AG39" s="16"/>
      <c r="AH39" s="16"/>
      <c r="AI39" s="178"/>
      <c r="AK39" s="355"/>
      <c r="AL39" s="355"/>
      <c r="AM39" s="355"/>
      <c r="AN39" s="356"/>
      <c r="AP39" s="357"/>
      <c r="AQ39" s="358"/>
    </row>
    <row r="40" spans="1:43" x14ac:dyDescent="0.3">
      <c r="B40" s="58"/>
      <c r="C40" s="58"/>
      <c r="D40" s="58"/>
      <c r="E40" s="102"/>
      <c r="F40" s="183"/>
      <c r="G40" s="183"/>
      <c r="H40" s="22"/>
      <c r="I40" s="19"/>
      <c r="J40" s="80"/>
      <c r="K40" s="19"/>
      <c r="L40" s="19"/>
      <c r="M40" s="2">
        <f>SUBTOTAL(9,M9:M39)</f>
        <v>0</v>
      </c>
      <c r="N40" s="2"/>
      <c r="O40" s="2">
        <f>SUBTOTAL(9,O9:O39)</f>
        <v>0</v>
      </c>
      <c r="P40" s="2"/>
      <c r="Q40" s="2">
        <f t="shared" ref="Q40:W40" si="9">SUBTOTAL(9,Q9:Q39)</f>
        <v>0</v>
      </c>
      <c r="R40" s="2">
        <f t="shared" si="9"/>
        <v>0</v>
      </c>
      <c r="S40" s="2">
        <f t="shared" si="9"/>
        <v>0</v>
      </c>
      <c r="T40" s="2">
        <f t="shared" si="9"/>
        <v>0</v>
      </c>
      <c r="U40" s="2">
        <f t="shared" si="9"/>
        <v>0</v>
      </c>
      <c r="V40" s="134">
        <f t="shared" si="9"/>
        <v>0</v>
      </c>
      <c r="W40" s="2">
        <f t="shared" si="9"/>
        <v>0</v>
      </c>
      <c r="X40" s="19"/>
      <c r="Y40" s="19"/>
      <c r="Z40" s="19"/>
      <c r="AA40" s="19"/>
      <c r="AB40" s="19"/>
      <c r="AC40" s="80"/>
      <c r="AD40" s="56"/>
      <c r="AE40" s="56"/>
      <c r="AF40" s="56"/>
      <c r="AG40" s="56"/>
      <c r="AH40" s="56"/>
      <c r="AI40" s="57"/>
      <c r="AK40" s="367"/>
      <c r="AL40" s="367"/>
      <c r="AM40" s="367"/>
      <c r="AN40" s="356"/>
      <c r="AP40" s="357"/>
    </row>
    <row r="41" spans="1:43" x14ac:dyDescent="0.3">
      <c r="A41" s="50"/>
      <c r="F41" s="28"/>
      <c r="G41" s="28"/>
      <c r="H41" s="101"/>
      <c r="I41" s="101"/>
      <c r="K41" s="101"/>
      <c r="L41" s="101"/>
      <c r="M41" s="55"/>
      <c r="T41" s="46"/>
      <c r="U41" s="46"/>
      <c r="V41" s="46"/>
      <c r="W41" s="46"/>
      <c r="AC41" s="184"/>
      <c r="AD41" s="38"/>
      <c r="AE41" s="38"/>
      <c r="AF41" s="155"/>
      <c r="AG41" s="155"/>
      <c r="AH41" s="155"/>
    </row>
    <row r="43" spans="1:43" ht="15.75" customHeight="1" thickBot="1" x14ac:dyDescent="0.35">
      <c r="E43" s="103"/>
      <c r="H43" s="42"/>
      <c r="I43" s="14"/>
      <c r="K43" s="14"/>
      <c r="L43" s="14"/>
      <c r="M43" s="24">
        <f>SUM(M9:M39)</f>
        <v>0</v>
      </c>
      <c r="N43" s="24">
        <f>SUM(N9:N39)</f>
        <v>0</v>
      </c>
      <c r="O43" s="24">
        <f>SUM(O9:O39)</f>
        <v>0</v>
      </c>
      <c r="P43" s="24"/>
      <c r="Q43" s="24">
        <f t="shared" ref="Q43:W43" si="10">SUM(Q9:Q39)</f>
        <v>0</v>
      </c>
      <c r="R43" s="24">
        <f t="shared" si="10"/>
        <v>0</v>
      </c>
      <c r="S43" s="24">
        <f t="shared" si="10"/>
        <v>0</v>
      </c>
      <c r="T43" s="24">
        <f t="shared" si="10"/>
        <v>0</v>
      </c>
      <c r="U43" s="24">
        <f t="shared" si="10"/>
        <v>0</v>
      </c>
      <c r="V43" s="24">
        <f t="shared" si="10"/>
        <v>0</v>
      </c>
      <c r="W43" s="24">
        <f t="shared" si="10"/>
        <v>0</v>
      </c>
      <c r="X43" s="14"/>
      <c r="Y43" s="14"/>
      <c r="Z43" s="14"/>
      <c r="AA43" s="14"/>
      <c r="AB43" s="14"/>
      <c r="AK43" s="360">
        <f>SUM(AK9:AK39)</f>
        <v>0</v>
      </c>
      <c r="AL43" s="360">
        <f>SUM(AL9:AL39)</f>
        <v>0</v>
      </c>
      <c r="AM43" s="360">
        <f>SUM(AM9:AM39)</f>
        <v>0</v>
      </c>
      <c r="AP43" s="368">
        <f>SUM(AP9:AP39)</f>
        <v>0</v>
      </c>
    </row>
    <row r="44" spans="1:43" ht="15.75" customHeight="1" thickTop="1" x14ac:dyDescent="0.3">
      <c r="F44" s="28"/>
      <c r="G44" s="28"/>
      <c r="AC44" s="185"/>
      <c r="AD44" s="3"/>
      <c r="AE44" s="3"/>
      <c r="AF44" s="14"/>
      <c r="AG44" s="14"/>
      <c r="AH44" s="14"/>
    </row>
    <row r="45" spans="1:43" x14ac:dyDescent="0.3">
      <c r="E45" s="167" t="s">
        <v>52</v>
      </c>
      <c r="F45" s="167" t="s">
        <v>238</v>
      </c>
      <c r="G45" s="167"/>
      <c r="H45" s="167" t="s">
        <v>239</v>
      </c>
      <c r="I45" s="167" t="s">
        <v>240</v>
      </c>
      <c r="J45" s="167" t="s">
        <v>233</v>
      </c>
      <c r="K45" s="167" t="s">
        <v>32</v>
      </c>
    </row>
    <row r="46" spans="1:43" x14ac:dyDescent="0.3">
      <c r="F46" s="89">
        <f t="shared" ref="F46:F67" si="11">SUMIF($E$10:$E$39,E46,$M$9:$M$39)+SUMIF($E$10:$E$39,E46,$O$9:$O$39)</f>
        <v>0</v>
      </c>
      <c r="G46" s="89"/>
      <c r="H46" s="89">
        <f t="shared" ref="H46:H67" si="12">SUMIF($E$10:$E$39,E46,$Q$9:$Q$39)+SUMIF($E$10:$E$39,E46,$R$9:$R$39)</f>
        <v>0</v>
      </c>
      <c r="I46" s="89">
        <f t="shared" ref="I46:I67" si="13">SUMIF($E$10:$E$39,E46,$T$9:$T$39)</f>
        <v>0</v>
      </c>
      <c r="J46" s="89">
        <f t="shared" ref="J46:J67" si="14">SUMIF($E$10:$E$39,E46,$S$9:$S$39)</f>
        <v>0</v>
      </c>
      <c r="K46" s="186">
        <f t="shared" ref="K46:K67" si="15">SUM(F46:J46)</f>
        <v>0</v>
      </c>
      <c r="M46" s="89"/>
      <c r="N46" s="89"/>
    </row>
    <row r="47" spans="1:43" x14ac:dyDescent="0.3">
      <c r="F47" s="89">
        <f t="shared" si="11"/>
        <v>0</v>
      </c>
      <c r="G47" s="89"/>
      <c r="H47" s="89">
        <f t="shared" si="12"/>
        <v>0</v>
      </c>
      <c r="I47" s="89">
        <f t="shared" si="13"/>
        <v>0</v>
      </c>
      <c r="J47" s="89">
        <f t="shared" si="14"/>
        <v>0</v>
      </c>
      <c r="K47" s="186">
        <f t="shared" si="15"/>
        <v>0</v>
      </c>
      <c r="M47" s="8"/>
      <c r="N47" s="8"/>
      <c r="O47" s="403" t="s">
        <v>55</v>
      </c>
      <c r="P47" s="404"/>
      <c r="Q47" s="404"/>
      <c r="R47" s="405"/>
      <c r="S47" s="8"/>
      <c r="T47" s="46"/>
      <c r="U47" s="417" t="s">
        <v>56</v>
      </c>
      <c r="V47" s="404"/>
      <c r="W47" s="405"/>
      <c r="X47" s="187"/>
      <c r="Y47" s="188"/>
      <c r="Z47" s="188"/>
      <c r="AC47" s="8"/>
      <c r="AD47" s="61"/>
    </row>
    <row r="48" spans="1:43" x14ac:dyDescent="0.3">
      <c r="F48" s="89">
        <f t="shared" si="11"/>
        <v>0</v>
      </c>
      <c r="G48" s="89"/>
      <c r="H48" s="89">
        <f t="shared" si="12"/>
        <v>0</v>
      </c>
      <c r="I48" s="89">
        <f t="shared" si="13"/>
        <v>0</v>
      </c>
      <c r="J48" s="89">
        <f t="shared" si="14"/>
        <v>0</v>
      </c>
      <c r="K48" s="189">
        <f t="shared" si="15"/>
        <v>0</v>
      </c>
      <c r="M48" s="8"/>
      <c r="N48" s="8"/>
      <c r="O48" s="16" t="s">
        <v>57</v>
      </c>
      <c r="P48" s="90" t="s">
        <v>58</v>
      </c>
      <c r="Q48" s="98" t="s">
        <v>59</v>
      </c>
      <c r="R48" s="190" t="s">
        <v>241</v>
      </c>
      <c r="S48" s="46"/>
      <c r="T48" s="89"/>
      <c r="U48" s="16" t="s">
        <v>57</v>
      </c>
      <c r="V48" s="90" t="s">
        <v>58</v>
      </c>
      <c r="W48" s="191" t="s">
        <v>59</v>
      </c>
      <c r="X48" s="192"/>
      <c r="AC48" s="8"/>
      <c r="AD48" s="61"/>
    </row>
    <row r="49" spans="6:35" x14ac:dyDescent="0.3">
      <c r="F49" s="89">
        <f t="shared" si="11"/>
        <v>0</v>
      </c>
      <c r="G49" s="89"/>
      <c r="H49" s="89">
        <f t="shared" si="12"/>
        <v>0</v>
      </c>
      <c r="I49" s="89">
        <f t="shared" si="13"/>
        <v>0</v>
      </c>
      <c r="J49" s="89">
        <f t="shared" si="14"/>
        <v>0</v>
      </c>
      <c r="K49" s="186">
        <f t="shared" si="15"/>
        <v>0</v>
      </c>
      <c r="M49" s="8"/>
      <c r="N49" s="8"/>
      <c r="O49" s="193">
        <f>SUMIF($AD$9:$AD$38,O48,$AM$9:$AM$38)</f>
        <v>0</v>
      </c>
      <c r="P49" s="193">
        <f>SUMIF($AD$9:$AD$38,P48,$AM$9:$AM$38)</f>
        <v>0</v>
      </c>
      <c r="Q49" s="193">
        <f>SUMIF($AD$9:$AD$38,Q48,$AM$9:$AM$38)</f>
        <v>0</v>
      </c>
      <c r="R49" s="193">
        <f>SUMIF($AD$9:$AD$38,R48,$AM$9:$AM$38)</f>
        <v>0</v>
      </c>
      <c r="S49" s="93">
        <f>SUM(O49:R49)</f>
        <v>0</v>
      </c>
      <c r="U49" s="193">
        <f>SUMIF($AD$9:$AD$38,U48,$AP$9:$AP$38)</f>
        <v>0</v>
      </c>
      <c r="V49" s="193">
        <f>SUMIF($AD$9:$AD$38,V48,$AP$9:$AP$38)</f>
        <v>0</v>
      </c>
      <c r="W49" s="193">
        <f>SUMIF($AD$9:$AD$38,W48,$AP$9:$AP$38)</f>
        <v>0</v>
      </c>
      <c r="X49" s="115">
        <f>SUM(U49:W49)</f>
        <v>0</v>
      </c>
      <c r="Y49" s="115"/>
      <c r="Z49" s="115"/>
      <c r="AC49" s="8"/>
      <c r="AD49" s="61"/>
    </row>
    <row r="50" spans="6:35" x14ac:dyDescent="0.3">
      <c r="F50" s="89">
        <f t="shared" si="11"/>
        <v>0</v>
      </c>
      <c r="G50" s="89"/>
      <c r="H50" s="89">
        <f t="shared" si="12"/>
        <v>0</v>
      </c>
      <c r="I50" s="89">
        <f t="shared" si="13"/>
        <v>0</v>
      </c>
      <c r="J50" s="89">
        <f t="shared" si="14"/>
        <v>0</v>
      </c>
      <c r="K50" s="186">
        <f t="shared" si="15"/>
        <v>0</v>
      </c>
      <c r="M50" s="8"/>
      <c r="N50" s="8"/>
      <c r="O50" s="8"/>
      <c r="S50" s="95">
        <f>S49-AM43</f>
        <v>0</v>
      </c>
      <c r="U50" s="32"/>
      <c r="V50" s="32"/>
      <c r="W50" s="96"/>
      <c r="X50" s="95">
        <f>X49-AP43</f>
        <v>0</v>
      </c>
      <c r="Y50" s="95"/>
      <c r="Z50" s="95"/>
      <c r="AC50" s="8"/>
      <c r="AD50" s="61"/>
    </row>
    <row r="51" spans="6:35" x14ac:dyDescent="0.3">
      <c r="F51" s="89">
        <f t="shared" si="11"/>
        <v>0</v>
      </c>
      <c r="G51" s="89"/>
      <c r="H51" s="89">
        <f t="shared" si="12"/>
        <v>0</v>
      </c>
      <c r="I51" s="89">
        <f t="shared" si="13"/>
        <v>0</v>
      </c>
      <c r="J51" s="89">
        <f t="shared" si="14"/>
        <v>0</v>
      </c>
      <c r="K51" s="186">
        <f t="shared" si="15"/>
        <v>0</v>
      </c>
      <c r="M51" s="46"/>
      <c r="N51" s="46"/>
      <c r="O51" s="46"/>
      <c r="P51" s="46"/>
      <c r="Q51" s="46"/>
      <c r="R51" s="46"/>
      <c r="S51" s="46"/>
      <c r="T51" s="66"/>
      <c r="AC51" s="8"/>
      <c r="AD51" s="61"/>
    </row>
    <row r="52" spans="6:35" x14ac:dyDescent="0.3">
      <c r="F52" s="89">
        <f t="shared" si="11"/>
        <v>0</v>
      </c>
      <c r="G52" s="89"/>
      <c r="H52" s="89">
        <f t="shared" si="12"/>
        <v>0</v>
      </c>
      <c r="I52" s="89">
        <f t="shared" si="13"/>
        <v>0</v>
      </c>
      <c r="J52" s="89">
        <f t="shared" si="14"/>
        <v>0</v>
      </c>
      <c r="K52" s="189">
        <f t="shared" si="15"/>
        <v>0</v>
      </c>
      <c r="L52" s="119"/>
      <c r="M52" s="8"/>
      <c r="N52" s="8"/>
      <c r="O52" s="27"/>
      <c r="P52" s="27"/>
      <c r="Q52" s="46"/>
      <c r="R52" s="46" t="s">
        <v>60</v>
      </c>
      <c r="S52" s="46">
        <f>Q49</f>
        <v>0</v>
      </c>
      <c r="V52" s="46"/>
      <c r="W52" s="46"/>
      <c r="X52" s="46"/>
      <c r="Y52" s="46"/>
      <c r="Z52" s="46"/>
      <c r="AA52" s="66"/>
      <c r="AC52" s="8"/>
      <c r="AD52" s="61"/>
    </row>
    <row r="53" spans="6:35" ht="15.75" customHeight="1" thickBot="1" x14ac:dyDescent="0.35">
      <c r="F53" s="89">
        <f t="shared" si="11"/>
        <v>0</v>
      </c>
      <c r="G53" s="89"/>
      <c r="H53" s="89">
        <f t="shared" si="12"/>
        <v>0</v>
      </c>
      <c r="I53" s="89">
        <f t="shared" si="13"/>
        <v>0</v>
      </c>
      <c r="J53" s="89">
        <f t="shared" si="14"/>
        <v>0</v>
      </c>
      <c r="K53" s="189">
        <f t="shared" si="15"/>
        <v>0</v>
      </c>
      <c r="L53" s="119"/>
      <c r="M53" s="8"/>
      <c r="N53" s="8"/>
      <c r="O53" s="27"/>
      <c r="P53" s="27"/>
      <c r="Q53" s="46"/>
      <c r="R53" s="97" t="s">
        <v>61</v>
      </c>
      <c r="S53" s="97">
        <f>O49+P49+U49+V49+W49</f>
        <v>0</v>
      </c>
      <c r="V53" s="46"/>
      <c r="W53" s="46"/>
      <c r="X53" s="46"/>
      <c r="Y53" s="46"/>
      <c r="Z53" s="46"/>
      <c r="AA53" s="66"/>
      <c r="AC53" s="8"/>
      <c r="AD53" s="61"/>
    </row>
    <row r="54" spans="6:35" ht="15.75" customHeight="1" thickTop="1" x14ac:dyDescent="0.3">
      <c r="F54" s="89">
        <f t="shared" si="11"/>
        <v>0</v>
      </c>
      <c r="G54" s="89"/>
      <c r="H54" s="89">
        <f t="shared" si="12"/>
        <v>0</v>
      </c>
      <c r="I54" s="89">
        <f t="shared" si="13"/>
        <v>0</v>
      </c>
      <c r="J54" s="89">
        <f t="shared" si="14"/>
        <v>0</v>
      </c>
      <c r="K54" s="189">
        <f t="shared" si="15"/>
        <v>0</v>
      </c>
      <c r="L54" s="119"/>
      <c r="M54" s="8"/>
      <c r="N54" s="8"/>
      <c r="O54" s="27"/>
      <c r="P54" s="27"/>
      <c r="Q54" s="46"/>
      <c r="R54" s="46" t="s">
        <v>62</v>
      </c>
      <c r="S54" s="46">
        <f>SUM(S52:S53)</f>
        <v>0</v>
      </c>
      <c r="V54" s="46"/>
      <c r="W54" s="46"/>
      <c r="X54" s="46"/>
      <c r="Y54" s="46"/>
      <c r="Z54" s="46"/>
      <c r="AA54" s="66"/>
      <c r="AC54" s="8"/>
      <c r="AD54" s="61"/>
    </row>
    <row r="55" spans="6:35" x14ac:dyDescent="0.3">
      <c r="F55" s="89">
        <f t="shared" si="11"/>
        <v>0</v>
      </c>
      <c r="G55" s="89"/>
      <c r="H55" s="89">
        <f t="shared" si="12"/>
        <v>0</v>
      </c>
      <c r="I55" s="89">
        <f t="shared" si="13"/>
        <v>0</v>
      </c>
      <c r="J55" s="89">
        <f t="shared" si="14"/>
        <v>0</v>
      </c>
      <c r="K55" s="189">
        <f t="shared" si="15"/>
        <v>0</v>
      </c>
      <c r="X55" s="42"/>
      <c r="Y55" s="42"/>
      <c r="Z55" s="42"/>
      <c r="AC55" s="8"/>
      <c r="AD55" s="61"/>
    </row>
    <row r="56" spans="6:35" x14ac:dyDescent="0.3">
      <c r="F56" s="89">
        <f t="shared" si="11"/>
        <v>0</v>
      </c>
      <c r="G56" s="89"/>
      <c r="H56" s="89">
        <f t="shared" si="12"/>
        <v>0</v>
      </c>
      <c r="I56" s="89">
        <f t="shared" si="13"/>
        <v>0</v>
      </c>
      <c r="J56" s="89">
        <f t="shared" si="14"/>
        <v>0</v>
      </c>
      <c r="K56" s="189">
        <f t="shared" si="15"/>
        <v>0</v>
      </c>
      <c r="L56" s="139"/>
      <c r="X56" s="42"/>
      <c r="Y56" s="42"/>
      <c r="Z56" s="42"/>
      <c r="AA56" s="139"/>
      <c r="AB56" s="139"/>
      <c r="AC56" s="139"/>
      <c r="AD56" s="61"/>
      <c r="AI56" s="194"/>
    </row>
    <row r="57" spans="6:35" x14ac:dyDescent="0.3">
      <c r="F57" s="89">
        <f t="shared" si="11"/>
        <v>0</v>
      </c>
      <c r="G57" s="89"/>
      <c r="H57" s="89">
        <f t="shared" si="12"/>
        <v>0</v>
      </c>
      <c r="I57" s="89">
        <f t="shared" si="13"/>
        <v>0</v>
      </c>
      <c r="J57" s="89">
        <f t="shared" si="14"/>
        <v>0</v>
      </c>
      <c r="K57" s="189">
        <f t="shared" si="15"/>
        <v>0</v>
      </c>
      <c r="L57" s="195"/>
      <c r="X57" s="42"/>
      <c r="Y57" s="42"/>
      <c r="Z57" s="42"/>
      <c r="AA57" s="139"/>
      <c r="AB57" s="139"/>
      <c r="AC57" s="139"/>
      <c r="AD57" s="61"/>
      <c r="AI57" s="32"/>
    </row>
    <row r="58" spans="6:35" x14ac:dyDescent="0.3">
      <c r="F58" s="89">
        <f t="shared" si="11"/>
        <v>0</v>
      </c>
      <c r="G58" s="89"/>
      <c r="H58" s="89">
        <f t="shared" si="12"/>
        <v>0</v>
      </c>
      <c r="I58" s="89">
        <f t="shared" si="13"/>
        <v>0</v>
      </c>
      <c r="J58" s="89">
        <f t="shared" si="14"/>
        <v>0</v>
      </c>
      <c r="K58" s="189">
        <f t="shared" si="15"/>
        <v>0</v>
      </c>
      <c r="L58" s="139"/>
      <c r="X58" s="42"/>
      <c r="Y58" s="42"/>
      <c r="Z58" s="42"/>
      <c r="AA58" s="139"/>
      <c r="AB58" s="139"/>
      <c r="AC58" s="139"/>
      <c r="AD58" s="61"/>
      <c r="AI58" s="194"/>
    </row>
    <row r="59" spans="6:35" x14ac:dyDescent="0.3">
      <c r="F59" s="89">
        <f t="shared" si="11"/>
        <v>0</v>
      </c>
      <c r="G59" s="89"/>
      <c r="H59" s="89">
        <f t="shared" si="12"/>
        <v>0</v>
      </c>
      <c r="I59" s="89">
        <f t="shared" si="13"/>
        <v>0</v>
      </c>
      <c r="J59" s="89">
        <f t="shared" si="14"/>
        <v>0</v>
      </c>
      <c r="K59" s="186">
        <f t="shared" si="15"/>
        <v>0</v>
      </c>
      <c r="L59" s="139"/>
      <c r="X59" s="139"/>
      <c r="Y59" s="139"/>
      <c r="Z59" s="139"/>
      <c r="AA59" s="139"/>
      <c r="AB59" s="139"/>
    </row>
    <row r="60" spans="6:35" x14ac:dyDescent="0.3">
      <c r="F60" s="89">
        <f t="shared" si="11"/>
        <v>0</v>
      </c>
      <c r="G60" s="89"/>
      <c r="H60" s="89">
        <f t="shared" si="12"/>
        <v>0</v>
      </c>
      <c r="I60" s="89">
        <f t="shared" si="13"/>
        <v>0</v>
      </c>
      <c r="J60" s="89">
        <f t="shared" si="14"/>
        <v>0</v>
      </c>
      <c r="K60" s="186">
        <f t="shared" si="15"/>
        <v>0</v>
      </c>
      <c r="L60" s="139"/>
      <c r="X60" s="139"/>
      <c r="Y60" s="139"/>
      <c r="Z60" s="139"/>
      <c r="AA60" s="139"/>
      <c r="AB60" s="139"/>
      <c r="AC60" s="196"/>
      <c r="AD60" s="43"/>
      <c r="AE60" s="43"/>
      <c r="AF60" s="43"/>
      <c r="AG60" s="43"/>
      <c r="AH60" s="43"/>
      <c r="AI60" s="32"/>
    </row>
    <row r="61" spans="6:35" x14ac:dyDescent="0.3">
      <c r="F61" s="89">
        <f t="shared" si="11"/>
        <v>0</v>
      </c>
      <c r="G61" s="89"/>
      <c r="H61" s="89">
        <f t="shared" si="12"/>
        <v>0</v>
      </c>
      <c r="I61" s="89">
        <f t="shared" si="13"/>
        <v>0</v>
      </c>
      <c r="J61" s="89">
        <f t="shared" si="14"/>
        <v>0</v>
      </c>
      <c r="K61" s="186">
        <f t="shared" si="15"/>
        <v>0</v>
      </c>
      <c r="L61" s="139"/>
      <c r="X61" s="139"/>
      <c r="Y61" s="139"/>
      <c r="Z61" s="139"/>
      <c r="AA61" s="139"/>
      <c r="AB61" s="139"/>
      <c r="AI61" s="32"/>
    </row>
    <row r="62" spans="6:35" x14ac:dyDescent="0.3">
      <c r="F62" s="89">
        <f t="shared" si="11"/>
        <v>0</v>
      </c>
      <c r="G62" s="89"/>
      <c r="H62" s="89">
        <f t="shared" si="12"/>
        <v>0</v>
      </c>
      <c r="I62" s="89">
        <f t="shared" si="13"/>
        <v>0</v>
      </c>
      <c r="J62" s="89">
        <f t="shared" si="14"/>
        <v>0</v>
      </c>
      <c r="K62" s="186">
        <f t="shared" si="15"/>
        <v>0</v>
      </c>
      <c r="L62" s="139"/>
      <c r="X62" s="139"/>
      <c r="Y62" s="139"/>
      <c r="Z62" s="139"/>
      <c r="AA62" s="139"/>
      <c r="AB62" s="139"/>
      <c r="AI62" s="194"/>
    </row>
    <row r="63" spans="6:35" x14ac:dyDescent="0.3">
      <c r="F63" s="89">
        <f t="shared" si="11"/>
        <v>0</v>
      </c>
      <c r="G63" s="89"/>
      <c r="H63" s="89">
        <f t="shared" si="12"/>
        <v>0</v>
      </c>
      <c r="I63" s="89">
        <f t="shared" si="13"/>
        <v>0</v>
      </c>
      <c r="J63" s="89">
        <f t="shared" si="14"/>
        <v>0</v>
      </c>
      <c r="K63" s="186">
        <f t="shared" si="15"/>
        <v>0</v>
      </c>
      <c r="L63" s="195"/>
      <c r="X63" s="139"/>
      <c r="Y63" s="139"/>
      <c r="Z63" s="139"/>
      <c r="AA63" s="139"/>
      <c r="AB63" s="139"/>
      <c r="AI63" s="32"/>
    </row>
    <row r="64" spans="6:35" x14ac:dyDescent="0.3">
      <c r="F64" s="89">
        <f t="shared" si="11"/>
        <v>0</v>
      </c>
      <c r="G64" s="89"/>
      <c r="H64" s="89">
        <f t="shared" si="12"/>
        <v>0</v>
      </c>
      <c r="I64" s="89">
        <f t="shared" si="13"/>
        <v>0</v>
      </c>
      <c r="J64" s="89">
        <f t="shared" si="14"/>
        <v>0</v>
      </c>
      <c r="K64" s="186">
        <f t="shared" si="15"/>
        <v>0</v>
      </c>
    </row>
    <row r="65" spans="5:11" x14ac:dyDescent="0.3">
      <c r="F65" s="89">
        <f t="shared" si="11"/>
        <v>0</v>
      </c>
      <c r="G65" s="89"/>
      <c r="H65" s="89">
        <f t="shared" si="12"/>
        <v>0</v>
      </c>
      <c r="I65" s="89">
        <f t="shared" si="13"/>
        <v>0</v>
      </c>
      <c r="J65" s="89">
        <f t="shared" si="14"/>
        <v>0</v>
      </c>
      <c r="K65" s="186">
        <f t="shared" si="15"/>
        <v>0</v>
      </c>
    </row>
    <row r="66" spans="5:11" x14ac:dyDescent="0.3">
      <c r="F66" s="89">
        <f t="shared" si="11"/>
        <v>0</v>
      </c>
      <c r="G66" s="89"/>
      <c r="H66" s="89">
        <f t="shared" si="12"/>
        <v>0</v>
      </c>
      <c r="I66" s="89">
        <f t="shared" si="13"/>
        <v>0</v>
      </c>
      <c r="J66" s="89">
        <f t="shared" si="14"/>
        <v>0</v>
      </c>
      <c r="K66" s="186">
        <f t="shared" si="15"/>
        <v>0</v>
      </c>
    </row>
    <row r="67" spans="5:11" ht="15.75" customHeight="1" thickBot="1" x14ac:dyDescent="0.35">
      <c r="E67" s="197"/>
      <c r="F67" s="198">
        <f t="shared" si="11"/>
        <v>0</v>
      </c>
      <c r="G67" s="198"/>
      <c r="H67" s="198">
        <f t="shared" si="12"/>
        <v>0</v>
      </c>
      <c r="I67" s="198">
        <f t="shared" si="13"/>
        <v>0</v>
      </c>
      <c r="J67" s="198">
        <f t="shared" si="14"/>
        <v>0</v>
      </c>
      <c r="K67" s="199">
        <f t="shared" si="15"/>
        <v>0</v>
      </c>
    </row>
    <row r="68" spans="5:11" ht="15.75" customHeight="1" thickTop="1" x14ac:dyDescent="0.3">
      <c r="E68" s="8" t="s">
        <v>32</v>
      </c>
      <c r="F68" s="89">
        <f>SUBTOTAL(9,F46:F67)</f>
        <v>0</v>
      </c>
      <c r="G68" s="89"/>
      <c r="H68" s="89">
        <f>SUBTOTAL(9,H46:H67)</f>
        <v>0</v>
      </c>
      <c r="I68" s="89">
        <f>SUBTOTAL(9,I46:I67)</f>
        <v>0</v>
      </c>
      <c r="J68" s="89">
        <f>SUBTOTAL(9,J46:J67)</f>
        <v>0</v>
      </c>
      <c r="K68" s="200">
        <f>SUBTOTAL(9,K46:K67)</f>
        <v>0</v>
      </c>
    </row>
    <row r="70" spans="5:11" x14ac:dyDescent="0.3">
      <c r="K70" s="139">
        <f>K68-K52-K54-K55-K56-K58</f>
        <v>0</v>
      </c>
    </row>
  </sheetData>
  <autoFilter ref="B8:AI41" xr:uid="{00000000-0009-0000-0000-000006000000}"/>
  <mergeCells count="6">
    <mergeCell ref="AK7:AM7"/>
    <mergeCell ref="V3:Y3"/>
    <mergeCell ref="V4:Y4"/>
    <mergeCell ref="A1:U1"/>
    <mergeCell ref="O47:R47"/>
    <mergeCell ref="U47:W47"/>
  </mergeCells>
  <conditionalFormatting sqref="J9:J39">
    <cfRule type="cellIs" dxfId="126" priority="8" operator="equal">
      <formula>"YES"</formula>
    </cfRule>
    <cfRule type="cellIs" dxfId="125" priority="9" operator="equal">
      <formula>"NO"</formula>
    </cfRule>
    <cfRule type="cellIs" dxfId="124" priority="32" operator="equal">
      <formula>"N/A"</formula>
    </cfRule>
  </conditionalFormatting>
  <conditionalFormatting sqref="J40:L40">
    <cfRule type="cellIs" dxfId="123" priority="474" operator="equal">
      <formula>"NO"</formula>
    </cfRule>
    <cfRule type="cellIs" dxfId="122" priority="475" operator="equal">
      <formula>"YES"</formula>
    </cfRule>
  </conditionalFormatting>
  <conditionalFormatting sqref="L9:L39">
    <cfRule type="cellIs" dxfId="121" priority="137" operator="equal">
      <formula>"YES"</formula>
    </cfRule>
    <cfRule type="cellIs" dxfId="120" priority="138" operator="equal">
      <formula>"NO"</formula>
    </cfRule>
  </conditionalFormatting>
  <conditionalFormatting sqref="O48">
    <cfRule type="cellIs" dxfId="119" priority="486" operator="equal">
      <formula>"NO-OOS"</formula>
    </cfRule>
    <cfRule type="cellIs" dxfId="118" priority="487" operator="equal">
      <formula>"NO-CO"</formula>
    </cfRule>
    <cfRule type="cellIs" dxfId="117" priority="488" operator="equal">
      <formula>"YES"</formula>
    </cfRule>
    <cfRule type="cellIs" dxfId="116" priority="489" operator="equal">
      <formula>"NO"</formula>
    </cfRule>
  </conditionalFormatting>
  <conditionalFormatting sqref="U48">
    <cfRule type="cellIs" dxfId="115" priority="481" operator="equal">
      <formula>"NO-OOS"</formula>
    </cfRule>
    <cfRule type="cellIs" dxfId="114" priority="482" operator="equal">
      <formula>"NO-CO"</formula>
    </cfRule>
    <cfRule type="cellIs" dxfId="113" priority="483" operator="equal">
      <formula>"YES"</formula>
    </cfRule>
    <cfRule type="cellIs" dxfId="112" priority="484" operator="equal">
      <formula>"NO"</formula>
    </cfRule>
  </conditionalFormatting>
  <conditionalFormatting sqref="Z9:Z39">
    <cfRule type="cellIs" dxfId="111" priority="294" operator="equal">
      <formula>"N/A"</formula>
    </cfRule>
    <cfRule type="cellIs" dxfId="110" priority="295" operator="equal">
      <formula>"YES"</formula>
    </cfRule>
    <cfRule type="cellIs" dxfId="109" priority="296" operator="equal">
      <formula>"NO"</formula>
    </cfRule>
  </conditionalFormatting>
  <conditionalFormatting sqref="AC9:AC39">
    <cfRule type="cellIs" dxfId="108" priority="115" operator="equal">
      <formula>"N/A"</formula>
    </cfRule>
  </conditionalFormatting>
  <conditionalFormatting sqref="AC9:AC40">
    <cfRule type="cellIs" dxfId="107" priority="116" operator="equal">
      <formula>"YES"</formula>
    </cfRule>
    <cfRule type="cellIs" dxfId="106" priority="117" operator="equal">
      <formula>"NO"</formula>
    </cfRule>
  </conditionalFormatting>
  <conditionalFormatting sqref="AC60">
    <cfRule type="cellIs" dxfId="105" priority="456" operator="equal">
      <formula>"N/A"</formula>
    </cfRule>
    <cfRule type="cellIs" dxfId="104" priority="458" operator="equal">
      <formula>"NO"</formula>
    </cfRule>
  </conditionalFormatting>
  <conditionalFormatting sqref="AC60:AH60">
    <cfRule type="cellIs" dxfId="103" priority="457" operator="equal">
      <formula>"YES"</formula>
    </cfRule>
  </conditionalFormatting>
  <conditionalFormatting sqref="AD7:AD8 AD40:AD46 AE47:AE55 AD60 AD72:AD1048576">
    <cfRule type="cellIs" dxfId="102" priority="492" operator="equal">
      <formula>"NO-IL"</formula>
    </cfRule>
  </conditionalFormatting>
  <conditionalFormatting sqref="AD7:AD46">
    <cfRule type="cellIs" dxfId="101" priority="10" operator="equal">
      <formula>"NO-OOS"</formula>
    </cfRule>
    <cfRule type="cellIs" dxfId="100" priority="11" operator="equal">
      <formula>"YES"</formula>
    </cfRule>
  </conditionalFormatting>
  <conditionalFormatting sqref="AD9:AD39">
    <cfRule type="cellIs" dxfId="99" priority="12" operator="equal">
      <formula>"NO-TX"</formula>
    </cfRule>
  </conditionalFormatting>
  <conditionalFormatting sqref="AD60">
    <cfRule type="cellIs" dxfId="98" priority="459" operator="equal">
      <formula>"NO-OOS"</formula>
    </cfRule>
    <cfRule type="cellIs" dxfId="97" priority="461" operator="equal">
      <formula>"NO-TX"</formula>
    </cfRule>
  </conditionalFormatting>
  <conditionalFormatting sqref="AE16:AE25">
    <cfRule type="cellIs" dxfId="96" priority="111" operator="equal">
      <formula>"NO"</formula>
    </cfRule>
    <cfRule type="cellIs" dxfId="95" priority="112" operator="equal">
      <formula>"YES"</formula>
    </cfRule>
  </conditionalFormatting>
  <conditionalFormatting sqref="AE47:AE55 AD72:AD1048576">
    <cfRule type="cellIs" dxfId="94" priority="491" operator="equal">
      <formula>"NO-OOS"</formula>
    </cfRule>
    <cfRule type="cellIs" dxfId="93" priority="493" operator="equal">
      <formula>"YES"</formula>
    </cfRule>
  </conditionalFormatting>
  <conditionalFormatting sqref="AE10:AG10">
    <cfRule type="cellIs" dxfId="92" priority="268" operator="equal">
      <formula>"NO"</formula>
    </cfRule>
    <cfRule type="cellIs" dxfId="91" priority="269" operator="equal">
      <formula>"YES"</formula>
    </cfRule>
  </conditionalFormatting>
  <conditionalFormatting sqref="AE14:AG14">
    <cfRule type="cellIs" dxfId="90" priority="272" operator="equal">
      <formula>"NO"</formula>
    </cfRule>
    <cfRule type="cellIs" dxfId="89" priority="273" operator="equal">
      <formula>"YES"</formula>
    </cfRule>
  </conditionalFormatting>
  <conditionalFormatting sqref="AE26:AG38">
    <cfRule type="cellIs" dxfId="88" priority="18" operator="equal">
      <formula>"NO"</formula>
    </cfRule>
    <cfRule type="cellIs" dxfId="87" priority="19" operator="equal">
      <formula>"YES"</formula>
    </cfRule>
  </conditionalFormatting>
  <conditionalFormatting sqref="AE9:AH9">
    <cfRule type="cellIs" dxfId="86" priority="286" operator="equal">
      <formula>"NO"</formula>
    </cfRule>
    <cfRule type="cellIs" dxfId="85" priority="287" operator="equal">
      <formula>"YES"</formula>
    </cfRule>
  </conditionalFormatting>
  <conditionalFormatting sqref="AE11:AH11 AE12:AG12 AE13:AH13">
    <cfRule type="cellIs" dxfId="84" priority="284" operator="equal">
      <formula>"NO"</formula>
    </cfRule>
    <cfRule type="cellIs" dxfId="83" priority="285" operator="equal">
      <formula>"YES"</formula>
    </cfRule>
  </conditionalFormatting>
  <conditionalFormatting sqref="AE15:AH15">
    <cfRule type="cellIs" dxfId="82" priority="280" operator="equal">
      <formula>"NO"</formula>
    </cfRule>
    <cfRule type="cellIs" dxfId="81" priority="281" operator="equal">
      <formula>"YES"</formula>
    </cfRule>
  </conditionalFormatting>
  <conditionalFormatting sqref="AE38:AH40">
    <cfRule type="cellIs" dxfId="80" priority="16" operator="equal">
      <formula>"NO"</formula>
    </cfRule>
    <cfRule type="cellIs" dxfId="79" priority="17" operator="equal">
      <formula>"YES"</formula>
    </cfRule>
  </conditionalFormatting>
  <conditionalFormatting sqref="AE60:AH60">
    <cfRule type="cellIs" dxfId="78" priority="462" operator="equal">
      <formula>"NO"</formula>
    </cfRule>
  </conditionalFormatting>
  <conditionalFormatting sqref="AF16:AG16">
    <cfRule type="cellIs" dxfId="77" priority="270" operator="equal">
      <formula>"NO"</formula>
    </cfRule>
    <cfRule type="cellIs" dxfId="76" priority="271" operator="equal">
      <formula>"YES"</formula>
    </cfRule>
  </conditionalFormatting>
  <conditionalFormatting sqref="AF23:AG25">
    <cfRule type="cellIs" dxfId="75" priority="65" operator="equal">
      <formula>"NO"</formula>
    </cfRule>
    <cfRule type="cellIs" dxfId="74" priority="66" operator="equal">
      <formula>"YES"</formula>
    </cfRule>
  </conditionalFormatting>
  <conditionalFormatting sqref="AF17:AH22">
    <cfRule type="cellIs" dxfId="73" priority="278" operator="equal">
      <formula>"NO"</formula>
    </cfRule>
    <cfRule type="cellIs" dxfId="72" priority="279" operator="equal">
      <formula>"YES"</formula>
    </cfRule>
  </conditionalFormatting>
  <conditionalFormatting sqref="AH9:AH38">
    <cfRule type="cellIs" dxfId="71" priority="20" operator="equal">
      <formula>"NO"</formula>
    </cfRule>
    <cfRule type="cellIs" dxfId="70" priority="21" operator="equal">
      <formula>"YES"</formula>
    </cfRule>
  </conditionalFormatting>
  <dataValidations count="1">
    <dataValidation type="list" allowBlank="1" showInputMessage="1" showErrorMessage="1" sqref="I40:L40 I42:I44 I72:L1048576 K42:K44 L42:L45 L51:L63 W48 W50 AA47" xr:uid="{00000000-0002-0000-0600-000000000000}">
      <formula1>$U$2:$U$3</formula1>
    </dataValidation>
  </dataValidations>
  <hyperlinks>
    <hyperlink ref="M43" location="'Comm Summary'!A1" display="'Comm Summary'!A1" xr:uid="{00000000-0004-0000-0600-000000000000}"/>
    <hyperlink ref="N43" location="'Comm Summary'!A1" display="'Comm Summary'!A1" xr:uid="{00000000-0004-0000-0600-000001000000}"/>
    <hyperlink ref="O43" location="'Comm Summary'!A1" display="'Comm Summary'!A1" xr:uid="{00000000-0004-0000-0600-000002000000}"/>
    <hyperlink ref="Q43" location="'Comm Summary'!A1" display="'Comm Summary'!A1" xr:uid="{00000000-0004-0000-0600-000003000000}"/>
    <hyperlink ref="R43" location="'Comm Summary'!A1" display="'Comm Summary'!A1" xr:uid="{00000000-0004-0000-0600-000004000000}"/>
    <hyperlink ref="S43" location="'Comm Summary'!A1" display="'Comm Summary'!A1" xr:uid="{00000000-0004-0000-0600-000005000000}"/>
    <hyperlink ref="T43" location="'Comm Summary'!A1" display="'Comm Summary'!A1" xr:uid="{00000000-0004-0000-0600-000006000000}"/>
    <hyperlink ref="U43" location="'Comm Summary'!A1" display="'Comm Summary'!A1" xr:uid="{00000000-0004-0000-0600-000007000000}"/>
    <hyperlink ref="V43" location="'Comm Summary'!A1" display="'Comm Summary'!A1" xr:uid="{00000000-0004-0000-0600-000008000000}"/>
    <hyperlink ref="W43" location="'Comm Summary'!A1" display="'Comm Summary'!A1" xr:uid="{00000000-0004-0000-0600-000009000000}"/>
  </hyperlinks>
  <pageMargins left="0.7" right="0.7" top="0.75" bottom="0.75" header="0.3" footer="0.3"/>
  <pageSetup scale="5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  <pageSetUpPr fitToPage="1"/>
  </sheetPr>
  <dimension ref="B1:AE56"/>
  <sheetViews>
    <sheetView zoomScale="90" zoomScaleNormal="90" workbookViewId="0">
      <pane xSplit="2" ySplit="7" topLeftCell="Z8" activePane="bottomRight" state="frozen"/>
      <selection activeCell="T4" sqref="T4"/>
      <selection pane="topRight" activeCell="T4" sqref="T4"/>
      <selection pane="bottomLeft" activeCell="T4" sqref="T4"/>
      <selection pane="bottomRight" activeCell="AD13" sqref="AD13"/>
    </sheetView>
  </sheetViews>
  <sheetFormatPr defaultColWidth="9.109375" defaultRowHeight="14.4" x14ac:dyDescent="0.3"/>
  <cols>
    <col min="1" max="1" width="2.5546875" customWidth="1"/>
    <col min="2" max="2" width="9.109375" style="9" customWidth="1"/>
    <col min="3" max="3" width="16.5546875" style="107" customWidth="1"/>
    <col min="4" max="4" width="22" style="8" bestFit="1" customWidth="1"/>
    <col min="5" max="6" width="16.44140625" style="27" customWidth="1"/>
    <col min="7" max="10" width="20.109375" style="46" customWidth="1"/>
    <col min="11" max="11" width="18.109375" style="46" customWidth="1"/>
    <col min="12" max="12" width="18.5546875" style="46" customWidth="1"/>
    <col min="13" max="13" width="28.44140625" style="66" customWidth="1"/>
    <col min="14" max="14" width="18.33203125" style="116" bestFit="1" customWidth="1"/>
    <col min="15" max="15" width="13.5546875" style="116" customWidth="1"/>
    <col min="16" max="16" width="17.33203125" style="8" customWidth="1"/>
    <col min="17" max="17" width="12.6640625" style="8" customWidth="1"/>
    <col min="18" max="18" width="22" style="8" customWidth="1"/>
    <col min="19" max="19" width="19.109375" style="8" customWidth="1"/>
    <col min="20" max="20" width="13.88671875" style="8" customWidth="1"/>
    <col min="21" max="21" width="51" style="8" customWidth="1"/>
    <col min="22" max="22" width="28.33203125" style="8" customWidth="1"/>
    <col min="23" max="23" width="18.109375" style="8" customWidth="1"/>
    <col min="24" max="24" width="9.33203125" style="8" customWidth="1"/>
    <col min="25" max="25" width="8.33203125" style="8" customWidth="1"/>
    <col min="26" max="26" width="19.33203125" style="32" customWidth="1"/>
    <col min="27" max="27" width="15.5546875" customWidth="1"/>
    <col min="28" max="28" width="55" style="32" customWidth="1"/>
  </cols>
  <sheetData>
    <row r="1" spans="2:31" ht="15.75" customHeight="1" x14ac:dyDescent="0.3">
      <c r="B1" s="113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113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113"/>
      <c r="AD1" s="113"/>
    </row>
    <row r="2" spans="2:31" ht="15.75" customHeight="1" x14ac:dyDescent="0.3">
      <c r="B2" s="113"/>
      <c r="C2" s="113"/>
      <c r="D2" s="113"/>
      <c r="E2" s="25"/>
      <c r="F2" s="25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203"/>
      <c r="U2" s="113"/>
      <c r="V2" s="31"/>
      <c r="W2" s="31"/>
      <c r="X2" s="31"/>
      <c r="Y2" s="113"/>
      <c r="Z2" s="113"/>
      <c r="AA2" s="31"/>
      <c r="AB2" s="31"/>
      <c r="AC2" s="113"/>
      <c r="AD2" s="31"/>
    </row>
    <row r="3" spans="2:31" x14ac:dyDescent="0.3">
      <c r="C3" s="9"/>
      <c r="D3" s="15"/>
      <c r="F3" s="23"/>
      <c r="N3" s="8"/>
      <c r="O3" s="8"/>
      <c r="V3" s="32"/>
      <c r="W3" s="32"/>
      <c r="X3" s="32"/>
      <c r="Z3" s="8"/>
      <c r="AA3" s="32"/>
      <c r="AD3" s="32"/>
    </row>
    <row r="4" spans="2:31" ht="18.75" customHeight="1" x14ac:dyDescent="0.35">
      <c r="C4" s="9"/>
      <c r="D4" s="15"/>
      <c r="E4" s="4"/>
      <c r="F4" s="4"/>
      <c r="N4" s="8"/>
      <c r="O4" s="8"/>
      <c r="R4" s="173"/>
      <c r="S4" s="173"/>
      <c r="U4" s="112"/>
      <c r="V4" s="4"/>
      <c r="W4" s="4"/>
      <c r="X4" s="4"/>
      <c r="Y4" s="112"/>
      <c r="Z4" s="112"/>
      <c r="AA4" s="4"/>
      <c r="AB4" s="4"/>
      <c r="AC4" s="4"/>
      <c r="AD4" s="4"/>
      <c r="AE4" s="4"/>
    </row>
    <row r="5" spans="2:31" ht="18.75" customHeight="1" x14ac:dyDescent="0.35">
      <c r="C5" s="9"/>
      <c r="D5" s="15"/>
      <c r="E5" s="4"/>
      <c r="F5" s="4"/>
      <c r="N5" s="8"/>
      <c r="O5" s="8"/>
      <c r="R5" s="173"/>
      <c r="S5" s="173"/>
      <c r="U5" s="112"/>
      <c r="V5" s="4"/>
      <c r="W5" s="4"/>
      <c r="X5" s="4"/>
      <c r="Y5" s="112"/>
      <c r="Z5" s="112"/>
      <c r="AA5" s="4"/>
      <c r="AB5" s="4"/>
      <c r="AC5" s="4"/>
      <c r="AD5" s="4"/>
      <c r="AE5" s="4"/>
    </row>
    <row r="7" spans="2:31" s="7" customFormat="1" ht="18.75" customHeight="1" x14ac:dyDescent="0.3">
      <c r="B7" s="10" t="s">
        <v>7</v>
      </c>
      <c r="C7" s="79" t="s">
        <v>205</v>
      </c>
      <c r="D7" s="12" t="s">
        <v>52</v>
      </c>
      <c r="E7" s="26" t="s">
        <v>11</v>
      </c>
      <c r="F7" s="26" t="s">
        <v>12</v>
      </c>
      <c r="G7" s="48" t="s">
        <v>208</v>
      </c>
      <c r="H7" s="48" t="s">
        <v>209</v>
      </c>
      <c r="I7" s="48" t="s">
        <v>210</v>
      </c>
      <c r="J7" s="48" t="s">
        <v>103</v>
      </c>
      <c r="K7" s="51" t="s">
        <v>61</v>
      </c>
      <c r="L7" s="48" t="s">
        <v>211</v>
      </c>
      <c r="M7" s="67" t="s">
        <v>242</v>
      </c>
      <c r="N7" s="204" t="s">
        <v>15</v>
      </c>
      <c r="O7" s="12" t="s">
        <v>16</v>
      </c>
      <c r="P7" s="12" t="s">
        <v>212</v>
      </c>
      <c r="Q7" s="12" t="s">
        <v>213</v>
      </c>
      <c r="R7" s="12" t="s">
        <v>214</v>
      </c>
      <c r="S7" s="12" t="s">
        <v>39</v>
      </c>
      <c r="T7" s="12" t="s">
        <v>215</v>
      </c>
      <c r="U7" s="12" t="s">
        <v>216</v>
      </c>
      <c r="V7" s="12" t="s">
        <v>217</v>
      </c>
      <c r="W7" s="12" t="s">
        <v>168</v>
      </c>
      <c r="X7" s="12" t="s">
        <v>44</v>
      </c>
      <c r="Y7" s="12" t="s">
        <v>45</v>
      </c>
      <c r="Z7" s="12" t="s">
        <v>218</v>
      </c>
      <c r="AA7" s="12" t="s">
        <v>41</v>
      </c>
      <c r="AB7" s="33" t="s">
        <v>46</v>
      </c>
    </row>
    <row r="8" spans="2:31" x14ac:dyDescent="0.3">
      <c r="B8" s="11">
        <v>1</v>
      </c>
      <c r="C8" s="104"/>
      <c r="D8" s="177"/>
      <c r="E8" s="117"/>
      <c r="F8" s="205"/>
      <c r="G8" s="45">
        <v>0</v>
      </c>
      <c r="H8" s="45">
        <v>0</v>
      </c>
      <c r="I8" s="45">
        <v>0</v>
      </c>
      <c r="J8" s="45">
        <v>0</v>
      </c>
      <c r="K8" s="52">
        <v>0</v>
      </c>
      <c r="L8" s="45">
        <f t="shared" ref="L8:L38" si="0">SUM(G8:J8)-K8</f>
        <v>0</v>
      </c>
      <c r="M8" s="36"/>
      <c r="N8" s="29"/>
      <c r="O8" s="29"/>
      <c r="P8" s="29"/>
      <c r="Q8" s="29"/>
      <c r="R8" s="146"/>
      <c r="S8" s="29"/>
      <c r="T8" s="29"/>
      <c r="U8" s="29"/>
      <c r="V8" s="36"/>
      <c r="W8" s="29"/>
      <c r="X8" s="29"/>
      <c r="Y8" s="71"/>
      <c r="Z8" s="40"/>
      <c r="AA8" s="16"/>
      <c r="AB8" s="36"/>
    </row>
    <row r="9" spans="2:31" ht="15" customHeight="1" x14ac:dyDescent="0.3">
      <c r="B9" s="11">
        <v>2</v>
      </c>
      <c r="C9" s="104"/>
      <c r="D9" s="181"/>
      <c r="E9" s="117"/>
      <c r="F9" s="117"/>
      <c r="G9" s="45">
        <v>0</v>
      </c>
      <c r="H9" s="45">
        <v>0</v>
      </c>
      <c r="I9" s="45">
        <v>0</v>
      </c>
      <c r="J9" s="45">
        <v>0</v>
      </c>
      <c r="K9" s="52">
        <v>0</v>
      </c>
      <c r="L9" s="45">
        <f t="shared" si="0"/>
        <v>0</v>
      </c>
      <c r="M9" s="36"/>
      <c r="N9" s="29"/>
      <c r="O9" s="29"/>
      <c r="P9" s="29"/>
      <c r="Q9" s="29"/>
      <c r="R9" s="146"/>
      <c r="S9" s="29"/>
      <c r="T9" s="29"/>
      <c r="U9" s="29"/>
      <c r="V9" s="36"/>
      <c r="W9" s="29"/>
      <c r="X9" s="29"/>
      <c r="Y9" s="29"/>
      <c r="Z9" s="40"/>
      <c r="AA9" s="16"/>
      <c r="AB9" s="36"/>
    </row>
    <row r="10" spans="2:31" ht="15" customHeight="1" x14ac:dyDescent="0.3">
      <c r="B10" s="11">
        <f t="shared" ref="B10:B37" si="1">B9+1</f>
        <v>3</v>
      </c>
      <c r="C10" s="104"/>
      <c r="D10" s="180"/>
      <c r="E10" s="117"/>
      <c r="F10" s="117"/>
      <c r="G10" s="45">
        <v>0</v>
      </c>
      <c r="H10" s="45">
        <v>0</v>
      </c>
      <c r="I10" s="45">
        <v>0</v>
      </c>
      <c r="J10" s="45">
        <v>0</v>
      </c>
      <c r="K10" s="52">
        <v>0</v>
      </c>
      <c r="L10" s="45">
        <f t="shared" si="0"/>
        <v>0</v>
      </c>
      <c r="M10" s="36"/>
      <c r="N10" s="29"/>
      <c r="O10" s="29"/>
      <c r="P10" s="29"/>
      <c r="Q10" s="29"/>
      <c r="R10" s="146"/>
      <c r="S10" s="29"/>
      <c r="T10" s="29"/>
      <c r="U10" s="29"/>
      <c r="V10" s="36"/>
      <c r="W10" s="29"/>
      <c r="X10" s="29"/>
      <c r="Y10" s="29"/>
      <c r="Z10" s="40"/>
      <c r="AA10" s="16"/>
      <c r="AB10" s="36"/>
    </row>
    <row r="11" spans="2:31" x14ac:dyDescent="0.3">
      <c r="B11" s="11">
        <f t="shared" si="1"/>
        <v>4</v>
      </c>
      <c r="C11" s="104"/>
      <c r="D11" s="206"/>
      <c r="E11" s="117"/>
      <c r="F11" s="117"/>
      <c r="G11" s="45">
        <v>0</v>
      </c>
      <c r="H11" s="45">
        <v>0</v>
      </c>
      <c r="I11" s="45">
        <v>0</v>
      </c>
      <c r="J11" s="45">
        <v>0</v>
      </c>
      <c r="K11" s="52">
        <v>0</v>
      </c>
      <c r="L11" s="45">
        <f t="shared" si="0"/>
        <v>0</v>
      </c>
      <c r="M11" s="36"/>
      <c r="N11" s="29"/>
      <c r="O11" s="29"/>
      <c r="P11" s="29"/>
      <c r="Q11" s="29"/>
      <c r="R11" s="146"/>
      <c r="S11" s="29"/>
      <c r="T11" s="29"/>
      <c r="U11" s="29"/>
      <c r="V11" s="36"/>
      <c r="W11" s="29"/>
      <c r="X11" s="29"/>
      <c r="Y11" s="29"/>
      <c r="Z11" s="40"/>
      <c r="AA11" s="16"/>
      <c r="AB11" s="36"/>
    </row>
    <row r="12" spans="2:31" ht="15" customHeight="1" x14ac:dyDescent="0.3">
      <c r="B12" s="11">
        <f t="shared" si="1"/>
        <v>5</v>
      </c>
      <c r="C12" s="104"/>
      <c r="D12" s="206"/>
      <c r="E12" s="117"/>
      <c r="F12" s="117"/>
      <c r="G12" s="45">
        <v>0</v>
      </c>
      <c r="H12" s="45">
        <v>0</v>
      </c>
      <c r="I12" s="45">
        <v>0</v>
      </c>
      <c r="J12" s="45">
        <v>0</v>
      </c>
      <c r="K12" s="52">
        <v>0</v>
      </c>
      <c r="L12" s="45">
        <f t="shared" si="0"/>
        <v>0</v>
      </c>
      <c r="M12" s="36"/>
      <c r="N12" s="29"/>
      <c r="O12" s="104"/>
      <c r="P12" s="29"/>
      <c r="Q12" s="29"/>
      <c r="R12" s="146"/>
      <c r="S12" s="29"/>
      <c r="T12" s="29"/>
      <c r="U12" s="29"/>
      <c r="V12" s="36"/>
      <c r="W12" s="29"/>
      <c r="X12" s="29"/>
      <c r="Y12" s="29"/>
      <c r="Z12" s="40"/>
      <c r="AA12" s="16"/>
      <c r="AB12" s="36"/>
    </row>
    <row r="13" spans="2:31" x14ac:dyDescent="0.3">
      <c r="B13" s="11">
        <f t="shared" si="1"/>
        <v>6</v>
      </c>
      <c r="C13" s="104"/>
      <c r="D13" s="181"/>
      <c r="E13" s="117"/>
      <c r="F13" s="117"/>
      <c r="G13" s="45">
        <v>0</v>
      </c>
      <c r="H13" s="45">
        <v>0</v>
      </c>
      <c r="I13" s="45">
        <v>0</v>
      </c>
      <c r="J13" s="45">
        <v>0</v>
      </c>
      <c r="K13" s="52">
        <v>0</v>
      </c>
      <c r="L13" s="45">
        <f t="shared" si="0"/>
        <v>0</v>
      </c>
      <c r="M13" s="36"/>
      <c r="N13" s="29"/>
      <c r="O13" s="29"/>
      <c r="P13" s="29"/>
      <c r="Q13" s="29"/>
      <c r="R13" s="146"/>
      <c r="S13" s="29"/>
      <c r="T13" s="29"/>
      <c r="V13" s="36"/>
      <c r="W13" s="29"/>
      <c r="X13" s="29"/>
      <c r="Y13" s="29"/>
      <c r="Z13" s="40"/>
      <c r="AA13" s="16"/>
      <c r="AB13" s="36"/>
    </row>
    <row r="14" spans="2:31" x14ac:dyDescent="0.3">
      <c r="B14" s="11">
        <f t="shared" si="1"/>
        <v>7</v>
      </c>
      <c r="C14" s="104"/>
      <c r="D14" s="181"/>
      <c r="E14" s="117"/>
      <c r="F14" s="117"/>
      <c r="G14" s="45">
        <v>0</v>
      </c>
      <c r="H14" s="45">
        <v>0</v>
      </c>
      <c r="I14" s="45">
        <v>0</v>
      </c>
      <c r="J14" s="45">
        <v>0</v>
      </c>
      <c r="K14" s="52">
        <v>0</v>
      </c>
      <c r="L14" s="45">
        <f t="shared" si="0"/>
        <v>0</v>
      </c>
      <c r="M14" s="36"/>
      <c r="N14" s="29"/>
      <c r="O14" s="29"/>
      <c r="P14" s="29"/>
      <c r="Q14" s="29"/>
      <c r="R14" s="146"/>
      <c r="S14" s="29"/>
      <c r="T14" s="29"/>
      <c r="U14" s="29"/>
      <c r="V14" s="36"/>
      <c r="W14" s="29"/>
      <c r="X14" s="29"/>
      <c r="Y14" s="29"/>
      <c r="Z14" s="40"/>
      <c r="AA14" s="16"/>
      <c r="AB14" s="36"/>
    </row>
    <row r="15" spans="2:31" ht="15" customHeight="1" x14ac:dyDescent="0.3">
      <c r="B15" s="11">
        <f t="shared" si="1"/>
        <v>8</v>
      </c>
      <c r="C15" s="104"/>
      <c r="D15" s="180"/>
      <c r="E15" s="117"/>
      <c r="F15" s="117"/>
      <c r="G15" s="45">
        <v>0</v>
      </c>
      <c r="H15" s="45">
        <v>0</v>
      </c>
      <c r="I15" s="45">
        <v>0</v>
      </c>
      <c r="J15" s="45">
        <v>0</v>
      </c>
      <c r="K15" s="52">
        <v>0</v>
      </c>
      <c r="L15" s="45">
        <f t="shared" si="0"/>
        <v>0</v>
      </c>
      <c r="M15" s="36"/>
      <c r="N15" s="29"/>
      <c r="O15" s="29"/>
      <c r="P15" s="29"/>
      <c r="Q15" s="29"/>
      <c r="R15" s="146"/>
      <c r="S15" s="29"/>
      <c r="T15" s="29"/>
      <c r="U15" s="29"/>
      <c r="V15" s="36"/>
      <c r="W15" s="29"/>
      <c r="X15" s="29"/>
      <c r="Y15" s="29"/>
      <c r="Z15" s="40"/>
      <c r="AA15" s="16"/>
      <c r="AB15" s="36"/>
    </row>
    <row r="16" spans="2:31" x14ac:dyDescent="0.3">
      <c r="B16" s="11">
        <f t="shared" si="1"/>
        <v>9</v>
      </c>
      <c r="C16" s="104"/>
      <c r="D16" s="180"/>
      <c r="E16" s="117"/>
      <c r="F16" s="117"/>
      <c r="G16" s="45">
        <v>0</v>
      </c>
      <c r="H16" s="45">
        <v>0</v>
      </c>
      <c r="I16" s="45">
        <v>0</v>
      </c>
      <c r="J16" s="45">
        <v>0</v>
      </c>
      <c r="K16" s="52">
        <v>0</v>
      </c>
      <c r="L16" s="45">
        <f t="shared" si="0"/>
        <v>0</v>
      </c>
      <c r="M16" s="36"/>
      <c r="N16" s="29"/>
      <c r="O16" s="29"/>
      <c r="P16" s="29"/>
      <c r="Q16" s="29"/>
      <c r="R16" s="146"/>
      <c r="S16" s="29"/>
      <c r="T16" s="29"/>
      <c r="U16" s="29"/>
      <c r="V16" s="36"/>
      <c r="W16" s="29"/>
      <c r="X16" s="29"/>
      <c r="Y16" s="29"/>
      <c r="Z16" s="40"/>
      <c r="AA16" s="16"/>
      <c r="AB16" s="36"/>
    </row>
    <row r="17" spans="2:28" x14ac:dyDescent="0.3">
      <c r="B17" s="11">
        <f t="shared" si="1"/>
        <v>10</v>
      </c>
      <c r="C17" s="104"/>
      <c r="D17" s="180"/>
      <c r="E17" s="117"/>
      <c r="F17" s="117"/>
      <c r="G17" s="45">
        <v>0</v>
      </c>
      <c r="H17" s="45">
        <v>0</v>
      </c>
      <c r="I17" s="45">
        <v>0</v>
      </c>
      <c r="J17" s="45">
        <v>0</v>
      </c>
      <c r="K17" s="52">
        <v>0</v>
      </c>
      <c r="L17" s="45">
        <f t="shared" si="0"/>
        <v>0</v>
      </c>
      <c r="M17" s="36"/>
      <c r="N17" s="29"/>
      <c r="O17" s="29"/>
      <c r="P17" s="29"/>
      <c r="Q17" s="29"/>
      <c r="R17" s="146"/>
      <c r="S17" s="29"/>
      <c r="T17" s="29"/>
      <c r="U17" s="29"/>
      <c r="V17" s="36"/>
      <c r="W17" s="29"/>
      <c r="X17" s="29"/>
      <c r="Y17" s="71"/>
      <c r="Z17" s="40"/>
      <c r="AA17" s="16"/>
      <c r="AB17" s="36"/>
    </row>
    <row r="18" spans="2:28" ht="15" customHeight="1" x14ac:dyDescent="0.3">
      <c r="B18" s="11">
        <f t="shared" si="1"/>
        <v>11</v>
      </c>
      <c r="C18" s="104"/>
      <c r="D18" s="180"/>
      <c r="E18" s="117"/>
      <c r="F18" s="117"/>
      <c r="G18" s="45">
        <v>0</v>
      </c>
      <c r="H18" s="45">
        <v>0</v>
      </c>
      <c r="I18" s="45">
        <v>0</v>
      </c>
      <c r="J18" s="45">
        <v>0</v>
      </c>
      <c r="K18" s="52">
        <v>0</v>
      </c>
      <c r="L18" s="45">
        <f t="shared" si="0"/>
        <v>0</v>
      </c>
      <c r="M18" s="36"/>
      <c r="N18" s="29"/>
      <c r="O18" s="29"/>
      <c r="P18" s="29"/>
      <c r="Q18" s="29"/>
      <c r="R18" s="146"/>
      <c r="S18" s="29"/>
      <c r="T18" s="29"/>
      <c r="U18" s="29"/>
      <c r="V18" s="36"/>
      <c r="W18" s="29"/>
      <c r="X18" s="29"/>
      <c r="Y18" s="29"/>
      <c r="Z18" s="40"/>
      <c r="AA18" s="16"/>
      <c r="AB18" s="36"/>
    </row>
    <row r="19" spans="2:28" ht="15" customHeight="1" x14ac:dyDescent="0.3">
      <c r="B19" s="11">
        <f t="shared" si="1"/>
        <v>12</v>
      </c>
      <c r="C19" s="104"/>
      <c r="D19" s="207"/>
      <c r="E19" s="117"/>
      <c r="F19" s="117"/>
      <c r="G19" s="45">
        <v>0</v>
      </c>
      <c r="H19" s="45">
        <v>0</v>
      </c>
      <c r="I19" s="45">
        <v>0</v>
      </c>
      <c r="J19" s="45">
        <v>0</v>
      </c>
      <c r="K19" s="52">
        <v>0</v>
      </c>
      <c r="L19" s="45">
        <f t="shared" si="0"/>
        <v>0</v>
      </c>
      <c r="M19" s="36"/>
      <c r="N19" s="29"/>
      <c r="O19" s="29"/>
      <c r="P19" s="29"/>
      <c r="Q19" s="29"/>
      <c r="R19" s="146"/>
      <c r="S19" s="29"/>
      <c r="T19" s="29"/>
      <c r="U19" s="29"/>
      <c r="V19" s="36"/>
      <c r="W19" s="29"/>
      <c r="X19" s="29"/>
      <c r="Y19" s="71"/>
      <c r="Z19" s="40"/>
      <c r="AA19" s="16"/>
      <c r="AB19" s="36"/>
    </row>
    <row r="20" spans="2:28" ht="15" customHeight="1" x14ac:dyDescent="0.3">
      <c r="B20" s="11">
        <f t="shared" si="1"/>
        <v>13</v>
      </c>
      <c r="C20" s="104"/>
      <c r="D20" s="180"/>
      <c r="E20" s="117"/>
      <c r="F20" s="117"/>
      <c r="G20" s="45">
        <v>0</v>
      </c>
      <c r="H20" s="45">
        <v>0</v>
      </c>
      <c r="I20" s="45">
        <v>0</v>
      </c>
      <c r="J20" s="45">
        <v>0</v>
      </c>
      <c r="K20" s="52">
        <v>0</v>
      </c>
      <c r="L20" s="45">
        <f t="shared" si="0"/>
        <v>0</v>
      </c>
      <c r="M20" s="36"/>
      <c r="N20" s="29"/>
      <c r="O20" s="29"/>
      <c r="P20" s="29"/>
      <c r="Q20" s="29"/>
      <c r="R20" s="146"/>
      <c r="S20" s="29"/>
      <c r="T20" s="29"/>
      <c r="U20" s="29"/>
      <c r="V20" s="36"/>
      <c r="W20" s="29"/>
      <c r="X20" s="29"/>
      <c r="Y20" s="71"/>
      <c r="Z20" s="40"/>
      <c r="AA20" s="16"/>
      <c r="AB20" s="36"/>
    </row>
    <row r="21" spans="2:28" ht="15" customHeight="1" x14ac:dyDescent="0.3">
      <c r="B21" s="11">
        <f t="shared" si="1"/>
        <v>14</v>
      </c>
      <c r="C21" s="104"/>
      <c r="D21" s="180"/>
      <c r="E21" s="117"/>
      <c r="F21" s="117"/>
      <c r="G21" s="45">
        <v>0</v>
      </c>
      <c r="H21" s="45">
        <v>0</v>
      </c>
      <c r="I21" s="45">
        <v>0</v>
      </c>
      <c r="J21" s="45">
        <v>0</v>
      </c>
      <c r="K21" s="52">
        <v>0</v>
      </c>
      <c r="L21" s="45">
        <f t="shared" si="0"/>
        <v>0</v>
      </c>
      <c r="M21" s="36"/>
      <c r="N21" s="29"/>
      <c r="O21" s="29"/>
      <c r="P21" s="29"/>
      <c r="Q21" s="29"/>
      <c r="R21" s="146"/>
      <c r="S21" s="29"/>
      <c r="T21" s="29"/>
      <c r="U21" s="29"/>
      <c r="V21" s="36"/>
      <c r="W21" s="29"/>
      <c r="X21" s="29"/>
      <c r="Y21" s="71"/>
      <c r="Z21" s="40"/>
      <c r="AA21" s="16"/>
      <c r="AB21" s="36"/>
    </row>
    <row r="22" spans="2:28" ht="15" customHeight="1" x14ac:dyDescent="0.3">
      <c r="B22" s="11">
        <f t="shared" si="1"/>
        <v>15</v>
      </c>
      <c r="C22" s="104"/>
      <c r="D22" s="180"/>
      <c r="E22" s="117"/>
      <c r="F22" s="117"/>
      <c r="G22" s="45">
        <v>0</v>
      </c>
      <c r="H22" s="45">
        <v>0</v>
      </c>
      <c r="I22" s="45">
        <v>0</v>
      </c>
      <c r="J22" s="45">
        <v>0</v>
      </c>
      <c r="K22" s="52">
        <v>0</v>
      </c>
      <c r="L22" s="45">
        <f t="shared" si="0"/>
        <v>0</v>
      </c>
      <c r="M22" s="36"/>
      <c r="N22" s="29"/>
      <c r="O22" s="29"/>
      <c r="P22" s="29"/>
      <c r="Q22" s="29"/>
      <c r="R22" s="146"/>
      <c r="S22" s="29"/>
      <c r="T22" s="29"/>
      <c r="U22" s="29"/>
      <c r="V22" s="36"/>
      <c r="W22" s="29"/>
      <c r="X22" s="29"/>
      <c r="Y22" s="71"/>
      <c r="Z22" s="40"/>
      <c r="AA22" s="16"/>
      <c r="AB22" s="36"/>
    </row>
    <row r="23" spans="2:28" ht="15" customHeight="1" x14ac:dyDescent="0.3">
      <c r="B23" s="11">
        <f t="shared" si="1"/>
        <v>16</v>
      </c>
      <c r="C23" s="104"/>
      <c r="D23" s="180"/>
      <c r="E23" s="117"/>
      <c r="F23" s="117"/>
      <c r="G23" s="45">
        <v>0</v>
      </c>
      <c r="H23" s="45">
        <v>0</v>
      </c>
      <c r="I23" s="45">
        <v>0</v>
      </c>
      <c r="J23" s="45">
        <v>0</v>
      </c>
      <c r="K23" s="52">
        <v>0</v>
      </c>
      <c r="L23" s="45">
        <f t="shared" si="0"/>
        <v>0</v>
      </c>
      <c r="M23" s="36"/>
      <c r="N23" s="29"/>
      <c r="O23" s="29"/>
      <c r="P23" s="29"/>
      <c r="Q23" s="29"/>
      <c r="R23" s="146"/>
      <c r="S23" s="29"/>
      <c r="T23" s="29"/>
      <c r="U23" s="29"/>
      <c r="V23" s="36"/>
      <c r="W23" s="29"/>
      <c r="X23" s="29"/>
      <c r="Y23" s="71"/>
      <c r="Z23" s="40"/>
      <c r="AA23" s="16"/>
      <c r="AB23" s="36"/>
    </row>
    <row r="24" spans="2:28" ht="15" customHeight="1" x14ac:dyDescent="0.3">
      <c r="B24" s="11">
        <f t="shared" si="1"/>
        <v>17</v>
      </c>
      <c r="C24" s="104"/>
      <c r="D24" s="180"/>
      <c r="E24" s="117"/>
      <c r="F24" s="117"/>
      <c r="G24" s="45">
        <v>0</v>
      </c>
      <c r="H24" s="45">
        <v>0</v>
      </c>
      <c r="I24" s="45">
        <v>0</v>
      </c>
      <c r="J24" s="45">
        <v>0</v>
      </c>
      <c r="K24" s="52">
        <v>0</v>
      </c>
      <c r="L24" s="45">
        <f t="shared" si="0"/>
        <v>0</v>
      </c>
      <c r="M24" s="36"/>
      <c r="N24" s="29"/>
      <c r="O24" s="29"/>
      <c r="P24" s="29"/>
      <c r="Q24" s="29"/>
      <c r="R24" s="146"/>
      <c r="S24" s="29"/>
      <c r="T24" s="29"/>
      <c r="U24" s="29"/>
      <c r="V24" s="36"/>
      <c r="W24" s="29"/>
      <c r="X24" s="29"/>
      <c r="Y24" s="71"/>
      <c r="Z24" s="40"/>
      <c r="AA24" s="16"/>
      <c r="AB24" s="36"/>
    </row>
    <row r="25" spans="2:28" ht="15" customHeight="1" x14ac:dyDescent="0.3">
      <c r="B25" s="11">
        <f t="shared" si="1"/>
        <v>18</v>
      </c>
      <c r="C25" s="104"/>
      <c r="D25" s="180"/>
      <c r="E25" s="117"/>
      <c r="F25" s="117"/>
      <c r="G25" s="45">
        <v>0</v>
      </c>
      <c r="H25" s="45">
        <v>0</v>
      </c>
      <c r="I25" s="45">
        <v>0</v>
      </c>
      <c r="J25" s="45">
        <v>0</v>
      </c>
      <c r="K25" s="52">
        <v>0</v>
      </c>
      <c r="L25" s="45">
        <f t="shared" si="0"/>
        <v>0</v>
      </c>
      <c r="M25" s="36"/>
      <c r="N25" s="29"/>
      <c r="O25" s="29"/>
      <c r="P25" s="29"/>
      <c r="Q25" s="29"/>
      <c r="R25" s="146"/>
      <c r="S25" s="29"/>
      <c r="T25" s="29"/>
      <c r="U25" s="29"/>
      <c r="V25" s="36"/>
      <c r="W25" s="29"/>
      <c r="X25" s="29"/>
      <c r="Y25" s="71"/>
      <c r="Z25" s="40"/>
      <c r="AA25" s="16"/>
      <c r="AB25" s="36"/>
    </row>
    <row r="26" spans="2:28" ht="15" customHeight="1" x14ac:dyDescent="0.3">
      <c r="B26" s="11">
        <f t="shared" si="1"/>
        <v>19</v>
      </c>
      <c r="C26" s="104"/>
      <c r="D26" s="180"/>
      <c r="E26" s="117"/>
      <c r="F26" s="117"/>
      <c r="G26" s="45">
        <v>0</v>
      </c>
      <c r="H26" s="45">
        <v>0</v>
      </c>
      <c r="I26" s="45">
        <v>0</v>
      </c>
      <c r="J26" s="45">
        <v>0</v>
      </c>
      <c r="K26" s="52">
        <v>0</v>
      </c>
      <c r="L26" s="45">
        <f t="shared" si="0"/>
        <v>0</v>
      </c>
      <c r="M26" s="36"/>
      <c r="N26" s="29"/>
      <c r="O26" s="29"/>
      <c r="P26" s="29"/>
      <c r="Q26" s="29"/>
      <c r="R26" s="146"/>
      <c r="S26" s="29"/>
      <c r="T26" s="29"/>
      <c r="U26" s="29"/>
      <c r="V26" s="36"/>
      <c r="W26" s="29"/>
      <c r="X26" s="29"/>
      <c r="Y26" s="71"/>
      <c r="Z26" s="40"/>
      <c r="AA26" s="16"/>
      <c r="AB26" s="36"/>
    </row>
    <row r="27" spans="2:28" ht="15" customHeight="1" x14ac:dyDescent="0.3">
      <c r="B27" s="11">
        <f t="shared" si="1"/>
        <v>20</v>
      </c>
      <c r="C27" s="104"/>
      <c r="D27" s="180"/>
      <c r="E27" s="117"/>
      <c r="F27" s="117"/>
      <c r="G27" s="45">
        <v>0</v>
      </c>
      <c r="H27" s="45">
        <v>0</v>
      </c>
      <c r="I27" s="45">
        <v>0</v>
      </c>
      <c r="J27" s="45">
        <v>0</v>
      </c>
      <c r="K27" s="52">
        <v>0</v>
      </c>
      <c r="L27" s="45">
        <f t="shared" si="0"/>
        <v>0</v>
      </c>
      <c r="M27" s="36"/>
      <c r="N27" s="29"/>
      <c r="O27" s="29"/>
      <c r="P27" s="29"/>
      <c r="Q27" s="29"/>
      <c r="R27" s="146"/>
      <c r="S27" s="29"/>
      <c r="T27" s="29"/>
      <c r="U27" s="29"/>
      <c r="V27" s="36"/>
      <c r="W27" s="29"/>
      <c r="X27" s="29"/>
      <c r="Y27" s="71"/>
      <c r="Z27" s="40"/>
      <c r="AA27" s="16"/>
      <c r="AB27" s="36"/>
    </row>
    <row r="28" spans="2:28" ht="15" customHeight="1" x14ac:dyDescent="0.3">
      <c r="B28" s="11">
        <f t="shared" si="1"/>
        <v>21</v>
      </c>
      <c r="C28" s="104"/>
      <c r="D28" s="180"/>
      <c r="E28" s="117"/>
      <c r="F28" s="117"/>
      <c r="G28" s="45">
        <v>0</v>
      </c>
      <c r="H28" s="45">
        <v>0</v>
      </c>
      <c r="I28" s="45">
        <v>0</v>
      </c>
      <c r="J28" s="45">
        <v>0</v>
      </c>
      <c r="K28" s="52">
        <v>0</v>
      </c>
      <c r="L28" s="45">
        <f t="shared" si="0"/>
        <v>0</v>
      </c>
      <c r="M28" s="36"/>
      <c r="N28" s="29"/>
      <c r="O28" s="29"/>
      <c r="P28" s="29"/>
      <c r="Q28" s="29"/>
      <c r="R28" s="146"/>
      <c r="S28" s="29"/>
      <c r="T28" s="29"/>
      <c r="U28" s="29"/>
      <c r="V28" s="36"/>
      <c r="W28" s="29"/>
      <c r="X28" s="29"/>
      <c r="Y28" s="71"/>
      <c r="Z28" s="40"/>
      <c r="AA28" s="16"/>
      <c r="AB28" s="36"/>
    </row>
    <row r="29" spans="2:28" ht="15" customHeight="1" x14ac:dyDescent="0.3">
      <c r="B29" s="11">
        <f t="shared" si="1"/>
        <v>22</v>
      </c>
      <c r="C29" s="104"/>
      <c r="D29" s="180"/>
      <c r="E29" s="117"/>
      <c r="F29" s="117"/>
      <c r="G29" s="45">
        <v>0</v>
      </c>
      <c r="H29" s="45">
        <v>0</v>
      </c>
      <c r="I29" s="45">
        <v>0</v>
      </c>
      <c r="J29" s="45">
        <v>0</v>
      </c>
      <c r="K29" s="52">
        <v>0</v>
      </c>
      <c r="L29" s="45">
        <f t="shared" si="0"/>
        <v>0</v>
      </c>
      <c r="M29" s="36"/>
      <c r="N29" s="29"/>
      <c r="O29" s="29"/>
      <c r="P29" s="29"/>
      <c r="Q29" s="29"/>
      <c r="R29" s="146"/>
      <c r="S29" s="29"/>
      <c r="T29" s="29"/>
      <c r="U29" s="29"/>
      <c r="V29" s="36"/>
      <c r="W29" s="29"/>
      <c r="X29" s="29"/>
      <c r="Y29" s="71"/>
      <c r="Z29" s="40"/>
      <c r="AA29" s="16"/>
      <c r="AB29" s="36"/>
    </row>
    <row r="30" spans="2:28" ht="15" customHeight="1" x14ac:dyDescent="0.3">
      <c r="B30" s="11">
        <f t="shared" si="1"/>
        <v>23</v>
      </c>
      <c r="C30" s="104"/>
      <c r="D30" s="180"/>
      <c r="E30" s="117"/>
      <c r="F30" s="117"/>
      <c r="G30" s="45">
        <v>0</v>
      </c>
      <c r="H30" s="45">
        <v>0</v>
      </c>
      <c r="I30" s="45">
        <v>0</v>
      </c>
      <c r="J30" s="45">
        <v>0</v>
      </c>
      <c r="K30" s="52">
        <v>0</v>
      </c>
      <c r="L30" s="45">
        <f t="shared" si="0"/>
        <v>0</v>
      </c>
      <c r="M30" s="36"/>
      <c r="N30" s="29"/>
      <c r="O30" s="29"/>
      <c r="P30" s="29"/>
      <c r="Q30" s="29"/>
      <c r="R30" s="146"/>
      <c r="S30" s="29"/>
      <c r="T30" s="29"/>
      <c r="U30" s="29"/>
      <c r="V30" s="36"/>
      <c r="W30" s="29"/>
      <c r="X30" s="29"/>
      <c r="Y30" s="71"/>
      <c r="Z30" s="40"/>
      <c r="AA30" s="16"/>
      <c r="AB30" s="36"/>
    </row>
    <row r="31" spans="2:28" ht="15" customHeight="1" x14ac:dyDescent="0.3">
      <c r="B31" s="11">
        <f t="shared" si="1"/>
        <v>24</v>
      </c>
      <c r="C31" s="104"/>
      <c r="D31" s="180"/>
      <c r="E31" s="117"/>
      <c r="F31" s="117"/>
      <c r="G31" s="45">
        <v>0</v>
      </c>
      <c r="H31" s="45">
        <v>0</v>
      </c>
      <c r="I31" s="45">
        <v>0</v>
      </c>
      <c r="J31" s="45">
        <v>0</v>
      </c>
      <c r="K31" s="52">
        <v>0</v>
      </c>
      <c r="L31" s="45">
        <f t="shared" si="0"/>
        <v>0</v>
      </c>
      <c r="M31" s="36"/>
      <c r="N31" s="29"/>
      <c r="O31" s="29"/>
      <c r="P31" s="29"/>
      <c r="Q31" s="29"/>
      <c r="R31" s="146"/>
      <c r="S31" s="29"/>
      <c r="T31" s="29"/>
      <c r="U31" s="29"/>
      <c r="V31" s="36"/>
      <c r="W31" s="29"/>
      <c r="X31" s="29"/>
      <c r="Y31" s="71"/>
      <c r="Z31" s="40"/>
      <c r="AA31" s="16"/>
      <c r="AB31" s="36"/>
    </row>
    <row r="32" spans="2:28" ht="15" customHeight="1" x14ac:dyDescent="0.3">
      <c r="B32" s="11">
        <f t="shared" si="1"/>
        <v>25</v>
      </c>
      <c r="C32" s="104"/>
      <c r="D32" s="180"/>
      <c r="E32" s="117"/>
      <c r="F32" s="117"/>
      <c r="G32" s="45">
        <v>0</v>
      </c>
      <c r="H32" s="45">
        <v>0</v>
      </c>
      <c r="I32" s="45">
        <v>0</v>
      </c>
      <c r="J32" s="45">
        <v>0</v>
      </c>
      <c r="K32" s="52">
        <v>0</v>
      </c>
      <c r="L32" s="45">
        <f t="shared" si="0"/>
        <v>0</v>
      </c>
      <c r="M32" s="36"/>
      <c r="N32" s="29"/>
      <c r="O32" s="29"/>
      <c r="P32" s="29"/>
      <c r="Q32" s="29"/>
      <c r="R32" s="146"/>
      <c r="S32" s="29"/>
      <c r="T32" s="29"/>
      <c r="U32" s="29"/>
      <c r="V32" s="36"/>
      <c r="W32" s="29"/>
      <c r="X32" s="29"/>
      <c r="Y32" s="71"/>
      <c r="Z32" s="40"/>
      <c r="AA32" s="16"/>
      <c r="AB32" s="36"/>
    </row>
    <row r="33" spans="2:28" ht="15" customHeight="1" x14ac:dyDescent="0.3">
      <c r="B33" s="11">
        <f t="shared" si="1"/>
        <v>26</v>
      </c>
      <c r="C33" s="104"/>
      <c r="D33" s="180"/>
      <c r="E33" s="117"/>
      <c r="F33" s="117"/>
      <c r="G33" s="45">
        <v>0</v>
      </c>
      <c r="H33" s="45">
        <v>0</v>
      </c>
      <c r="I33" s="45">
        <v>0</v>
      </c>
      <c r="J33" s="45">
        <v>0</v>
      </c>
      <c r="K33" s="52">
        <v>0</v>
      </c>
      <c r="L33" s="45">
        <f t="shared" si="0"/>
        <v>0</v>
      </c>
      <c r="M33" s="36"/>
      <c r="N33" s="29"/>
      <c r="O33" s="29"/>
      <c r="P33" s="29"/>
      <c r="Q33" s="29"/>
      <c r="R33" s="146"/>
      <c r="S33" s="29"/>
      <c r="T33" s="29"/>
      <c r="U33" s="29"/>
      <c r="V33" s="36"/>
      <c r="W33" s="29"/>
      <c r="X33" s="29"/>
      <c r="Y33" s="71"/>
      <c r="Z33" s="40"/>
      <c r="AA33" s="16"/>
      <c r="AB33" s="36"/>
    </row>
    <row r="34" spans="2:28" ht="15" customHeight="1" x14ac:dyDescent="0.3">
      <c r="B34" s="11">
        <f t="shared" si="1"/>
        <v>27</v>
      </c>
      <c r="C34" s="104"/>
      <c r="D34" s="201"/>
      <c r="E34" s="117"/>
      <c r="F34" s="117"/>
      <c r="G34" s="45">
        <v>0</v>
      </c>
      <c r="H34" s="45">
        <v>0</v>
      </c>
      <c r="I34" s="45">
        <v>0</v>
      </c>
      <c r="J34" s="45">
        <v>0</v>
      </c>
      <c r="K34" s="52">
        <v>0</v>
      </c>
      <c r="L34" s="45">
        <f t="shared" si="0"/>
        <v>0</v>
      </c>
      <c r="M34" s="36"/>
      <c r="N34" s="29"/>
      <c r="O34" s="29"/>
      <c r="P34" s="29"/>
      <c r="Q34" s="29"/>
      <c r="R34" s="146"/>
      <c r="S34" s="29"/>
      <c r="T34" s="29"/>
      <c r="U34" s="29"/>
      <c r="V34" s="36"/>
      <c r="W34" s="29"/>
      <c r="X34" s="29"/>
      <c r="Y34" s="29"/>
      <c r="Z34" s="40"/>
      <c r="AA34" s="16"/>
      <c r="AB34" s="36"/>
    </row>
    <row r="35" spans="2:28" ht="15" customHeight="1" x14ac:dyDescent="0.3">
      <c r="B35" s="11">
        <f t="shared" si="1"/>
        <v>28</v>
      </c>
      <c r="C35" s="104"/>
      <c r="D35" s="180"/>
      <c r="E35" s="117"/>
      <c r="F35" s="117"/>
      <c r="G35" s="45">
        <v>0</v>
      </c>
      <c r="H35" s="45">
        <v>0</v>
      </c>
      <c r="I35" s="45">
        <v>0</v>
      </c>
      <c r="J35" s="45">
        <v>0</v>
      </c>
      <c r="K35" s="52">
        <v>0</v>
      </c>
      <c r="L35" s="45">
        <f t="shared" si="0"/>
        <v>0</v>
      </c>
      <c r="M35" s="36"/>
      <c r="N35" s="29"/>
      <c r="O35" s="29"/>
      <c r="P35" s="29"/>
      <c r="Q35" s="29"/>
      <c r="R35" s="146"/>
      <c r="S35" s="29"/>
      <c r="T35" s="29"/>
      <c r="U35" s="29"/>
      <c r="V35" s="36"/>
      <c r="W35" s="29"/>
      <c r="X35" s="29"/>
      <c r="Y35" s="71"/>
      <c r="Z35" s="40"/>
      <c r="AA35" s="16"/>
      <c r="AB35" s="36"/>
    </row>
    <row r="36" spans="2:28" ht="15" customHeight="1" x14ac:dyDescent="0.3">
      <c r="B36" s="11">
        <f t="shared" si="1"/>
        <v>29</v>
      </c>
      <c r="C36" s="104"/>
      <c r="D36" s="201"/>
      <c r="E36" s="117"/>
      <c r="F36" s="117"/>
      <c r="G36" s="45">
        <v>0</v>
      </c>
      <c r="H36" s="45">
        <v>0</v>
      </c>
      <c r="I36" s="45">
        <v>0</v>
      </c>
      <c r="J36" s="45">
        <v>0</v>
      </c>
      <c r="K36" s="52">
        <v>0</v>
      </c>
      <c r="L36" s="45">
        <f t="shared" si="0"/>
        <v>0</v>
      </c>
      <c r="M36" s="36"/>
      <c r="N36" s="29"/>
      <c r="O36" s="29"/>
      <c r="P36" s="29"/>
      <c r="Q36" s="29"/>
      <c r="R36" s="146"/>
      <c r="S36" s="29"/>
      <c r="T36" s="29"/>
      <c r="U36" s="29"/>
      <c r="V36" s="36"/>
      <c r="W36" s="29"/>
      <c r="X36" s="29"/>
      <c r="Y36" s="29"/>
      <c r="Z36" s="40"/>
      <c r="AA36" s="16"/>
      <c r="AB36" s="36"/>
    </row>
    <row r="37" spans="2:28" ht="15" customHeight="1" x14ac:dyDescent="0.3">
      <c r="B37" s="11">
        <f t="shared" si="1"/>
        <v>30</v>
      </c>
      <c r="C37" s="104"/>
      <c r="D37" s="201"/>
      <c r="E37" s="117"/>
      <c r="F37" s="117"/>
      <c r="G37" s="45">
        <v>0</v>
      </c>
      <c r="H37" s="45">
        <v>0</v>
      </c>
      <c r="I37" s="45">
        <v>0</v>
      </c>
      <c r="J37" s="45">
        <v>0</v>
      </c>
      <c r="K37" s="52">
        <v>0</v>
      </c>
      <c r="L37" s="45">
        <f t="shared" si="0"/>
        <v>0</v>
      </c>
      <c r="M37" s="36"/>
      <c r="N37" s="29"/>
      <c r="O37" s="29"/>
      <c r="P37" s="29"/>
      <c r="Q37" s="29"/>
      <c r="R37" s="146"/>
      <c r="S37" s="29"/>
      <c r="T37" s="29"/>
      <c r="U37" s="29"/>
      <c r="V37" s="36"/>
      <c r="W37" s="29"/>
      <c r="X37" s="29"/>
      <c r="Y37" s="29"/>
      <c r="Z37" s="40"/>
      <c r="AA37" s="16"/>
      <c r="AB37" s="36"/>
    </row>
    <row r="38" spans="2:28" x14ac:dyDescent="0.3">
      <c r="B38" s="11"/>
      <c r="C38" s="106"/>
      <c r="D38" s="16"/>
      <c r="E38" s="117"/>
      <c r="F38" s="117"/>
      <c r="G38" s="45">
        <v>0</v>
      </c>
      <c r="H38" s="45">
        <v>0</v>
      </c>
      <c r="I38" s="45">
        <v>0</v>
      </c>
      <c r="J38" s="45">
        <v>0</v>
      </c>
      <c r="K38" s="52">
        <v>0</v>
      </c>
      <c r="L38" s="45">
        <f t="shared" si="0"/>
        <v>0</v>
      </c>
      <c r="M38" s="36"/>
      <c r="N38" s="29"/>
      <c r="O38" s="29"/>
      <c r="P38" s="1"/>
      <c r="Q38" s="1"/>
      <c r="R38" s="146"/>
      <c r="S38" s="29"/>
      <c r="T38" s="29"/>
      <c r="U38" s="29"/>
      <c r="V38" s="36"/>
      <c r="W38" s="29"/>
      <c r="X38" s="29"/>
      <c r="Y38" s="29"/>
      <c r="Z38" s="40"/>
      <c r="AA38" s="16"/>
      <c r="AB38" s="36"/>
    </row>
    <row r="39" spans="2:28" x14ac:dyDescent="0.3">
      <c r="C39" s="102"/>
      <c r="D39" s="59"/>
      <c r="E39" s="78"/>
      <c r="F39" s="78"/>
      <c r="G39" s="77">
        <f t="shared" ref="G39:L39" si="2">SUBTOTAL(9,G8:G38)</f>
        <v>0</v>
      </c>
      <c r="H39" s="77">
        <f t="shared" si="2"/>
        <v>0</v>
      </c>
      <c r="I39" s="77">
        <f t="shared" si="2"/>
        <v>0</v>
      </c>
      <c r="J39" s="77">
        <f t="shared" si="2"/>
        <v>0</v>
      </c>
      <c r="K39" s="77">
        <f t="shared" si="2"/>
        <v>0</v>
      </c>
      <c r="L39" s="77">
        <f t="shared" si="2"/>
        <v>0</v>
      </c>
      <c r="M39" s="68"/>
      <c r="N39" s="140"/>
      <c r="O39" s="140"/>
      <c r="P39" s="17"/>
      <c r="Q39" s="30">
        <f>SUBTOTAL(2,Q8:Q38)</f>
        <v>0</v>
      </c>
      <c r="R39" s="18"/>
      <c r="S39" s="19"/>
      <c r="T39" s="19"/>
      <c r="U39" s="19"/>
      <c r="V39" s="19"/>
      <c r="W39" s="19"/>
      <c r="X39" s="19"/>
      <c r="Y39" s="19"/>
      <c r="Z39" s="34"/>
      <c r="AA39" s="22"/>
      <c r="AB39" s="37"/>
    </row>
    <row r="40" spans="2:28" x14ac:dyDescent="0.3">
      <c r="G40" s="50"/>
      <c r="H40" s="50"/>
      <c r="I40" s="50"/>
      <c r="J40" s="50"/>
      <c r="K40" s="50"/>
      <c r="L40" s="50"/>
    </row>
    <row r="41" spans="2:28" x14ac:dyDescent="0.3">
      <c r="G41" s="50"/>
      <c r="H41" s="50"/>
      <c r="I41" s="50"/>
      <c r="J41" s="50"/>
      <c r="K41" s="50"/>
      <c r="L41" s="50"/>
    </row>
    <row r="42" spans="2:28" ht="15.75" customHeight="1" thickBot="1" x14ac:dyDescent="0.35">
      <c r="C42" s="103"/>
      <c r="D42" s="20"/>
      <c r="E42" s="28"/>
      <c r="F42" s="28"/>
      <c r="G42" s="72">
        <f t="shared" ref="G42:L42" si="3">SUM(G8:G38)</f>
        <v>0</v>
      </c>
      <c r="H42" s="72">
        <f t="shared" si="3"/>
        <v>0</v>
      </c>
      <c r="I42" s="72">
        <f t="shared" si="3"/>
        <v>0</v>
      </c>
      <c r="J42" s="72">
        <f t="shared" si="3"/>
        <v>0</v>
      </c>
      <c r="K42" s="72">
        <f t="shared" si="3"/>
        <v>0</v>
      </c>
      <c r="L42" s="72">
        <f t="shared" si="3"/>
        <v>0</v>
      </c>
      <c r="M42" s="73"/>
      <c r="N42" s="141"/>
      <c r="O42" s="141"/>
      <c r="P42" s="14"/>
      <c r="R42" s="14"/>
      <c r="S42" s="14"/>
      <c r="T42" s="14"/>
      <c r="U42" s="14"/>
      <c r="V42" s="14"/>
      <c r="W42" s="14"/>
      <c r="X42" s="14"/>
      <c r="Y42" s="14"/>
      <c r="Z42" s="35"/>
      <c r="AA42" s="3"/>
    </row>
    <row r="43" spans="2:28" ht="15.75" customHeight="1" thickTop="1" x14ac:dyDescent="0.3">
      <c r="R43" s="14"/>
    </row>
    <row r="45" spans="2:28" x14ac:dyDescent="0.3">
      <c r="F45" s="46"/>
      <c r="L45" s="66"/>
      <c r="O45" s="8"/>
      <c r="Y45" s="32"/>
      <c r="AA45" s="32"/>
    </row>
    <row r="46" spans="2:28" x14ac:dyDescent="0.3">
      <c r="D46" s="403" t="s">
        <v>55</v>
      </c>
      <c r="E46" s="404"/>
      <c r="F46" s="405"/>
      <c r="G46" s="8"/>
      <c r="I46" s="403" t="s">
        <v>56</v>
      </c>
      <c r="J46" s="404"/>
      <c r="K46" s="405"/>
      <c r="L46" s="8"/>
      <c r="M46" s="8"/>
      <c r="N46" s="8"/>
      <c r="O46" s="8"/>
      <c r="Y46" s="32"/>
      <c r="AA46" s="32"/>
    </row>
    <row r="47" spans="2:28" x14ac:dyDescent="0.3">
      <c r="D47" s="16" t="s">
        <v>57</v>
      </c>
      <c r="E47" s="90" t="s">
        <v>58</v>
      </c>
      <c r="F47" s="91" t="s">
        <v>59</v>
      </c>
      <c r="G47" s="89"/>
      <c r="I47" s="16" t="s">
        <v>57</v>
      </c>
      <c r="J47" s="90" t="s">
        <v>58</v>
      </c>
      <c r="K47" s="91" t="s">
        <v>59</v>
      </c>
      <c r="L47" s="8"/>
      <c r="M47" s="8"/>
      <c r="N47" s="8"/>
      <c r="O47" s="8"/>
      <c r="Y47" s="32"/>
      <c r="AA47" s="32"/>
    </row>
    <row r="48" spans="2:28" x14ac:dyDescent="0.3">
      <c r="D48" s="92">
        <f>SUMIF($AA$8:$AA$37,D47,$L$8:$L$38)</f>
        <v>0</v>
      </c>
      <c r="E48" s="92">
        <f>SUMIF($AA$8:$AA$37,E47,$L$8:$L$38)</f>
        <v>0</v>
      </c>
      <c r="F48" s="92">
        <f>SUMIF($AA$8:$AA$37,F47,$L$8:$L$37)</f>
        <v>0</v>
      </c>
      <c r="G48" s="93">
        <f>SUM(D48:F48)</f>
        <v>0</v>
      </c>
      <c r="I48" s="92">
        <f>SUMIF($AA$8:$AA$37,I47,$K$8:$K$37)</f>
        <v>0</v>
      </c>
      <c r="J48" s="92">
        <f>SUMIF($AA$8:$AA$37,J47,$K$8:$K$37)</f>
        <v>0</v>
      </c>
      <c r="K48" s="92">
        <f>SUMIF($AA$8:$AA$37,K47,$K$8:$K$37)</f>
        <v>0</v>
      </c>
      <c r="L48" s="93">
        <f>SUM(I48:K48)</f>
        <v>0</v>
      </c>
      <c r="M48" s="8"/>
      <c r="N48" s="8"/>
      <c r="O48" s="8"/>
      <c r="Y48" s="32"/>
      <c r="AA48" s="32"/>
    </row>
    <row r="49" spans="4:27" x14ac:dyDescent="0.3">
      <c r="G49" s="95">
        <f>L42-G48</f>
        <v>0</v>
      </c>
      <c r="I49" s="32"/>
      <c r="J49" s="32"/>
      <c r="K49" s="142"/>
      <c r="L49" s="95">
        <f>K42-L48</f>
        <v>0</v>
      </c>
      <c r="M49" s="8"/>
      <c r="N49" s="8"/>
      <c r="O49" s="8"/>
      <c r="Y49" s="32"/>
      <c r="AA49" s="32"/>
    </row>
    <row r="50" spans="4:27" x14ac:dyDescent="0.3">
      <c r="D50" s="46"/>
      <c r="E50" s="46"/>
      <c r="F50" s="46"/>
      <c r="H50" s="66"/>
      <c r="L50" s="8"/>
      <c r="M50" s="8"/>
      <c r="N50" s="8"/>
      <c r="O50" s="8"/>
    </row>
    <row r="51" spans="4:27" x14ac:dyDescent="0.3">
      <c r="H51" s="119" t="s">
        <v>60</v>
      </c>
      <c r="I51" s="46">
        <f>F48</f>
        <v>0</v>
      </c>
      <c r="L51" s="119"/>
      <c r="N51" s="8"/>
      <c r="O51" s="8"/>
    </row>
    <row r="52" spans="4:27" ht="15.75" customHeight="1" thickBot="1" x14ac:dyDescent="0.35">
      <c r="H52" s="120" t="s">
        <v>61</v>
      </c>
      <c r="I52" s="97">
        <f>D48+E48+I48+J48+K48</f>
        <v>0</v>
      </c>
      <c r="L52" s="119"/>
      <c r="N52" s="8"/>
      <c r="O52" s="8"/>
    </row>
    <row r="53" spans="4:27" ht="15.75" customHeight="1" thickTop="1" x14ac:dyDescent="0.3">
      <c r="H53" s="119" t="s">
        <v>62</v>
      </c>
      <c r="I53" s="46">
        <f>SUM(I51:I52)</f>
        <v>0</v>
      </c>
      <c r="L53" s="119"/>
      <c r="N53" s="8"/>
      <c r="O53" s="8"/>
    </row>
    <row r="54" spans="4:27" x14ac:dyDescent="0.3">
      <c r="I54" s="95">
        <f>G42-I53</f>
        <v>0</v>
      </c>
      <c r="L54" s="119"/>
      <c r="M54" s="8"/>
      <c r="N54" s="8"/>
      <c r="O54" s="8"/>
    </row>
    <row r="55" spans="4:27" x14ac:dyDescent="0.3">
      <c r="J55" s="66"/>
      <c r="K55" s="66"/>
      <c r="L55" s="116"/>
      <c r="M55" s="8"/>
      <c r="N55" s="8"/>
      <c r="O55" s="8"/>
    </row>
    <row r="56" spans="4:27" x14ac:dyDescent="0.3">
      <c r="J56" s="66"/>
      <c r="K56" s="66"/>
      <c r="L56" s="116"/>
      <c r="M56" s="8"/>
      <c r="N56" s="8"/>
      <c r="O56" s="8"/>
    </row>
  </sheetData>
  <autoFilter ref="B7:AB38" xr:uid="{00000000-0009-0000-0000-000007000000}"/>
  <mergeCells count="2">
    <mergeCell ref="I46:K46"/>
    <mergeCell ref="D46:F46"/>
  </mergeCells>
  <conditionalFormatting sqref="D47">
    <cfRule type="cellIs" dxfId="69" priority="50" operator="equal">
      <formula>"NO-OOS"</formula>
    </cfRule>
    <cfRule type="cellIs" dxfId="68" priority="51" operator="equal">
      <formula>"NO-CO"</formula>
    </cfRule>
    <cfRule type="cellIs" dxfId="67" priority="52" operator="equal">
      <formula>"YES"</formula>
    </cfRule>
  </conditionalFormatting>
  <conditionalFormatting sqref="I47">
    <cfRule type="cellIs" dxfId="66" priority="45" operator="equal">
      <formula>"NO-OOS"</formula>
    </cfRule>
    <cfRule type="cellIs" dxfId="65" priority="46" operator="equal">
      <formula>"NO-CO"</formula>
    </cfRule>
    <cfRule type="cellIs" dxfId="64" priority="47" operator="equal">
      <formula>"YES"</formula>
    </cfRule>
    <cfRule type="cellIs" dxfId="63" priority="48" operator="equal">
      <formula>"NO"</formula>
    </cfRule>
  </conditionalFormatting>
  <conditionalFormatting sqref="O8:O38">
    <cfRule type="cellIs" dxfId="62" priority="1" operator="equal">
      <formula>"N/A"</formula>
    </cfRule>
    <cfRule type="cellIs" dxfId="61" priority="40" operator="equal">
      <formula>"NO"</formula>
    </cfRule>
    <cfRule type="cellIs" dxfId="60" priority="41" operator="equal">
      <formula>"YES"</formula>
    </cfRule>
  </conditionalFormatting>
  <conditionalFormatting sqref="R8:R38">
    <cfRule type="cellIs" dxfId="59" priority="18" operator="equal">
      <formula>"NO"</formula>
    </cfRule>
    <cfRule type="cellIs" dxfId="58" priority="42" operator="equal">
      <formula>"N/A - (OOS)"</formula>
    </cfRule>
    <cfRule type="cellIs" dxfId="57" priority="43" operator="equal">
      <formula>"YES"</formula>
    </cfRule>
  </conditionalFormatting>
  <conditionalFormatting sqref="AA8:AA38">
    <cfRule type="cellIs" dxfId="56" priority="19" operator="equal">
      <formula>"NO-OOS"</formula>
    </cfRule>
    <cfRule type="cellIs" dxfId="55" priority="20" operator="equal">
      <formula>"NO-TX"</formula>
    </cfRule>
    <cfRule type="cellIs" dxfId="54" priority="21" operator="equal">
      <formula>"YES"</formula>
    </cfRule>
  </conditionalFormatting>
  <hyperlinks>
    <hyperlink ref="G42" location="'Comm Summary'!A1" display="'Comm Summary'!A1" xr:uid="{00000000-0004-0000-0700-000000000000}"/>
    <hyperlink ref="H42" location="'Comm Summary'!A1" display="'Comm Summary'!A1" xr:uid="{00000000-0004-0000-0700-000001000000}"/>
    <hyperlink ref="I42" location="'Comm Summary'!A1" display="'Comm Summary'!A1" xr:uid="{00000000-0004-0000-0700-000002000000}"/>
    <hyperlink ref="J42" location="'Comm Summary'!A1" display="'Comm Summary'!A1" xr:uid="{00000000-0004-0000-0700-000003000000}"/>
    <hyperlink ref="K42" location="'Comm Summary'!A1" display="'Comm Summary'!A1" xr:uid="{00000000-0004-0000-0700-000004000000}"/>
    <hyperlink ref="L42" location="'Comm Summary'!A1" display="'Comm Summary'!A1" xr:uid="{00000000-0004-0000-0700-000005000000}"/>
  </hyperlinks>
  <pageMargins left="0.45" right="0.45" top="0.75" bottom="0.75" header="0.3" footer="0.3"/>
  <pageSetup scale="2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A7FFC4"/>
    <pageSetUpPr fitToPage="1"/>
  </sheetPr>
  <dimension ref="B1:X123"/>
  <sheetViews>
    <sheetView zoomScale="85" zoomScaleNormal="85" workbookViewId="0">
      <pane xSplit="2" ySplit="8" topLeftCell="Q9" activePane="bottomRight" state="frozen"/>
      <selection activeCell="H92" sqref="H92"/>
      <selection pane="topRight" activeCell="H92" sqref="H92"/>
      <selection pane="bottomLeft" activeCell="H92" sqref="H92"/>
      <selection pane="bottomRight" activeCell="W13" sqref="W13"/>
    </sheetView>
  </sheetViews>
  <sheetFormatPr defaultRowHeight="14.4" x14ac:dyDescent="0.3"/>
  <cols>
    <col min="1" max="1" width="2.5546875" customWidth="1"/>
    <col min="2" max="2" width="7.33203125" style="9" customWidth="1"/>
    <col min="3" max="3" width="12.5546875" style="107" customWidth="1"/>
    <col min="4" max="4" width="16.33203125" style="8" customWidth="1"/>
    <col min="5" max="5" width="13.6640625" style="27" customWidth="1"/>
    <col min="6" max="6" width="17.33203125" style="46" customWidth="1"/>
    <col min="7" max="7" width="18.109375" style="46" customWidth="1"/>
    <col min="8" max="8" width="20.6640625" style="46" bestFit="1" customWidth="1"/>
    <col min="9" max="9" width="28.5546875" style="66" customWidth="1"/>
    <col min="10" max="10" width="17.33203125" style="8" customWidth="1"/>
    <col min="11" max="11" width="12.6640625" style="8" customWidth="1"/>
    <col min="12" max="12" width="18.33203125" style="32" customWidth="1"/>
    <col min="13" max="13" width="19.5546875" style="8" customWidth="1"/>
    <col min="14" max="14" width="19.109375" style="8" customWidth="1"/>
    <col min="15" max="15" width="13.88671875" style="32" customWidth="1"/>
    <col min="16" max="16" width="42" style="32" customWidth="1"/>
    <col min="17" max="17" width="28.33203125" style="8" customWidth="1"/>
    <col min="18" max="18" width="18.109375" style="8" customWidth="1"/>
    <col min="19" max="19" width="9.33203125" style="8" customWidth="1"/>
    <col min="20" max="20" width="8.33203125" style="8" customWidth="1"/>
    <col min="21" max="21" width="19.33203125" style="32" customWidth="1"/>
    <col min="22" max="22" width="15.5546875" customWidth="1"/>
    <col min="23" max="23" width="125.33203125" style="32" bestFit="1" customWidth="1"/>
  </cols>
  <sheetData>
    <row r="1" spans="2:24" ht="15.75" customHeight="1" x14ac:dyDescent="0.3">
      <c r="B1" s="407"/>
      <c r="C1" s="411"/>
      <c r="D1" s="402"/>
      <c r="E1" s="401"/>
      <c r="F1" s="412"/>
      <c r="G1" s="412"/>
      <c r="H1" s="412"/>
      <c r="I1" s="413"/>
      <c r="J1" s="402"/>
      <c r="K1" s="402"/>
      <c r="L1" s="415"/>
      <c r="M1" s="402"/>
      <c r="N1" s="402"/>
      <c r="O1" s="415"/>
      <c r="P1" s="415"/>
      <c r="Q1" s="402"/>
      <c r="R1" s="402"/>
      <c r="S1" s="402"/>
      <c r="T1" s="402"/>
      <c r="U1" s="415"/>
      <c r="V1" s="392"/>
      <c r="W1" s="415"/>
      <c r="X1" s="392"/>
    </row>
    <row r="2" spans="2:24" ht="15.75" customHeight="1" x14ac:dyDescent="0.3">
      <c r="B2" s="113"/>
      <c r="C2" s="113"/>
      <c r="D2" s="113"/>
      <c r="E2" s="25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31"/>
      <c r="R2" s="31"/>
      <c r="S2" s="31"/>
      <c r="T2" s="113"/>
      <c r="U2" s="113"/>
      <c r="V2" s="31"/>
      <c r="W2" s="31"/>
      <c r="X2" s="113"/>
    </row>
    <row r="3" spans="2:24" x14ac:dyDescent="0.3">
      <c r="C3" s="9"/>
      <c r="D3" s="15"/>
      <c r="E3" s="23"/>
      <c r="O3" s="8"/>
      <c r="Q3" s="32"/>
      <c r="R3" s="32"/>
      <c r="S3" s="32"/>
      <c r="U3" s="8"/>
      <c r="V3" s="32"/>
    </row>
    <row r="4" spans="2:24" ht="18.75" customHeight="1" x14ac:dyDescent="0.35">
      <c r="C4" s="9"/>
      <c r="D4" s="15"/>
      <c r="E4" s="4"/>
      <c r="L4" s="4"/>
      <c r="M4" s="5"/>
      <c r="N4" s="5"/>
      <c r="O4" s="8"/>
      <c r="Q4" s="4"/>
      <c r="R4" s="4"/>
      <c r="S4" s="4"/>
      <c r="T4" s="112"/>
      <c r="U4" s="112"/>
      <c r="V4" s="4"/>
      <c r="W4" s="4"/>
      <c r="X4" s="4"/>
    </row>
    <row r="5" spans="2:24" ht="18.75" customHeight="1" x14ac:dyDescent="0.35">
      <c r="C5" s="9"/>
      <c r="D5" s="15"/>
      <c r="E5" s="4"/>
      <c r="L5" s="4"/>
      <c r="M5" s="5"/>
      <c r="N5" s="5"/>
      <c r="O5" s="8"/>
      <c r="P5" s="4"/>
      <c r="Q5" s="4"/>
      <c r="R5" s="4"/>
      <c r="S5" s="4"/>
      <c r="T5" s="112"/>
      <c r="U5" s="112"/>
      <c r="V5" s="4"/>
      <c r="W5" s="4"/>
      <c r="X5" s="4"/>
    </row>
    <row r="6" spans="2:24" ht="18.75" customHeight="1" x14ac:dyDescent="0.35">
      <c r="C6" s="9"/>
      <c r="D6" s="15"/>
      <c r="E6" s="4"/>
      <c r="L6" s="4"/>
      <c r="M6" s="5"/>
      <c r="N6" s="5"/>
      <c r="O6" s="8"/>
      <c r="P6" s="4"/>
      <c r="Q6" s="4"/>
      <c r="R6" s="4"/>
      <c r="S6" s="4"/>
      <c r="T6" s="112"/>
      <c r="U6" s="112"/>
      <c r="V6" s="4"/>
      <c r="W6" s="4"/>
      <c r="X6" s="4"/>
    </row>
    <row r="7" spans="2:24" x14ac:dyDescent="0.3">
      <c r="C7" s="101"/>
      <c r="E7" s="101"/>
      <c r="F7" s="101"/>
      <c r="G7" s="101"/>
      <c r="J7" s="101"/>
      <c r="K7" s="101"/>
      <c r="M7" s="101"/>
      <c r="N7" s="101"/>
      <c r="O7" s="101"/>
      <c r="Q7" s="101"/>
      <c r="R7" s="101"/>
      <c r="S7" s="101"/>
      <c r="T7" s="101"/>
      <c r="U7" s="101"/>
      <c r="V7" s="101"/>
    </row>
    <row r="8" spans="2:24" s="7" customFormat="1" ht="18.75" customHeight="1" x14ac:dyDescent="0.3">
      <c r="B8" s="271" t="s">
        <v>7</v>
      </c>
      <c r="C8" s="272" t="s">
        <v>205</v>
      </c>
      <c r="D8" s="274" t="s">
        <v>52</v>
      </c>
      <c r="E8" s="272" t="s">
        <v>11</v>
      </c>
      <c r="F8" s="292" t="s">
        <v>243</v>
      </c>
      <c r="G8" s="369" t="s">
        <v>61</v>
      </c>
      <c r="H8" s="292" t="s">
        <v>244</v>
      </c>
      <c r="I8" s="293" t="s">
        <v>245</v>
      </c>
      <c r="J8" s="274" t="s">
        <v>212</v>
      </c>
      <c r="K8" s="274" t="s">
        <v>213</v>
      </c>
      <c r="L8" s="274" t="s">
        <v>246</v>
      </c>
      <c r="M8" s="274" t="s">
        <v>214</v>
      </c>
      <c r="N8" s="274" t="s">
        <v>39</v>
      </c>
      <c r="O8" s="274" t="s">
        <v>215</v>
      </c>
      <c r="P8" s="274" t="s">
        <v>216</v>
      </c>
      <c r="Q8" s="274" t="s">
        <v>217</v>
      </c>
      <c r="R8" s="274" t="s">
        <v>168</v>
      </c>
      <c r="S8" s="274" t="s">
        <v>44</v>
      </c>
      <c r="T8" s="274" t="s">
        <v>45</v>
      </c>
      <c r="U8" s="274" t="s">
        <v>218</v>
      </c>
      <c r="V8" s="274" t="s">
        <v>41</v>
      </c>
      <c r="W8" s="294" t="s">
        <v>46</v>
      </c>
      <c r="X8" s="370"/>
    </row>
    <row r="9" spans="2:24" x14ac:dyDescent="0.3">
      <c r="B9" s="11">
        <v>1</v>
      </c>
      <c r="C9" s="29"/>
      <c r="D9" s="82"/>
      <c r="E9" s="117"/>
      <c r="F9" s="45"/>
      <c r="G9" s="52"/>
      <c r="H9" s="45"/>
      <c r="I9" s="36"/>
      <c r="J9" s="29"/>
      <c r="K9" s="29"/>
      <c r="L9" s="145"/>
      <c r="M9" s="146"/>
      <c r="N9" s="1"/>
      <c r="O9" s="29"/>
      <c r="P9" s="36"/>
      <c r="Q9" s="36"/>
      <c r="R9" s="29"/>
      <c r="S9" s="29"/>
      <c r="T9" s="29"/>
      <c r="U9" s="147"/>
      <c r="V9" s="16"/>
      <c r="W9" s="36"/>
    </row>
    <row r="10" spans="2:24" x14ac:dyDescent="0.3">
      <c r="B10" s="11">
        <v>2</v>
      </c>
      <c r="C10" s="29"/>
      <c r="D10" s="82"/>
      <c r="E10" s="117"/>
      <c r="F10" s="45"/>
      <c r="G10" s="52"/>
      <c r="H10" s="45"/>
      <c r="I10" s="36"/>
      <c r="J10" s="29"/>
      <c r="K10" s="29"/>
      <c r="L10" s="145"/>
      <c r="M10" s="146"/>
      <c r="N10" s="1"/>
      <c r="O10" s="29"/>
      <c r="P10" s="36"/>
      <c r="Q10" s="36"/>
      <c r="R10" s="29"/>
      <c r="S10" s="29"/>
      <c r="T10" s="29"/>
      <c r="U10" s="147"/>
      <c r="V10" s="16"/>
      <c r="W10" s="36"/>
    </row>
    <row r="11" spans="2:24" x14ac:dyDescent="0.3">
      <c r="B11" s="11">
        <v>3</v>
      </c>
      <c r="C11" s="29"/>
      <c r="D11" s="82"/>
      <c r="E11" s="117"/>
      <c r="F11" s="45"/>
      <c r="G11" s="52"/>
      <c r="H11" s="45"/>
      <c r="I11" s="36"/>
      <c r="J11" s="29"/>
      <c r="K11" s="29"/>
      <c r="L11" s="145"/>
      <c r="M11" s="146"/>
      <c r="N11" s="1"/>
      <c r="O11" s="29"/>
      <c r="P11" s="36"/>
      <c r="Q11" s="36"/>
      <c r="R11" s="29"/>
      <c r="S11" s="29"/>
      <c r="T11" s="29"/>
      <c r="U11" s="147"/>
      <c r="V11" s="16"/>
      <c r="W11" s="36"/>
    </row>
    <row r="12" spans="2:24" x14ac:dyDescent="0.3">
      <c r="B12" s="11">
        <v>4</v>
      </c>
      <c r="C12" s="1"/>
      <c r="D12" s="82"/>
      <c r="E12" s="117"/>
      <c r="F12" s="45"/>
      <c r="G12" s="52"/>
      <c r="H12" s="45"/>
      <c r="I12" s="36"/>
      <c r="J12" s="29"/>
      <c r="K12" s="29"/>
      <c r="L12" s="145"/>
      <c r="M12" s="146"/>
      <c r="N12" s="1"/>
      <c r="O12" s="29"/>
      <c r="P12" s="36"/>
      <c r="Q12" s="36"/>
      <c r="R12" s="29"/>
      <c r="S12" s="29"/>
      <c r="T12" s="29"/>
      <c r="U12" s="147"/>
      <c r="V12" s="16"/>
      <c r="W12" s="36"/>
    </row>
    <row r="13" spans="2:24" ht="15" customHeight="1" x14ac:dyDescent="0.3">
      <c r="B13" s="11">
        <v>5</v>
      </c>
      <c r="C13" s="1"/>
      <c r="D13" s="82"/>
      <c r="E13" s="117"/>
      <c r="F13" s="45"/>
      <c r="G13" s="52"/>
      <c r="H13" s="45"/>
      <c r="I13" s="36"/>
      <c r="J13" s="29"/>
      <c r="K13" s="29"/>
      <c r="L13" s="145"/>
      <c r="M13" s="146"/>
      <c r="N13" s="1"/>
      <c r="O13" s="29"/>
      <c r="P13" s="36"/>
      <c r="Q13" s="36"/>
      <c r="R13" s="29"/>
      <c r="S13" s="29"/>
      <c r="T13" s="29"/>
      <c r="U13" s="147"/>
      <c r="V13" s="16"/>
      <c r="W13" s="36"/>
    </row>
    <row r="14" spans="2:24" ht="15" customHeight="1" x14ac:dyDescent="0.3">
      <c r="B14" s="11">
        <v>6</v>
      </c>
      <c r="C14" s="1"/>
      <c r="D14" s="83"/>
      <c r="E14" s="117"/>
      <c r="F14" s="45"/>
      <c r="G14" s="52"/>
      <c r="H14" s="45"/>
      <c r="I14" s="36"/>
      <c r="J14" s="29"/>
      <c r="K14" s="29"/>
      <c r="L14" s="145"/>
      <c r="M14" s="146"/>
      <c r="N14" s="1"/>
      <c r="O14" s="29"/>
      <c r="P14" s="36"/>
      <c r="Q14" s="36"/>
      <c r="R14" s="29"/>
      <c r="S14" s="29"/>
      <c r="T14" s="29"/>
      <c r="U14" s="147"/>
      <c r="V14" s="16"/>
      <c r="W14" s="36"/>
    </row>
    <row r="15" spans="2:24" x14ac:dyDescent="0.3">
      <c r="B15" s="11">
        <v>7</v>
      </c>
      <c r="C15" s="104"/>
      <c r="D15" s="84"/>
      <c r="E15" s="117"/>
      <c r="F15" s="45"/>
      <c r="G15" s="52"/>
      <c r="H15" s="45"/>
      <c r="I15" s="36"/>
      <c r="J15" s="29"/>
      <c r="K15" s="29"/>
      <c r="L15" s="145"/>
      <c r="M15" s="146"/>
      <c r="N15" s="1"/>
      <c r="O15" s="29"/>
      <c r="P15" s="36"/>
      <c r="Q15" s="36"/>
      <c r="R15" s="29"/>
      <c r="S15" s="29"/>
      <c r="T15" s="29"/>
      <c r="U15" s="147"/>
      <c r="V15" s="16"/>
      <c r="W15" s="36"/>
    </row>
    <row r="16" spans="2:24" x14ac:dyDescent="0.3">
      <c r="B16" s="11">
        <v>8</v>
      </c>
      <c r="C16" s="104"/>
      <c r="D16" s="84"/>
      <c r="E16" s="117"/>
      <c r="F16" s="45"/>
      <c r="G16" s="52"/>
      <c r="H16" s="45"/>
      <c r="I16" s="36"/>
      <c r="J16" s="29"/>
      <c r="K16" s="29"/>
      <c r="L16" s="145"/>
      <c r="M16" s="146"/>
      <c r="N16" s="1"/>
      <c r="O16" s="29"/>
      <c r="P16" s="36"/>
      <c r="Q16" s="36"/>
      <c r="R16" s="29"/>
      <c r="S16" s="29"/>
      <c r="T16" s="29"/>
      <c r="U16" s="147"/>
      <c r="V16" s="16"/>
      <c r="W16" s="36"/>
    </row>
    <row r="17" spans="2:23" x14ac:dyDescent="0.3">
      <c r="B17" s="11">
        <v>9</v>
      </c>
      <c r="C17" s="1"/>
      <c r="D17" s="84"/>
      <c r="E17" s="117"/>
      <c r="F17" s="45"/>
      <c r="G17" s="52"/>
      <c r="H17" s="45"/>
      <c r="I17" s="36"/>
      <c r="J17" s="29"/>
      <c r="K17" s="29"/>
      <c r="L17" s="149"/>
      <c r="M17" s="146"/>
      <c r="N17" s="1"/>
      <c r="O17" s="29"/>
      <c r="P17" s="36"/>
      <c r="Q17" s="36"/>
      <c r="R17" s="29"/>
      <c r="S17" s="29"/>
      <c r="T17" s="29"/>
      <c r="U17" s="147"/>
      <c r="V17" s="16"/>
      <c r="W17" s="36"/>
    </row>
    <row r="18" spans="2:23" x14ac:dyDescent="0.3">
      <c r="B18" s="11">
        <v>10</v>
      </c>
      <c r="C18" s="1"/>
      <c r="D18" s="84"/>
      <c r="E18" s="117"/>
      <c r="F18" s="45"/>
      <c r="G18" s="52"/>
      <c r="H18" s="45"/>
      <c r="I18" s="36"/>
      <c r="J18" s="29"/>
      <c r="K18" s="29"/>
      <c r="L18" s="145"/>
      <c r="M18" s="146"/>
      <c r="N18" s="1"/>
      <c r="O18" s="29"/>
      <c r="P18" s="36"/>
      <c r="Q18" s="36"/>
      <c r="R18" s="29"/>
      <c r="S18" s="29"/>
      <c r="T18" s="29"/>
      <c r="U18" s="147"/>
      <c r="V18" s="16"/>
      <c r="W18" s="36"/>
    </row>
    <row r="19" spans="2:23" ht="15" customHeight="1" x14ac:dyDescent="0.3">
      <c r="B19" s="11">
        <v>11</v>
      </c>
      <c r="C19" s="1"/>
      <c r="D19" s="84"/>
      <c r="E19" s="117"/>
      <c r="F19" s="45"/>
      <c r="G19" s="52"/>
      <c r="H19" s="45"/>
      <c r="I19" s="36"/>
      <c r="J19" s="29"/>
      <c r="K19" s="29"/>
      <c r="L19" s="145"/>
      <c r="M19" s="146"/>
      <c r="N19" s="1"/>
      <c r="O19" s="29"/>
      <c r="P19" s="36"/>
      <c r="Q19" s="36"/>
      <c r="R19" s="29"/>
      <c r="S19" s="29"/>
      <c r="T19" s="29"/>
      <c r="U19" s="147"/>
      <c r="V19" s="16"/>
      <c r="W19" s="36"/>
    </row>
    <row r="20" spans="2:23" x14ac:dyDescent="0.3">
      <c r="B20" s="11">
        <v>12</v>
      </c>
      <c r="C20" s="1"/>
      <c r="D20" s="82"/>
      <c r="E20" s="117"/>
      <c r="F20" s="45"/>
      <c r="G20" s="52"/>
      <c r="H20" s="45"/>
      <c r="I20" s="36"/>
      <c r="J20" s="29"/>
      <c r="K20" s="29"/>
      <c r="L20" s="27"/>
      <c r="M20" s="146"/>
      <c r="N20" s="1"/>
      <c r="O20" s="29"/>
      <c r="Q20" s="36"/>
      <c r="R20" s="29"/>
      <c r="S20" s="29"/>
      <c r="T20" s="29"/>
      <c r="U20" s="147"/>
      <c r="V20" s="16"/>
      <c r="W20" s="36"/>
    </row>
    <row r="21" spans="2:23" x14ac:dyDescent="0.3">
      <c r="B21" s="11">
        <v>13</v>
      </c>
      <c r="C21" s="1"/>
      <c r="D21" s="82"/>
      <c r="E21" s="117"/>
      <c r="F21" s="45"/>
      <c r="G21" s="52"/>
      <c r="H21" s="45"/>
      <c r="I21" s="36"/>
      <c r="J21" s="29"/>
      <c r="K21" s="29"/>
      <c r="L21" s="145"/>
      <c r="M21" s="146"/>
      <c r="N21" s="1"/>
      <c r="O21" s="29"/>
      <c r="P21" s="36"/>
      <c r="Q21" s="36"/>
      <c r="R21" s="29"/>
      <c r="S21" s="29"/>
      <c r="T21" s="29"/>
      <c r="U21" s="147"/>
      <c r="V21" s="16"/>
      <c r="W21" s="36"/>
    </row>
    <row r="22" spans="2:23" ht="15" customHeight="1" x14ac:dyDescent="0.3">
      <c r="B22" s="11">
        <v>14</v>
      </c>
      <c r="C22" s="1"/>
      <c r="D22" s="83"/>
      <c r="E22" s="117"/>
      <c r="F22" s="45"/>
      <c r="G22" s="52"/>
      <c r="H22" s="45"/>
      <c r="I22" s="36"/>
      <c r="J22" s="29"/>
      <c r="K22" s="29"/>
      <c r="L22" s="145"/>
      <c r="M22" s="146"/>
      <c r="N22" s="1"/>
      <c r="O22" s="29"/>
      <c r="P22" s="36"/>
      <c r="Q22" s="36"/>
      <c r="R22" s="29"/>
      <c r="S22" s="29"/>
      <c r="T22" s="71"/>
      <c r="U22" s="147"/>
      <c r="V22" s="16"/>
      <c r="W22" s="36"/>
    </row>
    <row r="23" spans="2:23" x14ac:dyDescent="0.3">
      <c r="B23" s="11">
        <v>15</v>
      </c>
      <c r="C23" s="1"/>
      <c r="D23" s="83"/>
      <c r="E23" s="117"/>
      <c r="F23" s="45"/>
      <c r="G23" s="52"/>
      <c r="H23" s="45"/>
      <c r="I23" s="36"/>
      <c r="J23" s="29"/>
      <c r="K23" s="29"/>
      <c r="L23" s="145"/>
      <c r="M23" s="146"/>
      <c r="N23" s="1"/>
      <c r="O23" s="29"/>
      <c r="P23" s="36"/>
      <c r="Q23" s="36"/>
      <c r="R23" s="29"/>
      <c r="S23" s="29"/>
      <c r="T23" s="71"/>
      <c r="U23" s="147"/>
      <c r="V23" s="16"/>
      <c r="W23" s="36"/>
    </row>
    <row r="24" spans="2:23" x14ac:dyDescent="0.3">
      <c r="B24" s="11">
        <v>16</v>
      </c>
      <c r="C24" s="1"/>
      <c r="D24" s="83"/>
      <c r="E24" s="117"/>
      <c r="F24" s="45"/>
      <c r="G24" s="52"/>
      <c r="H24" s="45"/>
      <c r="I24" s="36"/>
      <c r="J24" s="29"/>
      <c r="K24" s="29"/>
      <c r="L24" s="145"/>
      <c r="M24" s="146"/>
      <c r="N24" s="1"/>
      <c r="O24" s="29"/>
      <c r="P24" s="36"/>
      <c r="Q24" s="36"/>
      <c r="R24" s="29"/>
      <c r="S24" s="29"/>
      <c r="T24" s="71"/>
      <c r="U24" s="147"/>
      <c r="V24" s="16"/>
      <c r="W24" s="36"/>
    </row>
    <row r="25" spans="2:23" x14ac:dyDescent="0.3">
      <c r="B25" s="11">
        <v>17</v>
      </c>
      <c r="C25" s="1"/>
      <c r="D25" s="84"/>
      <c r="E25" s="117"/>
      <c r="F25" s="45"/>
      <c r="G25" s="52"/>
      <c r="H25" s="45"/>
      <c r="I25" s="36"/>
      <c r="J25" s="29"/>
      <c r="K25" s="29"/>
      <c r="L25" s="149"/>
      <c r="M25" s="146"/>
      <c r="N25" s="1"/>
      <c r="O25" s="29"/>
      <c r="P25" s="36"/>
      <c r="Q25" s="36"/>
      <c r="R25" s="29"/>
      <c r="S25" s="29"/>
      <c r="T25" s="29"/>
      <c r="U25" s="147"/>
      <c r="V25" s="16"/>
      <c r="W25" s="36"/>
    </row>
    <row r="26" spans="2:23" ht="15" customHeight="1" x14ac:dyDescent="0.3">
      <c r="B26" s="11">
        <v>18</v>
      </c>
      <c r="C26" s="1"/>
      <c r="D26" s="83"/>
      <c r="E26" s="117"/>
      <c r="F26" s="45"/>
      <c r="G26" s="52"/>
      <c r="H26" s="45"/>
      <c r="I26" s="36"/>
      <c r="J26" s="29"/>
      <c r="K26" s="29"/>
      <c r="L26" s="145"/>
      <c r="M26" s="146"/>
      <c r="N26" s="1"/>
      <c r="O26" s="29"/>
      <c r="P26" s="36"/>
      <c r="Q26" s="36"/>
      <c r="R26" s="29"/>
      <c r="S26" s="29"/>
      <c r="T26" s="29"/>
      <c r="U26" s="147"/>
      <c r="V26" s="16"/>
      <c r="W26" s="36"/>
    </row>
    <row r="27" spans="2:23" ht="15" customHeight="1" x14ac:dyDescent="0.3">
      <c r="B27" s="11">
        <v>19</v>
      </c>
      <c r="C27" s="1"/>
      <c r="D27" s="83"/>
      <c r="E27" s="117"/>
      <c r="F27" s="45"/>
      <c r="G27" s="52"/>
      <c r="H27" s="45"/>
      <c r="I27" s="36"/>
      <c r="J27" s="29"/>
      <c r="K27" s="29"/>
      <c r="L27" s="145"/>
      <c r="M27" s="146"/>
      <c r="N27" s="1"/>
      <c r="O27" s="29"/>
      <c r="P27" s="36"/>
      <c r="Q27" s="36"/>
      <c r="R27" s="29"/>
      <c r="S27" s="29"/>
      <c r="T27" s="29"/>
      <c r="U27" s="147"/>
      <c r="V27" s="16"/>
      <c r="W27" s="36"/>
    </row>
    <row r="28" spans="2:23" ht="15" customHeight="1" x14ac:dyDescent="0.3">
      <c r="B28" s="11">
        <v>20</v>
      </c>
      <c r="C28" s="1"/>
      <c r="D28" s="83"/>
      <c r="E28" s="117"/>
      <c r="F28" s="45"/>
      <c r="G28" s="52"/>
      <c r="H28" s="45"/>
      <c r="I28" s="36"/>
      <c r="J28" s="29"/>
      <c r="K28" s="29"/>
      <c r="L28" s="145"/>
      <c r="M28" s="146"/>
      <c r="N28" s="1"/>
      <c r="O28" s="29"/>
      <c r="P28" s="36"/>
      <c r="Q28" s="36"/>
      <c r="R28" s="29"/>
      <c r="S28" s="29"/>
      <c r="T28" s="29"/>
      <c r="U28" s="147"/>
      <c r="V28" s="16"/>
      <c r="W28" s="36"/>
    </row>
    <row r="29" spans="2:23" ht="15" customHeight="1" x14ac:dyDescent="0.3">
      <c r="B29" s="11">
        <v>21</v>
      </c>
      <c r="C29" s="1"/>
      <c r="D29" s="83"/>
      <c r="E29" s="117"/>
      <c r="F29" s="45"/>
      <c r="G29" s="52"/>
      <c r="H29" s="45"/>
      <c r="I29" s="36"/>
      <c r="J29" s="29"/>
      <c r="K29" s="29"/>
      <c r="L29" s="145"/>
      <c r="M29" s="146"/>
      <c r="N29" s="1"/>
      <c r="O29" s="29"/>
      <c r="P29" s="36"/>
      <c r="Q29" s="36"/>
      <c r="R29" s="29"/>
      <c r="S29" s="29"/>
      <c r="T29" s="29"/>
      <c r="U29" s="147"/>
      <c r="V29" s="16"/>
      <c r="W29" s="36"/>
    </row>
    <row r="30" spans="2:23" ht="15" customHeight="1" x14ac:dyDescent="0.3">
      <c r="B30" s="11">
        <v>22</v>
      </c>
      <c r="C30" s="1"/>
      <c r="D30" s="83"/>
      <c r="E30" s="117"/>
      <c r="F30" s="45"/>
      <c r="G30" s="52"/>
      <c r="H30" s="45"/>
      <c r="I30" s="36"/>
      <c r="J30" s="29"/>
      <c r="K30" s="29"/>
      <c r="L30" s="145"/>
      <c r="M30" s="146"/>
      <c r="N30" s="1"/>
      <c r="O30" s="29"/>
      <c r="P30" s="36"/>
      <c r="Q30" s="36"/>
      <c r="R30" s="29"/>
      <c r="S30" s="29"/>
      <c r="T30" s="29"/>
      <c r="U30" s="147"/>
      <c r="V30" s="16"/>
      <c r="W30" s="36"/>
    </row>
    <row r="31" spans="2:23" ht="15" customHeight="1" x14ac:dyDescent="0.3">
      <c r="B31" s="11">
        <v>23</v>
      </c>
      <c r="C31" s="1"/>
      <c r="D31" s="83"/>
      <c r="E31" s="117"/>
      <c r="F31" s="45"/>
      <c r="G31" s="52"/>
      <c r="H31" s="45"/>
      <c r="I31" s="36"/>
      <c r="J31" s="29"/>
      <c r="K31" s="29"/>
      <c r="L31" s="145"/>
      <c r="M31" s="146"/>
      <c r="N31" s="1"/>
      <c r="O31" s="29"/>
      <c r="P31" s="36"/>
      <c r="Q31" s="36"/>
      <c r="R31" s="29"/>
      <c r="S31" s="29"/>
      <c r="T31" s="29"/>
      <c r="U31" s="147"/>
      <c r="V31" s="16"/>
      <c r="W31" s="36"/>
    </row>
    <row r="32" spans="2:23" ht="15" customHeight="1" x14ac:dyDescent="0.3">
      <c r="B32" s="11">
        <v>24</v>
      </c>
      <c r="C32" s="1"/>
      <c r="D32" s="83"/>
      <c r="E32" s="117"/>
      <c r="F32" s="45"/>
      <c r="G32" s="52"/>
      <c r="H32" s="45"/>
      <c r="I32" s="36"/>
      <c r="J32" s="29"/>
      <c r="K32" s="29"/>
      <c r="L32" s="145"/>
      <c r="M32" s="146"/>
      <c r="N32" s="1"/>
      <c r="O32" s="29"/>
      <c r="P32" s="36"/>
      <c r="Q32" s="36"/>
      <c r="R32" s="29"/>
      <c r="S32" s="29"/>
      <c r="T32" s="71"/>
      <c r="U32" s="147"/>
      <c r="V32" s="16"/>
      <c r="W32" s="36"/>
    </row>
    <row r="33" spans="2:23" ht="15" customHeight="1" x14ac:dyDescent="0.3">
      <c r="B33" s="11">
        <v>25</v>
      </c>
      <c r="C33" s="1"/>
      <c r="D33" s="83"/>
      <c r="E33" s="117"/>
      <c r="F33" s="45"/>
      <c r="G33" s="52"/>
      <c r="H33" s="45"/>
      <c r="I33" s="36"/>
      <c r="J33" s="29"/>
      <c r="K33" s="29"/>
      <c r="L33" s="145"/>
      <c r="M33" s="146"/>
      <c r="N33" s="1"/>
      <c r="O33" s="29"/>
      <c r="P33" s="36"/>
      <c r="Q33" s="36"/>
      <c r="R33" s="29"/>
      <c r="S33" s="29"/>
      <c r="T33" s="71"/>
      <c r="U33" s="147"/>
      <c r="V33" s="16"/>
      <c r="W33" s="36"/>
    </row>
    <row r="34" spans="2:23" ht="15" customHeight="1" x14ac:dyDescent="0.3">
      <c r="B34" s="11">
        <v>26</v>
      </c>
      <c r="C34" s="151"/>
      <c r="D34" s="83"/>
      <c r="E34" s="117"/>
      <c r="F34" s="45"/>
      <c r="G34" s="52"/>
      <c r="H34" s="45"/>
      <c r="I34" s="36"/>
      <c r="J34" s="29"/>
      <c r="K34" s="29"/>
      <c r="L34" s="145"/>
      <c r="M34" s="146"/>
      <c r="N34" s="1"/>
      <c r="O34" s="29"/>
      <c r="P34" s="36"/>
      <c r="Q34" s="36"/>
      <c r="R34" s="29"/>
      <c r="S34" s="29"/>
      <c r="T34" s="71"/>
      <c r="U34" s="147"/>
      <c r="V34" s="16"/>
      <c r="W34" s="36"/>
    </row>
    <row r="35" spans="2:23" ht="15" customHeight="1" x14ac:dyDescent="0.3">
      <c r="B35" s="11">
        <v>27</v>
      </c>
      <c r="C35" s="1"/>
      <c r="D35" s="83"/>
      <c r="E35" s="117"/>
      <c r="F35" s="45"/>
      <c r="G35" s="52"/>
      <c r="H35" s="45"/>
      <c r="I35" s="36"/>
      <c r="J35" s="29"/>
      <c r="K35" s="29"/>
      <c r="L35" s="145"/>
      <c r="M35" s="146"/>
      <c r="N35" s="1"/>
      <c r="O35" s="29"/>
      <c r="P35" s="36"/>
      <c r="Q35" s="36"/>
      <c r="R35" s="29"/>
      <c r="S35" s="29"/>
      <c r="T35" s="71"/>
      <c r="U35" s="147"/>
      <c r="V35" s="16"/>
      <c r="W35" s="36"/>
    </row>
    <row r="36" spans="2:23" ht="15" customHeight="1" x14ac:dyDescent="0.3">
      <c r="B36" s="11">
        <v>28</v>
      </c>
      <c r="C36" s="1"/>
      <c r="D36" s="83"/>
      <c r="E36" s="117"/>
      <c r="F36" s="45"/>
      <c r="G36" s="52"/>
      <c r="H36" s="45"/>
      <c r="I36" s="36"/>
      <c r="J36" s="29"/>
      <c r="K36" s="29"/>
      <c r="L36" s="145"/>
      <c r="M36" s="146"/>
      <c r="N36" s="1"/>
      <c r="O36" s="29"/>
      <c r="P36" s="36"/>
      <c r="Q36" s="36"/>
      <c r="R36" s="29"/>
      <c r="S36" s="29"/>
      <c r="T36" s="71"/>
      <c r="U36" s="147"/>
      <c r="V36" s="16"/>
      <c r="W36" s="36"/>
    </row>
    <row r="37" spans="2:23" ht="15" customHeight="1" x14ac:dyDescent="0.3">
      <c r="B37" s="11">
        <v>29</v>
      </c>
      <c r="C37" s="1"/>
      <c r="D37" s="83"/>
      <c r="E37" s="117"/>
      <c r="F37" s="45"/>
      <c r="G37" s="52"/>
      <c r="H37" s="45"/>
      <c r="I37" s="36"/>
      <c r="J37" s="29"/>
      <c r="K37" s="29"/>
      <c r="L37" s="145"/>
      <c r="M37" s="146"/>
      <c r="N37" s="1"/>
      <c r="O37" s="29"/>
      <c r="P37" s="36"/>
      <c r="Q37" s="36"/>
      <c r="R37" s="29"/>
      <c r="S37" s="29"/>
      <c r="T37" s="71"/>
      <c r="U37" s="147"/>
      <c r="V37" s="16"/>
      <c r="W37" s="36"/>
    </row>
    <row r="38" spans="2:23" ht="15" customHeight="1" x14ac:dyDescent="0.3">
      <c r="B38" s="11">
        <v>30</v>
      </c>
      <c r="C38" s="1"/>
      <c r="D38" s="83"/>
      <c r="E38" s="117"/>
      <c r="F38" s="45"/>
      <c r="G38" s="52"/>
      <c r="H38" s="45"/>
      <c r="I38" s="36"/>
      <c r="J38" s="29"/>
      <c r="K38" s="29"/>
      <c r="L38" s="145"/>
      <c r="M38" s="146"/>
      <c r="N38" s="1"/>
      <c r="O38" s="29"/>
      <c r="P38" s="36"/>
      <c r="Q38" s="36"/>
      <c r="R38" s="29"/>
      <c r="S38" s="29"/>
      <c r="T38" s="71"/>
      <c r="U38" s="147"/>
      <c r="V38" s="16"/>
      <c r="W38" s="36"/>
    </row>
    <row r="39" spans="2:23" ht="15" customHeight="1" x14ac:dyDescent="0.3">
      <c r="B39" s="11">
        <v>31</v>
      </c>
      <c r="C39" s="1"/>
      <c r="D39" s="83"/>
      <c r="E39" s="117"/>
      <c r="F39" s="45"/>
      <c r="G39" s="52"/>
      <c r="H39" s="45"/>
      <c r="I39" s="36"/>
      <c r="J39" s="29"/>
      <c r="K39" s="29"/>
      <c r="L39" s="145"/>
      <c r="M39" s="146"/>
      <c r="N39" s="1"/>
      <c r="O39" s="29"/>
      <c r="P39" s="36"/>
      <c r="Q39" s="36"/>
      <c r="R39" s="29"/>
      <c r="S39" s="29"/>
      <c r="T39" s="71"/>
      <c r="U39" s="147"/>
      <c r="V39" s="16"/>
      <c r="W39" s="36"/>
    </row>
    <row r="40" spans="2:23" ht="15" customHeight="1" x14ac:dyDescent="0.3">
      <c r="B40" s="11">
        <v>32</v>
      </c>
      <c r="C40" s="1"/>
      <c r="D40" s="83"/>
      <c r="E40" s="117"/>
      <c r="F40" s="45"/>
      <c r="G40" s="52"/>
      <c r="H40" s="45"/>
      <c r="I40" s="36"/>
      <c r="J40" s="29"/>
      <c r="K40" s="29"/>
      <c r="L40" s="145"/>
      <c r="M40" s="146"/>
      <c r="N40" s="1"/>
      <c r="O40" s="29"/>
      <c r="P40" s="36"/>
      <c r="Q40" s="36"/>
      <c r="R40" s="29"/>
      <c r="S40" s="29"/>
      <c r="T40" s="71"/>
      <c r="U40" s="147"/>
      <c r="V40" s="16"/>
      <c r="W40" s="36"/>
    </row>
    <row r="41" spans="2:23" ht="15" customHeight="1" x14ac:dyDescent="0.3">
      <c r="B41" s="11">
        <v>33</v>
      </c>
      <c r="C41" s="1"/>
      <c r="D41" s="83"/>
      <c r="E41" s="117"/>
      <c r="F41" s="45"/>
      <c r="G41" s="52"/>
      <c r="H41" s="45"/>
      <c r="I41" s="36"/>
      <c r="J41" s="29"/>
      <c r="K41" s="29"/>
      <c r="L41" s="145"/>
      <c r="M41" s="146"/>
      <c r="N41" s="1"/>
      <c r="O41" s="29"/>
      <c r="P41" s="36"/>
      <c r="Q41" s="36"/>
      <c r="R41" s="29"/>
      <c r="S41" s="29"/>
      <c r="T41" s="71"/>
      <c r="U41" s="147"/>
      <c r="V41" s="16"/>
      <c r="W41" s="36"/>
    </row>
    <row r="42" spans="2:23" ht="15" customHeight="1" x14ac:dyDescent="0.3">
      <c r="B42" s="11">
        <v>34</v>
      </c>
      <c r="C42" s="1"/>
      <c r="D42" s="83"/>
      <c r="E42" s="117"/>
      <c r="F42" s="45"/>
      <c r="G42" s="52"/>
      <c r="H42" s="45"/>
      <c r="I42" s="36"/>
      <c r="J42" s="29"/>
      <c r="K42" s="29"/>
      <c r="L42" s="145"/>
      <c r="M42" s="146"/>
      <c r="N42" s="1"/>
      <c r="O42" s="29"/>
      <c r="P42" s="36"/>
      <c r="Q42" s="36"/>
      <c r="R42" s="29"/>
      <c r="S42" s="29"/>
      <c r="T42" s="71"/>
      <c r="U42" s="147"/>
      <c r="V42" s="16"/>
      <c r="W42" s="36"/>
    </row>
    <row r="43" spans="2:23" ht="15" customHeight="1" x14ac:dyDescent="0.3">
      <c r="B43" s="11">
        <v>35</v>
      </c>
      <c r="C43" s="1"/>
      <c r="D43" s="83"/>
      <c r="E43" s="117"/>
      <c r="F43" s="45"/>
      <c r="G43" s="52"/>
      <c r="H43" s="45"/>
      <c r="I43" s="36"/>
      <c r="J43" s="29"/>
      <c r="K43" s="29"/>
      <c r="L43" s="145"/>
      <c r="M43" s="146"/>
      <c r="N43" s="1"/>
      <c r="O43" s="29"/>
      <c r="P43" s="36"/>
      <c r="Q43" s="36"/>
      <c r="R43" s="29"/>
      <c r="S43" s="29"/>
      <c r="T43" s="71"/>
      <c r="U43" s="147"/>
      <c r="V43" s="16"/>
      <c r="W43" s="36"/>
    </row>
    <row r="44" spans="2:23" ht="15" customHeight="1" x14ac:dyDescent="0.3">
      <c r="B44" s="11">
        <v>36</v>
      </c>
      <c r="C44" s="1"/>
      <c r="D44" s="158"/>
      <c r="E44" s="117"/>
      <c r="F44" s="45"/>
      <c r="G44" s="52"/>
      <c r="H44" s="45"/>
      <c r="I44" s="36"/>
      <c r="J44" s="29"/>
      <c r="K44" s="29"/>
      <c r="L44" s="145"/>
      <c r="M44" s="146"/>
      <c r="N44" s="1"/>
      <c r="O44" s="29"/>
      <c r="P44" s="36"/>
      <c r="Q44" s="36"/>
      <c r="R44" s="29"/>
      <c r="S44" s="29"/>
      <c r="T44" s="29"/>
      <c r="U44" s="147"/>
      <c r="V44" s="16"/>
      <c r="W44" s="36"/>
    </row>
    <row r="45" spans="2:23" ht="15" customHeight="1" x14ac:dyDescent="0.3">
      <c r="B45" s="11">
        <v>37</v>
      </c>
      <c r="C45" s="1"/>
      <c r="D45" s="83"/>
      <c r="E45" s="117"/>
      <c r="F45" s="45"/>
      <c r="G45" s="52"/>
      <c r="H45" s="45"/>
      <c r="I45" s="36"/>
      <c r="J45" s="29"/>
      <c r="K45" s="29"/>
      <c r="L45" s="145"/>
      <c r="M45" s="146"/>
      <c r="N45" s="1"/>
      <c r="O45" s="29"/>
      <c r="P45" s="36"/>
      <c r="Q45" s="36"/>
      <c r="R45" s="29"/>
      <c r="S45" s="29"/>
      <c r="T45" s="71"/>
      <c r="U45" s="147"/>
      <c r="V45" s="16"/>
      <c r="W45" s="36"/>
    </row>
    <row r="46" spans="2:23" ht="15" customHeight="1" x14ac:dyDescent="0.3">
      <c r="B46" s="11">
        <v>38</v>
      </c>
      <c r="C46" s="1"/>
      <c r="D46" s="85"/>
      <c r="E46" s="117"/>
      <c r="F46" s="45"/>
      <c r="G46" s="52"/>
      <c r="H46" s="45"/>
      <c r="I46" s="36"/>
      <c r="J46" s="29"/>
      <c r="K46" s="29"/>
      <c r="L46" s="145"/>
      <c r="M46" s="146"/>
      <c r="N46" s="1"/>
      <c r="O46" s="29"/>
      <c r="P46" s="36"/>
      <c r="Q46" s="36"/>
      <c r="R46" s="29"/>
      <c r="S46" s="29"/>
      <c r="T46" s="29"/>
      <c r="U46" s="147"/>
      <c r="V46" s="16"/>
      <c r="W46" s="36"/>
    </row>
    <row r="47" spans="2:23" ht="15" customHeight="1" x14ac:dyDescent="0.3">
      <c r="B47" s="11">
        <v>39</v>
      </c>
      <c r="C47" s="1"/>
      <c r="D47" s="83"/>
      <c r="E47" s="117"/>
      <c r="F47" s="45"/>
      <c r="G47" s="52"/>
      <c r="H47" s="45"/>
      <c r="I47" s="36"/>
      <c r="J47" s="29"/>
      <c r="K47" s="29"/>
      <c r="L47" s="145"/>
      <c r="M47" s="146"/>
      <c r="N47" s="1"/>
      <c r="O47" s="29"/>
      <c r="P47" s="36"/>
      <c r="Q47" s="36"/>
      <c r="R47" s="29"/>
      <c r="S47" s="29"/>
      <c r="T47" s="71"/>
      <c r="U47" s="147"/>
      <c r="V47" s="16"/>
      <c r="W47" s="36"/>
    </row>
    <row r="48" spans="2:23" ht="15" customHeight="1" x14ac:dyDescent="0.3">
      <c r="B48" s="11">
        <v>40</v>
      </c>
      <c r="C48" s="1"/>
      <c r="D48" s="83"/>
      <c r="E48" s="117"/>
      <c r="F48" s="45"/>
      <c r="G48" s="52"/>
      <c r="H48" s="45"/>
      <c r="I48" s="36"/>
      <c r="J48" s="29"/>
      <c r="K48" s="29"/>
      <c r="L48" s="145"/>
      <c r="M48" s="146"/>
      <c r="N48" s="1"/>
      <c r="O48" s="29"/>
      <c r="P48" s="36"/>
      <c r="Q48" s="36"/>
      <c r="R48" s="29"/>
      <c r="S48" s="29"/>
      <c r="T48" s="71"/>
      <c r="U48" s="147"/>
      <c r="V48" s="16"/>
      <c r="W48" s="36"/>
    </row>
    <row r="49" spans="2:23" ht="15" customHeight="1" x14ac:dyDescent="0.3">
      <c r="B49" s="11">
        <v>41</v>
      </c>
      <c r="C49" s="1"/>
      <c r="D49" s="83"/>
      <c r="E49" s="117"/>
      <c r="F49" s="45"/>
      <c r="G49" s="52"/>
      <c r="H49" s="45"/>
      <c r="I49" s="36"/>
      <c r="J49" s="29"/>
      <c r="K49" s="29"/>
      <c r="L49" s="145"/>
      <c r="M49" s="146"/>
      <c r="N49" s="1"/>
      <c r="O49" s="29"/>
      <c r="P49" s="36"/>
      <c r="Q49" s="36"/>
      <c r="R49" s="29"/>
      <c r="S49" s="29"/>
      <c r="T49" s="71"/>
      <c r="U49" s="147"/>
      <c r="V49" s="16"/>
      <c r="W49" s="36"/>
    </row>
    <row r="50" spans="2:23" ht="15" customHeight="1" x14ac:dyDescent="0.3">
      <c r="B50" s="11">
        <v>42</v>
      </c>
      <c r="C50" s="1"/>
      <c r="D50" s="83"/>
      <c r="E50" s="117"/>
      <c r="F50" s="45"/>
      <c r="G50" s="52"/>
      <c r="H50" s="45"/>
      <c r="I50" s="36"/>
      <c r="J50" s="29"/>
      <c r="K50" s="29"/>
      <c r="L50" s="145"/>
      <c r="M50" s="146"/>
      <c r="N50" s="1"/>
      <c r="O50" s="29"/>
      <c r="P50" s="36"/>
      <c r="Q50" s="36"/>
      <c r="R50" s="29"/>
      <c r="S50" s="29"/>
      <c r="T50" s="71"/>
      <c r="U50" s="147"/>
      <c r="V50" s="16"/>
      <c r="W50" s="36"/>
    </row>
    <row r="51" spans="2:23" ht="15" customHeight="1" x14ac:dyDescent="0.3">
      <c r="B51" s="11">
        <v>43</v>
      </c>
      <c r="C51" s="1"/>
      <c r="D51" s="85"/>
      <c r="E51" s="117"/>
      <c r="F51" s="45"/>
      <c r="G51" s="52"/>
      <c r="H51" s="45"/>
      <c r="I51" s="36"/>
      <c r="J51" s="29"/>
      <c r="K51" s="29"/>
      <c r="L51" s="145"/>
      <c r="M51" s="146"/>
      <c r="N51" s="1"/>
      <c r="O51" s="29"/>
      <c r="P51" s="36"/>
      <c r="Q51" s="36"/>
      <c r="R51" s="29"/>
      <c r="S51" s="29"/>
      <c r="T51" s="71"/>
      <c r="U51" s="147"/>
      <c r="V51" s="16"/>
      <c r="W51" s="36"/>
    </row>
    <row r="52" spans="2:23" ht="15" customHeight="1" x14ac:dyDescent="0.3">
      <c r="B52" s="11">
        <v>44</v>
      </c>
      <c r="C52" s="1"/>
      <c r="D52" s="83"/>
      <c r="E52" s="117"/>
      <c r="F52" s="45"/>
      <c r="G52" s="52"/>
      <c r="H52" s="45"/>
      <c r="I52" s="36"/>
      <c r="J52" s="29"/>
      <c r="K52" s="29"/>
      <c r="L52" s="145"/>
      <c r="M52" s="146"/>
      <c r="N52" s="1"/>
      <c r="O52" s="29"/>
      <c r="P52" s="36"/>
      <c r="Q52" s="36"/>
      <c r="R52" s="29"/>
      <c r="S52" s="29"/>
      <c r="T52" s="71"/>
      <c r="U52" s="147"/>
      <c r="V52" s="16"/>
      <c r="W52" s="36"/>
    </row>
    <row r="53" spans="2:23" ht="15" customHeight="1" x14ac:dyDescent="0.3">
      <c r="B53" s="11">
        <v>45</v>
      </c>
      <c r="C53" s="1"/>
      <c r="D53" s="85"/>
      <c r="E53" s="117"/>
      <c r="F53" s="45"/>
      <c r="G53" s="52"/>
      <c r="H53" s="45"/>
      <c r="I53" s="36"/>
      <c r="J53" s="29"/>
      <c r="K53" s="29"/>
      <c r="L53" s="145"/>
      <c r="M53" s="146"/>
      <c r="N53" s="1"/>
      <c r="O53" s="29"/>
      <c r="P53" s="36"/>
      <c r="Q53" s="36"/>
      <c r="R53" s="29"/>
      <c r="S53" s="29"/>
      <c r="T53" s="29"/>
      <c r="U53" s="147"/>
      <c r="V53" s="16"/>
      <c r="W53" s="36"/>
    </row>
    <row r="54" spans="2:23" ht="15" customHeight="1" x14ac:dyDescent="0.3">
      <c r="B54" s="11">
        <v>46</v>
      </c>
      <c r="C54" s="1"/>
      <c r="D54" s="85"/>
      <c r="E54" s="117"/>
      <c r="F54" s="45"/>
      <c r="G54" s="52"/>
      <c r="H54" s="45"/>
      <c r="I54" s="36"/>
      <c r="J54" s="29"/>
      <c r="K54" s="29"/>
      <c r="L54" s="145"/>
      <c r="M54" s="146"/>
      <c r="N54" s="1"/>
      <c r="O54" s="29"/>
      <c r="P54" s="36"/>
      <c r="Q54" s="36"/>
      <c r="R54" s="29"/>
      <c r="S54" s="29"/>
      <c r="T54" s="29"/>
      <c r="U54" s="147"/>
      <c r="V54" s="16"/>
      <c r="W54" s="36"/>
    </row>
    <row r="55" spans="2:23" ht="15" customHeight="1" x14ac:dyDescent="0.3">
      <c r="B55" s="11">
        <v>47</v>
      </c>
      <c r="C55" s="1"/>
      <c r="D55" s="83"/>
      <c r="E55" s="117"/>
      <c r="F55" s="45"/>
      <c r="G55" s="52"/>
      <c r="H55" s="45"/>
      <c r="I55" s="36"/>
      <c r="J55" s="29"/>
      <c r="K55" s="29"/>
      <c r="L55" s="145"/>
      <c r="M55" s="146"/>
      <c r="N55" s="1"/>
      <c r="O55" s="29"/>
      <c r="P55" s="36"/>
      <c r="Q55" s="36"/>
      <c r="R55" s="29"/>
      <c r="S55" s="29"/>
      <c r="T55" s="71"/>
      <c r="U55" s="147"/>
      <c r="V55" s="16"/>
      <c r="W55" s="36"/>
    </row>
    <row r="56" spans="2:23" ht="15" customHeight="1" x14ac:dyDescent="0.3">
      <c r="B56" s="11">
        <v>48</v>
      </c>
      <c r="C56" s="1"/>
      <c r="D56" s="83"/>
      <c r="E56" s="117"/>
      <c r="F56" s="45"/>
      <c r="G56" s="52"/>
      <c r="H56" s="45"/>
      <c r="I56" s="36"/>
      <c r="J56" s="29"/>
      <c r="K56" s="29"/>
      <c r="L56" s="145"/>
      <c r="M56" s="146"/>
      <c r="N56" s="1"/>
      <c r="O56" s="29"/>
      <c r="P56" s="36"/>
      <c r="Q56" s="36"/>
      <c r="R56" s="29"/>
      <c r="S56" s="29"/>
      <c r="T56" s="71"/>
      <c r="U56" s="147"/>
      <c r="V56" s="16"/>
      <c r="W56" s="36"/>
    </row>
    <row r="57" spans="2:23" ht="15" customHeight="1" x14ac:dyDescent="0.3">
      <c r="B57" s="11">
        <v>49</v>
      </c>
      <c r="C57" s="1"/>
      <c r="D57" s="83"/>
      <c r="E57" s="117"/>
      <c r="F57" s="45"/>
      <c r="G57" s="52"/>
      <c r="H57" s="45"/>
      <c r="I57" s="36"/>
      <c r="J57" s="29"/>
      <c r="K57" s="29"/>
      <c r="L57" s="145"/>
      <c r="M57" s="146"/>
      <c r="N57" s="1"/>
      <c r="O57" s="29"/>
      <c r="P57" s="36"/>
      <c r="Q57" s="36"/>
      <c r="R57" s="29"/>
      <c r="S57" s="29"/>
      <c r="T57" s="71"/>
      <c r="U57" s="147"/>
      <c r="V57" s="16"/>
      <c r="W57" s="36"/>
    </row>
    <row r="58" spans="2:23" ht="15" customHeight="1" x14ac:dyDescent="0.3">
      <c r="B58" s="11">
        <v>50</v>
      </c>
      <c r="C58" s="1"/>
      <c r="D58" s="83"/>
      <c r="E58" s="117"/>
      <c r="F58" s="45"/>
      <c r="G58" s="52"/>
      <c r="H58" s="45"/>
      <c r="I58" s="36"/>
      <c r="J58" s="29"/>
      <c r="K58" s="29"/>
      <c r="L58" s="145"/>
      <c r="M58" s="146"/>
      <c r="N58" s="1"/>
      <c r="O58" s="29"/>
      <c r="P58" s="36"/>
      <c r="Q58" s="36"/>
      <c r="R58" s="29"/>
      <c r="S58" s="29"/>
      <c r="T58" s="71"/>
      <c r="U58" s="147"/>
      <c r="V58" s="16"/>
      <c r="W58" s="36"/>
    </row>
    <row r="59" spans="2:23" ht="15" customHeight="1" x14ac:dyDescent="0.3">
      <c r="B59" s="11">
        <v>51</v>
      </c>
      <c r="C59" s="1"/>
      <c r="D59" s="85"/>
      <c r="E59" s="117"/>
      <c r="F59" s="45"/>
      <c r="G59" s="52"/>
      <c r="H59" s="45"/>
      <c r="I59" s="36"/>
      <c r="J59" s="29"/>
      <c r="K59" s="29"/>
      <c r="L59" s="29"/>
      <c r="M59" s="146"/>
      <c r="N59" s="1"/>
      <c r="O59" s="29"/>
      <c r="P59" s="36"/>
      <c r="Q59" s="36"/>
      <c r="R59" s="29"/>
      <c r="S59" s="29"/>
      <c r="T59" s="29"/>
      <c r="U59" s="147"/>
      <c r="V59" s="16"/>
      <c r="W59" s="36"/>
    </row>
    <row r="60" spans="2:23" ht="15" customHeight="1" x14ac:dyDescent="0.3">
      <c r="B60" s="11">
        <v>52</v>
      </c>
      <c r="C60" s="1"/>
      <c r="D60" s="150"/>
      <c r="E60" s="117"/>
      <c r="F60" s="45"/>
      <c r="G60" s="52"/>
      <c r="H60" s="45"/>
      <c r="I60" s="36"/>
      <c r="J60" s="29"/>
      <c r="K60" s="29"/>
      <c r="L60" s="145"/>
      <c r="M60" s="146"/>
      <c r="N60" s="1"/>
      <c r="O60" s="29"/>
      <c r="P60" s="36"/>
      <c r="Q60" s="36"/>
      <c r="R60" s="29"/>
      <c r="S60" s="29"/>
      <c r="T60" s="71"/>
      <c r="U60" s="147"/>
      <c r="V60" s="16"/>
      <c r="W60" s="253"/>
    </row>
    <row r="61" spans="2:23" ht="15" customHeight="1" x14ac:dyDescent="0.3">
      <c r="B61" s="11">
        <v>53</v>
      </c>
      <c r="C61" s="1"/>
      <c r="D61" s="148"/>
      <c r="E61" s="117"/>
      <c r="F61" s="45"/>
      <c r="G61" s="52"/>
      <c r="H61" s="45"/>
      <c r="I61" s="36"/>
      <c r="J61" s="29"/>
      <c r="K61" s="29"/>
      <c r="L61" s="145"/>
      <c r="M61" s="146"/>
      <c r="N61" s="1"/>
      <c r="O61" s="29"/>
      <c r="P61" s="36"/>
      <c r="Q61" s="36"/>
      <c r="R61" s="29"/>
      <c r="S61" s="29"/>
      <c r="T61" s="71"/>
      <c r="U61" s="147"/>
      <c r="V61" s="16"/>
      <c r="W61" s="253"/>
    </row>
    <row r="62" spans="2:23" ht="15" customHeight="1" x14ac:dyDescent="0.3">
      <c r="B62" s="11">
        <v>54</v>
      </c>
      <c r="C62" s="1"/>
      <c r="D62" s="83"/>
      <c r="E62" s="117"/>
      <c r="F62" s="45"/>
      <c r="G62" s="52"/>
      <c r="H62" s="45"/>
      <c r="I62" s="36"/>
      <c r="J62" s="29"/>
      <c r="K62" s="29"/>
      <c r="L62" s="145"/>
      <c r="M62" s="146"/>
      <c r="N62" s="1"/>
      <c r="O62" s="29"/>
      <c r="P62" s="36"/>
      <c r="Q62" s="36"/>
      <c r="R62" s="29"/>
      <c r="S62" s="29"/>
      <c r="T62" s="71"/>
      <c r="U62" s="147"/>
      <c r="V62" s="16"/>
      <c r="W62" s="36"/>
    </row>
    <row r="63" spans="2:23" ht="15" customHeight="1" x14ac:dyDescent="0.3">
      <c r="B63" s="11">
        <v>55</v>
      </c>
      <c r="C63" s="1"/>
      <c r="D63" s="83"/>
      <c r="E63" s="117"/>
      <c r="F63" s="45"/>
      <c r="G63" s="52"/>
      <c r="H63" s="45"/>
      <c r="I63" s="36"/>
      <c r="J63" s="29"/>
      <c r="K63" s="29"/>
      <c r="L63" s="145"/>
      <c r="M63" s="146"/>
      <c r="N63" s="1"/>
      <c r="O63" s="29"/>
      <c r="P63" s="36"/>
      <c r="Q63" s="36"/>
      <c r="R63" s="29"/>
      <c r="S63" s="29"/>
      <c r="T63" s="29"/>
      <c r="U63" s="147"/>
      <c r="V63" s="16"/>
      <c r="W63" s="36"/>
    </row>
    <row r="64" spans="2:23" ht="15" customHeight="1" x14ac:dyDescent="0.3">
      <c r="B64" s="11">
        <v>56</v>
      </c>
      <c r="C64" s="1"/>
      <c r="D64" s="85"/>
      <c r="E64" s="117"/>
      <c r="F64" s="45"/>
      <c r="G64" s="52"/>
      <c r="H64" s="45"/>
      <c r="I64" s="36"/>
      <c r="J64" s="29"/>
      <c r="K64" s="29"/>
      <c r="L64" s="29"/>
      <c r="M64" s="146"/>
      <c r="N64" s="1"/>
      <c r="O64" s="29"/>
      <c r="P64" s="36"/>
      <c r="Q64" s="36"/>
      <c r="R64" s="29"/>
      <c r="S64" s="29"/>
      <c r="T64" s="29"/>
      <c r="U64" s="147"/>
      <c r="V64" s="16"/>
      <c r="W64" s="36"/>
    </row>
    <row r="65" spans="2:23" ht="15" customHeight="1" x14ac:dyDescent="0.3">
      <c r="B65" s="11">
        <v>57</v>
      </c>
      <c r="C65" s="1"/>
      <c r="D65" s="83"/>
      <c r="E65" s="117"/>
      <c r="F65" s="45"/>
      <c r="G65" s="52"/>
      <c r="H65" s="45"/>
      <c r="I65" s="36"/>
      <c r="J65" s="29"/>
      <c r="K65" s="29"/>
      <c r="L65" s="29"/>
      <c r="M65" s="146"/>
      <c r="N65" s="1"/>
      <c r="O65" s="29"/>
      <c r="P65" s="36"/>
      <c r="Q65" s="36"/>
      <c r="R65" s="29"/>
      <c r="S65" s="29"/>
      <c r="T65" s="71"/>
      <c r="U65" s="147"/>
      <c r="V65" s="16"/>
      <c r="W65" s="36"/>
    </row>
    <row r="66" spans="2:23" ht="15" customHeight="1" x14ac:dyDescent="0.3">
      <c r="B66" s="11">
        <v>58</v>
      </c>
      <c r="C66" s="1"/>
      <c r="D66" s="85"/>
      <c r="E66" s="117"/>
      <c r="F66" s="45"/>
      <c r="G66" s="52"/>
      <c r="H66" s="45"/>
      <c r="I66" s="36"/>
      <c r="J66" s="29"/>
      <c r="K66" s="29"/>
      <c r="L66" s="145"/>
      <c r="M66" s="146"/>
      <c r="N66" s="1"/>
      <c r="O66" s="29"/>
      <c r="P66" s="36"/>
      <c r="Q66" s="36"/>
      <c r="R66" s="29"/>
      <c r="S66" s="29"/>
      <c r="T66" s="29"/>
      <c r="U66" s="147"/>
      <c r="V66" s="16"/>
      <c r="W66" s="36"/>
    </row>
    <row r="67" spans="2:23" ht="15" customHeight="1" x14ac:dyDescent="0.3">
      <c r="B67" s="11">
        <v>59</v>
      </c>
      <c r="C67" s="1"/>
      <c r="D67" s="83"/>
      <c r="E67" s="117"/>
      <c r="F67" s="45"/>
      <c r="G67" s="52"/>
      <c r="H67" s="45"/>
      <c r="I67" s="36"/>
      <c r="J67" s="29"/>
      <c r="K67" s="29"/>
      <c r="L67" s="145"/>
      <c r="M67" s="146"/>
      <c r="N67" s="1"/>
      <c r="O67" s="29"/>
      <c r="P67" s="36"/>
      <c r="Q67" s="36"/>
      <c r="R67" s="29"/>
      <c r="S67" s="29"/>
      <c r="T67" s="71"/>
      <c r="U67" s="147"/>
      <c r="V67" s="16"/>
      <c r="W67" s="36"/>
    </row>
    <row r="68" spans="2:23" ht="15" customHeight="1" x14ac:dyDescent="0.3">
      <c r="B68" s="11">
        <v>60</v>
      </c>
      <c r="C68" s="1"/>
      <c r="D68" s="85"/>
      <c r="E68" s="117"/>
      <c r="F68" s="45"/>
      <c r="G68" s="52"/>
      <c r="H68" s="45"/>
      <c r="I68" s="36"/>
      <c r="J68" s="29"/>
      <c r="K68" s="29"/>
      <c r="L68" s="145"/>
      <c r="M68" s="146"/>
      <c r="N68" s="1"/>
      <c r="O68" s="29"/>
      <c r="P68" s="36"/>
      <c r="Q68" s="36"/>
      <c r="R68" s="29"/>
      <c r="S68" s="29"/>
      <c r="T68" s="29"/>
      <c r="U68" s="147"/>
      <c r="V68" s="16"/>
      <c r="W68" s="36"/>
    </row>
    <row r="69" spans="2:23" ht="15" customHeight="1" x14ac:dyDescent="0.3">
      <c r="B69" s="11">
        <v>61</v>
      </c>
      <c r="C69" s="1"/>
      <c r="D69" s="85"/>
      <c r="E69" s="117"/>
      <c r="F69" s="45"/>
      <c r="G69" s="52"/>
      <c r="H69" s="45"/>
      <c r="I69" s="36"/>
      <c r="J69" s="29"/>
      <c r="K69" s="29"/>
      <c r="L69" s="145"/>
      <c r="M69" s="146"/>
      <c r="N69" s="1"/>
      <c r="O69" s="29"/>
      <c r="P69" s="36"/>
      <c r="Q69" s="36"/>
      <c r="R69" s="29"/>
      <c r="S69" s="29"/>
      <c r="T69" s="71"/>
      <c r="U69" s="147"/>
      <c r="V69" s="16"/>
      <c r="W69" s="36"/>
    </row>
    <row r="70" spans="2:23" ht="15" customHeight="1" x14ac:dyDescent="0.3">
      <c r="B70" s="11">
        <v>62</v>
      </c>
      <c r="C70" s="1"/>
      <c r="D70" s="85"/>
      <c r="E70" s="117"/>
      <c r="F70" s="45"/>
      <c r="G70" s="52"/>
      <c r="H70" s="45"/>
      <c r="I70" s="36"/>
      <c r="J70" s="29"/>
      <c r="K70" s="29"/>
      <c r="L70" s="145"/>
      <c r="M70" s="146"/>
      <c r="N70" s="1"/>
      <c r="O70" s="29"/>
      <c r="P70" s="36"/>
      <c r="Q70" s="36"/>
      <c r="R70" s="29"/>
      <c r="S70" s="29"/>
      <c r="T70" s="29"/>
      <c r="U70" s="147"/>
      <c r="V70" s="16"/>
      <c r="W70" s="36"/>
    </row>
    <row r="71" spans="2:23" ht="15" customHeight="1" x14ac:dyDescent="0.3">
      <c r="B71" s="11">
        <v>63</v>
      </c>
      <c r="C71" s="1"/>
      <c r="D71" s="83"/>
      <c r="E71" s="117"/>
      <c r="F71" s="45"/>
      <c r="G71" s="52"/>
      <c r="H71" s="45"/>
      <c r="I71" s="36"/>
      <c r="J71" s="29"/>
      <c r="K71" s="29"/>
      <c r="L71" s="145"/>
      <c r="M71" s="146"/>
      <c r="N71" s="1"/>
      <c r="O71" s="29"/>
      <c r="P71" s="36"/>
      <c r="Q71" s="36"/>
      <c r="R71" s="29"/>
      <c r="S71" s="29"/>
      <c r="T71" s="71"/>
      <c r="U71" s="147"/>
      <c r="V71" s="16"/>
      <c r="W71" s="36"/>
    </row>
    <row r="72" spans="2:23" ht="15" customHeight="1" x14ac:dyDescent="0.3">
      <c r="B72" s="11">
        <v>64</v>
      </c>
      <c r="C72" s="1"/>
      <c r="D72" s="85"/>
      <c r="E72" s="117"/>
      <c r="F72" s="45"/>
      <c r="G72" s="52"/>
      <c r="H72" s="45"/>
      <c r="I72" s="36"/>
      <c r="J72" s="29"/>
      <c r="K72" s="29"/>
      <c r="L72" s="145"/>
      <c r="M72" s="146"/>
      <c r="N72" s="1"/>
      <c r="O72" s="29"/>
      <c r="P72" s="36"/>
      <c r="Q72" s="36"/>
      <c r="R72" s="29"/>
      <c r="S72" s="29"/>
      <c r="T72" s="29"/>
      <c r="U72" s="147"/>
      <c r="V72" s="16"/>
      <c r="W72" s="36"/>
    </row>
    <row r="73" spans="2:23" ht="15" customHeight="1" x14ac:dyDescent="0.3">
      <c r="B73" s="11">
        <v>65</v>
      </c>
      <c r="C73" s="1"/>
      <c r="D73" s="83"/>
      <c r="E73" s="117"/>
      <c r="F73" s="45"/>
      <c r="G73" s="52"/>
      <c r="H73" s="45"/>
      <c r="I73" s="36"/>
      <c r="J73" s="29"/>
      <c r="K73" s="29"/>
      <c r="L73" s="145"/>
      <c r="M73" s="146"/>
      <c r="N73" s="1"/>
      <c r="O73" s="29"/>
      <c r="P73" s="36"/>
      <c r="Q73" s="36"/>
      <c r="R73" s="29"/>
      <c r="S73" s="29"/>
      <c r="T73" s="71"/>
      <c r="U73" s="147"/>
      <c r="V73" s="16"/>
      <c r="W73" s="36"/>
    </row>
    <row r="74" spans="2:23" ht="15" customHeight="1" x14ac:dyDescent="0.3">
      <c r="B74" s="11">
        <v>66</v>
      </c>
      <c r="C74" s="1"/>
      <c r="D74" s="85"/>
      <c r="E74" s="117"/>
      <c r="F74" s="45"/>
      <c r="G74" s="52"/>
      <c r="H74" s="45"/>
      <c r="I74" s="36"/>
      <c r="J74" s="29"/>
      <c r="K74" s="29"/>
      <c r="L74" s="145"/>
      <c r="M74" s="146"/>
      <c r="N74" s="1"/>
      <c r="O74" s="29"/>
      <c r="P74" s="36"/>
      <c r="Q74" s="36"/>
      <c r="R74" s="29"/>
      <c r="S74" s="29"/>
      <c r="T74" s="29"/>
      <c r="U74" s="147"/>
      <c r="V74" s="16"/>
      <c r="W74" s="36"/>
    </row>
    <row r="75" spans="2:23" ht="15" customHeight="1" x14ac:dyDescent="0.3">
      <c r="B75" s="11">
        <v>67</v>
      </c>
      <c r="C75" s="1"/>
      <c r="D75" s="85"/>
      <c r="E75" s="117"/>
      <c r="F75" s="45"/>
      <c r="G75" s="52"/>
      <c r="H75" s="45"/>
      <c r="I75" s="36"/>
      <c r="J75" s="29"/>
      <c r="K75" s="29"/>
      <c r="L75" s="145"/>
      <c r="M75" s="146"/>
      <c r="N75" s="1"/>
      <c r="O75" s="29"/>
      <c r="P75" s="36"/>
      <c r="Q75" s="36"/>
      <c r="R75" s="29"/>
      <c r="S75" s="29"/>
      <c r="T75" s="29"/>
      <c r="U75" s="147"/>
      <c r="V75" s="16"/>
      <c r="W75" s="36"/>
    </row>
    <row r="76" spans="2:23" ht="15" customHeight="1" x14ac:dyDescent="0.3">
      <c r="B76" s="11">
        <v>68</v>
      </c>
      <c r="C76" s="1"/>
      <c r="D76" s="85"/>
      <c r="E76" s="117"/>
      <c r="F76" s="45"/>
      <c r="G76" s="52"/>
      <c r="H76" s="45"/>
      <c r="I76" s="36"/>
      <c r="J76" s="29"/>
      <c r="K76" s="29"/>
      <c r="L76" s="145"/>
      <c r="M76" s="146"/>
      <c r="N76" s="1"/>
      <c r="O76" s="29"/>
      <c r="P76" s="36"/>
      <c r="Q76" s="36"/>
      <c r="R76" s="29"/>
      <c r="S76" s="29"/>
      <c r="T76" s="29"/>
      <c r="U76" s="147"/>
      <c r="V76" s="16"/>
      <c r="W76" s="36"/>
    </row>
    <row r="77" spans="2:23" ht="15" customHeight="1" x14ac:dyDescent="0.3">
      <c r="B77" s="11">
        <v>69</v>
      </c>
      <c r="C77" s="1"/>
      <c r="D77" s="85"/>
      <c r="E77" s="117"/>
      <c r="F77" s="45"/>
      <c r="G77" s="52"/>
      <c r="H77" s="45"/>
      <c r="I77" s="36"/>
      <c r="J77" s="29"/>
      <c r="K77" s="29"/>
      <c r="L77" s="145"/>
      <c r="M77" s="146"/>
      <c r="N77" s="1"/>
      <c r="O77" s="29"/>
      <c r="P77" s="36"/>
      <c r="Q77" s="36"/>
      <c r="R77" s="29"/>
      <c r="S77" s="29"/>
      <c r="T77" s="29"/>
      <c r="U77" s="147"/>
      <c r="V77" s="16"/>
      <c r="W77" s="36"/>
    </row>
    <row r="78" spans="2:23" x14ac:dyDescent="0.3">
      <c r="B78" s="11">
        <v>70</v>
      </c>
      <c r="C78" s="104"/>
      <c r="D78" s="84"/>
      <c r="E78" s="117"/>
      <c r="F78" s="45"/>
      <c r="G78" s="52"/>
      <c r="H78" s="45"/>
      <c r="I78" s="36"/>
      <c r="J78" s="29"/>
      <c r="K78" s="29"/>
      <c r="L78" s="145"/>
      <c r="M78" s="146"/>
      <c r="N78" s="1"/>
      <c r="O78" s="29"/>
      <c r="P78" s="36"/>
      <c r="Q78" s="36"/>
      <c r="R78" s="29"/>
      <c r="S78" s="29"/>
      <c r="T78" s="29"/>
      <c r="U78" s="147"/>
      <c r="V78" s="16"/>
      <c r="W78" s="36"/>
    </row>
    <row r="79" spans="2:23" ht="15" customHeight="1" x14ac:dyDescent="0.3">
      <c r="B79" s="11">
        <v>71</v>
      </c>
      <c r="C79" s="1"/>
      <c r="D79" s="85"/>
      <c r="E79" s="117"/>
      <c r="F79" s="45"/>
      <c r="G79" s="52"/>
      <c r="H79" s="45"/>
      <c r="I79" s="36"/>
      <c r="J79" s="29"/>
      <c r="K79" s="29"/>
      <c r="L79" s="145"/>
      <c r="M79" s="146"/>
      <c r="N79" s="1"/>
      <c r="O79" s="29"/>
      <c r="P79" s="36"/>
      <c r="Q79" s="36"/>
      <c r="R79" s="29"/>
      <c r="S79" s="29"/>
      <c r="T79" s="29"/>
      <c r="U79" s="147"/>
      <c r="V79" s="16"/>
      <c r="W79" s="36"/>
    </row>
    <row r="80" spans="2:23" ht="15" customHeight="1" x14ac:dyDescent="0.3">
      <c r="B80" s="11">
        <v>72</v>
      </c>
      <c r="C80" s="1"/>
      <c r="D80" s="85"/>
      <c r="E80" s="117"/>
      <c r="F80" s="45"/>
      <c r="G80" s="52"/>
      <c r="H80" s="45"/>
      <c r="I80" s="36"/>
      <c r="J80" s="29"/>
      <c r="K80" s="29"/>
      <c r="L80" s="145"/>
      <c r="M80" s="146"/>
      <c r="N80" s="1"/>
      <c r="O80" s="29"/>
      <c r="P80" s="36"/>
      <c r="Q80" s="36"/>
      <c r="R80" s="29"/>
      <c r="S80" s="29"/>
      <c r="T80" s="29"/>
      <c r="U80" s="147"/>
      <c r="V80" s="16"/>
      <c r="W80" s="36"/>
    </row>
    <row r="81" spans="2:23" ht="15" customHeight="1" x14ac:dyDescent="0.3">
      <c r="B81" s="11">
        <v>73</v>
      </c>
      <c r="C81" s="1"/>
      <c r="D81" s="85"/>
      <c r="E81" s="117"/>
      <c r="F81" s="45"/>
      <c r="G81" s="52"/>
      <c r="H81" s="45"/>
      <c r="I81" s="36"/>
      <c r="J81" s="29"/>
      <c r="K81" s="29"/>
      <c r="L81" s="145"/>
      <c r="M81" s="146"/>
      <c r="N81" s="1"/>
      <c r="O81" s="29"/>
      <c r="P81" s="36"/>
      <c r="Q81" s="36"/>
      <c r="R81" s="29"/>
      <c r="S81" s="29"/>
      <c r="T81" s="29"/>
      <c r="U81" s="147"/>
      <c r="V81" s="16"/>
      <c r="W81" s="36"/>
    </row>
    <row r="82" spans="2:23" ht="15" customHeight="1" x14ac:dyDescent="0.3">
      <c r="B82" s="11">
        <v>74</v>
      </c>
      <c r="C82" s="1"/>
      <c r="D82" s="148"/>
      <c r="E82" s="117"/>
      <c r="F82" s="45"/>
      <c r="G82" s="52"/>
      <c r="H82" s="45"/>
      <c r="I82" s="36"/>
      <c r="J82" s="29"/>
      <c r="K82" s="29"/>
      <c r="L82" s="29"/>
      <c r="M82" s="146"/>
      <c r="N82" s="1"/>
      <c r="O82" s="29"/>
      <c r="P82" s="36"/>
      <c r="Q82" s="36"/>
      <c r="R82" s="29"/>
      <c r="S82" s="29"/>
      <c r="T82" s="29"/>
      <c r="U82" s="147"/>
      <c r="V82" s="16"/>
      <c r="W82" s="36"/>
    </row>
    <row r="83" spans="2:23" x14ac:dyDescent="0.3">
      <c r="B83" s="11">
        <v>75</v>
      </c>
      <c r="C83" s="104"/>
      <c r="D83" s="84"/>
      <c r="E83" s="117"/>
      <c r="F83" s="45"/>
      <c r="G83" s="52"/>
      <c r="H83" s="45"/>
      <c r="I83" s="36"/>
      <c r="J83" s="29"/>
      <c r="K83" s="29"/>
      <c r="L83" s="145"/>
      <c r="M83" s="146"/>
      <c r="N83" s="1"/>
      <c r="O83" s="29"/>
      <c r="P83" s="36"/>
      <c r="Q83" s="36"/>
      <c r="R83" s="29"/>
      <c r="S83" s="29"/>
      <c r="T83" s="29"/>
      <c r="U83" s="147"/>
      <c r="V83" s="16"/>
      <c r="W83" s="36"/>
    </row>
    <row r="84" spans="2:23" ht="15" customHeight="1" x14ac:dyDescent="0.3">
      <c r="B84" s="11">
        <v>76</v>
      </c>
      <c r="C84" s="1"/>
      <c r="D84" s="148"/>
      <c r="E84" s="117"/>
      <c r="F84" s="45"/>
      <c r="G84" s="52"/>
      <c r="H84" s="45"/>
      <c r="I84" s="36"/>
      <c r="J84" s="29"/>
      <c r="K84" s="29"/>
      <c r="L84" s="145"/>
      <c r="M84" s="146"/>
      <c r="N84" s="1"/>
      <c r="O84" s="29"/>
      <c r="P84" s="36"/>
      <c r="Q84" s="36"/>
      <c r="R84" s="29"/>
      <c r="S84" s="29"/>
      <c r="T84" s="29"/>
      <c r="U84" s="147"/>
      <c r="V84" s="16"/>
      <c r="W84" s="36"/>
    </row>
    <row r="85" spans="2:23" ht="15" customHeight="1" x14ac:dyDescent="0.3">
      <c r="B85" s="11">
        <v>77</v>
      </c>
      <c r="C85" s="151"/>
      <c r="D85" s="148"/>
      <c r="E85" s="117"/>
      <c r="F85" s="45"/>
      <c r="G85" s="52"/>
      <c r="H85" s="45"/>
      <c r="I85" s="36"/>
      <c r="J85" s="29"/>
      <c r="K85" s="29"/>
      <c r="L85" s="145"/>
      <c r="M85" s="146"/>
      <c r="N85" s="1"/>
      <c r="O85" s="29"/>
      <c r="P85" s="36"/>
      <c r="Q85" s="36"/>
      <c r="R85" s="29"/>
      <c r="S85" s="29"/>
      <c r="T85" s="29"/>
      <c r="U85" s="147"/>
      <c r="V85" s="16"/>
      <c r="W85" s="36"/>
    </row>
    <row r="86" spans="2:23" ht="15" customHeight="1" x14ac:dyDescent="0.3">
      <c r="B86" s="11">
        <v>78</v>
      </c>
      <c r="C86" s="151"/>
      <c r="D86" s="148"/>
      <c r="E86" s="117"/>
      <c r="F86" s="45"/>
      <c r="G86" s="52"/>
      <c r="H86" s="45"/>
      <c r="I86" s="36"/>
      <c r="J86" s="29"/>
      <c r="K86" s="29"/>
      <c r="L86" s="145"/>
      <c r="M86" s="146"/>
      <c r="N86" s="1"/>
      <c r="O86" s="29"/>
      <c r="P86" s="36"/>
      <c r="Q86" s="36"/>
      <c r="R86" s="29"/>
      <c r="S86" s="29"/>
      <c r="T86" s="29"/>
      <c r="U86" s="147"/>
      <c r="V86" s="16"/>
      <c r="W86" s="36"/>
    </row>
    <row r="87" spans="2:23" ht="15" customHeight="1" x14ac:dyDescent="0.3">
      <c r="B87" s="11">
        <v>79</v>
      </c>
      <c r="C87" s="151"/>
      <c r="D87" s="148"/>
      <c r="E87" s="117"/>
      <c r="F87" s="45"/>
      <c r="G87" s="52"/>
      <c r="H87" s="45"/>
      <c r="I87" s="36"/>
      <c r="J87" s="29"/>
      <c r="K87" s="29"/>
      <c r="L87" s="145"/>
      <c r="M87" s="146"/>
      <c r="N87" s="1"/>
      <c r="O87" s="29"/>
      <c r="P87" s="36"/>
      <c r="Q87" s="36"/>
      <c r="R87" s="29"/>
      <c r="S87" s="29"/>
      <c r="T87" s="29"/>
      <c r="U87" s="147"/>
      <c r="V87" s="16"/>
      <c r="W87" s="36"/>
    </row>
    <row r="88" spans="2:23" x14ac:dyDescent="0.3">
      <c r="B88" s="11"/>
      <c r="C88" s="106"/>
      <c r="D88" s="16"/>
      <c r="E88" s="117"/>
      <c r="F88" s="45"/>
      <c r="G88" s="52"/>
      <c r="H88" s="45"/>
      <c r="I88" s="36"/>
      <c r="J88" s="29"/>
      <c r="K88" s="29"/>
      <c r="L88" s="29"/>
      <c r="M88" s="146"/>
      <c r="N88" s="1"/>
      <c r="O88" s="1"/>
      <c r="P88" s="36"/>
      <c r="Q88" s="36"/>
      <c r="R88" s="29"/>
      <c r="S88" s="29"/>
      <c r="T88" s="29"/>
      <c r="U88" s="40"/>
      <c r="V88" s="16"/>
      <c r="W88" s="36"/>
    </row>
    <row r="89" spans="2:23" x14ac:dyDescent="0.3">
      <c r="C89" s="102"/>
      <c r="D89" s="59"/>
      <c r="E89" s="78"/>
      <c r="F89" s="77">
        <f>SUBTOTAL(9,F9:F88)</f>
        <v>0</v>
      </c>
      <c r="G89" s="49">
        <f>SUBTOTAL(9,G9:G88)</f>
        <v>0</v>
      </c>
      <c r="H89" s="49">
        <f>SUBTOTAL(9,H9:H88)</f>
        <v>0</v>
      </c>
      <c r="I89" s="68"/>
      <c r="J89" s="17"/>
      <c r="K89" s="30">
        <f>SUBTOTAL(2,K9:K88)</f>
        <v>0</v>
      </c>
      <c r="L89" s="34"/>
      <c r="M89" s="18"/>
      <c r="N89" s="19"/>
      <c r="O89" s="34"/>
      <c r="P89" s="34"/>
      <c r="Q89" s="19"/>
      <c r="R89" s="19"/>
      <c r="S89" s="19"/>
      <c r="T89" s="19"/>
      <c r="U89" s="34"/>
      <c r="V89" s="22"/>
      <c r="W89" s="37"/>
    </row>
    <row r="90" spans="2:23" x14ac:dyDescent="0.3">
      <c r="F90" s="50"/>
      <c r="G90" s="50"/>
      <c r="H90" s="50"/>
    </row>
    <row r="91" spans="2:23" x14ac:dyDescent="0.3">
      <c r="F91" s="50"/>
      <c r="G91" s="50"/>
      <c r="H91" s="50"/>
    </row>
    <row r="92" spans="2:23" ht="15.75" customHeight="1" thickBot="1" x14ac:dyDescent="0.35">
      <c r="C92" s="103"/>
      <c r="D92" s="20"/>
      <c r="E92" s="28"/>
      <c r="F92" s="291"/>
      <c r="G92" s="295" t="s">
        <v>247</v>
      </c>
      <c r="H92" s="72">
        <f>SUM(H9:H88)</f>
        <v>0</v>
      </c>
      <c r="I92" s="73"/>
      <c r="J92" s="14"/>
      <c r="L92" s="35"/>
      <c r="M92" s="14"/>
      <c r="N92" s="14"/>
      <c r="O92" s="35"/>
      <c r="P92" s="35"/>
      <c r="Q92" s="14"/>
      <c r="R92" s="14"/>
      <c r="S92" s="14"/>
      <c r="T92" s="14"/>
      <c r="U92" s="35"/>
      <c r="V92" s="3"/>
    </row>
    <row r="93" spans="2:23" ht="15.75" customHeight="1" thickTop="1" x14ac:dyDescent="0.3">
      <c r="M93" s="14"/>
    </row>
    <row r="96" spans="2:23" x14ac:dyDescent="0.3">
      <c r="D96" s="403" t="s">
        <v>55</v>
      </c>
      <c r="E96" s="404"/>
      <c r="F96" s="405"/>
      <c r="G96" s="8"/>
      <c r="I96" s="403" t="s">
        <v>56</v>
      </c>
      <c r="J96" s="404"/>
      <c r="K96" s="405"/>
      <c r="L96" s="8"/>
    </row>
    <row r="97" spans="4:12" x14ac:dyDescent="0.3">
      <c r="D97" s="16" t="s">
        <v>57</v>
      </c>
      <c r="E97" s="90" t="s">
        <v>58</v>
      </c>
      <c r="F97" s="91" t="s">
        <v>59</v>
      </c>
      <c r="G97" s="89"/>
      <c r="I97" s="16" t="s">
        <v>57</v>
      </c>
      <c r="J97" s="90" t="s">
        <v>58</v>
      </c>
      <c r="K97" s="91" t="s">
        <v>59</v>
      </c>
      <c r="L97" s="8"/>
    </row>
    <row r="98" spans="4:12" x14ac:dyDescent="0.3">
      <c r="D98" s="92">
        <f>SUMIF($V$9:$V$88,D97,$H$9:$H$88)</f>
        <v>0</v>
      </c>
      <c r="E98" s="92">
        <f>SUMIF($V$9:$V$88,E97,$H$9:$H$88)</f>
        <v>0</v>
      </c>
      <c r="F98" s="92">
        <f>SUMIF($V$9:$V$88,F97,$H$9:$H$88)</f>
        <v>0</v>
      </c>
      <c r="G98" s="93">
        <f>SUM(D98:F98)</f>
        <v>0</v>
      </c>
      <c r="I98" s="92">
        <f>SUMIF($V$9:$V$88,I97,$G$9:$G$88)</f>
        <v>0</v>
      </c>
      <c r="J98" s="92">
        <f>SUMIF($V$9:$V$88,J97,$G$9:$G$88)</f>
        <v>0</v>
      </c>
      <c r="K98" s="92">
        <f>SUMIF($V$9:$V$88,K97,$G$9:$G$88)</f>
        <v>0</v>
      </c>
      <c r="L98" s="93">
        <f>SUM(I98:K98)</f>
        <v>0</v>
      </c>
    </row>
    <row r="99" spans="4:12" x14ac:dyDescent="0.3">
      <c r="G99" s="95">
        <f>H92-G98</f>
        <v>0</v>
      </c>
      <c r="I99" s="32"/>
      <c r="J99" s="32"/>
      <c r="K99" s="96"/>
      <c r="L99" s="95" t="e">
        <f>G92-L98</f>
        <v>#VALUE!</v>
      </c>
    </row>
    <row r="100" spans="4:12" x14ac:dyDescent="0.3">
      <c r="D100" s="46"/>
      <c r="E100" s="46"/>
      <c r="G100" s="66"/>
      <c r="L100" s="8"/>
    </row>
    <row r="101" spans="4:12" x14ac:dyDescent="0.3">
      <c r="G101" s="119" t="s">
        <v>60</v>
      </c>
      <c r="H101" s="46">
        <f>F98</f>
        <v>0</v>
      </c>
      <c r="I101" s="46"/>
      <c r="J101" s="66"/>
      <c r="L101" s="8"/>
    </row>
    <row r="102" spans="4:12" ht="15.75" customHeight="1" thickBot="1" x14ac:dyDescent="0.35">
      <c r="G102" s="120" t="s">
        <v>61</v>
      </c>
      <c r="H102" s="97">
        <f>D98+E98+I98+J98+K98</f>
        <v>0</v>
      </c>
      <c r="I102" s="46"/>
      <c r="J102" s="66"/>
      <c r="L102" s="8"/>
    </row>
    <row r="103" spans="4:12" ht="15.75" customHeight="1" thickTop="1" x14ac:dyDescent="0.3">
      <c r="G103" s="119" t="s">
        <v>62</v>
      </c>
      <c r="H103" s="46">
        <f>SUM(H101:H102)</f>
        <v>0</v>
      </c>
      <c r="I103" s="46"/>
      <c r="J103" s="66"/>
    </row>
    <row r="104" spans="4:12" x14ac:dyDescent="0.3">
      <c r="H104" s="95">
        <f>F92-H103</f>
        <v>0</v>
      </c>
      <c r="I104" s="46"/>
    </row>
    <row r="106" spans="4:12" x14ac:dyDescent="0.3">
      <c r="G106" s="162" t="s">
        <v>212</v>
      </c>
      <c r="H106" s="162" t="s">
        <v>32</v>
      </c>
      <c r="I106" s="211" t="s">
        <v>84</v>
      </c>
      <c r="J106" s="39" t="s">
        <v>6</v>
      </c>
    </row>
    <row r="107" spans="4:12" x14ac:dyDescent="0.3">
      <c r="G107" s="46" t="s">
        <v>248</v>
      </c>
      <c r="H107" s="46">
        <f>SUMIF($J$9:$J$88,G107,$F$9:$F$88)</f>
        <v>0</v>
      </c>
      <c r="I107" s="212">
        <f>SUMIFS($H$9:$H$88,$J$9:$J$88,G107,$V$9:$V$88,"YES")</f>
        <v>0</v>
      </c>
      <c r="J107" s="139">
        <f>H107-I107</f>
        <v>0</v>
      </c>
    </row>
    <row r="108" spans="4:12" x14ac:dyDescent="0.3">
      <c r="G108" s="46" t="s">
        <v>249</v>
      </c>
      <c r="H108" s="46">
        <f>SUMIF($J$9:$J$88,G108,$F$9:$F$88)</f>
        <v>0</v>
      </c>
      <c r="I108" s="212">
        <f>SUMIFS($H$9:$H$88,$J$9:$J$88,G108,$V$9:$V$88,"YES")</f>
        <v>0</v>
      </c>
      <c r="J108" s="139">
        <f>H108-I108</f>
        <v>0</v>
      </c>
    </row>
    <row r="109" spans="4:12" ht="15.75" customHeight="1" thickBot="1" x14ac:dyDescent="0.35">
      <c r="G109" s="97" t="s">
        <v>250</v>
      </c>
      <c r="H109" s="97">
        <f>SUMIF($J$9:$J$88,G109,$F$9:$F$88)</f>
        <v>0</v>
      </c>
      <c r="I109" s="213">
        <f>SUMIFS($H$9:$H$88,$J$9:$J$88,G109,$V$9:$V$88,"YES")</f>
        <v>0</v>
      </c>
      <c r="J109" s="214">
        <f>H109-I109</f>
        <v>0</v>
      </c>
    </row>
    <row r="110" spans="4:12" ht="15.75" customHeight="1" thickTop="1" x14ac:dyDescent="0.3">
      <c r="H110" s="46">
        <f>SUM(H107:H109)</f>
        <v>0</v>
      </c>
      <c r="I110" s="215">
        <f>SUM(I107:I109)</f>
        <v>0</v>
      </c>
      <c r="J110" s="46">
        <f>SUM(J107:J109)</f>
        <v>0</v>
      </c>
    </row>
    <row r="111" spans="4:12" x14ac:dyDescent="0.3">
      <c r="H111" s="94">
        <f>H110-H103</f>
        <v>0</v>
      </c>
      <c r="I111" s="94">
        <f>I110-H101</f>
        <v>0</v>
      </c>
      <c r="J111" s="94">
        <f>J110-H102</f>
        <v>0</v>
      </c>
    </row>
    <row r="113" spans="3:6" x14ac:dyDescent="0.3">
      <c r="C113" s="156"/>
      <c r="D113" s="32"/>
    </row>
    <row r="114" spans="3:6" x14ac:dyDescent="0.3">
      <c r="C114" s="156"/>
      <c r="D114" s="32"/>
    </row>
    <row r="115" spans="3:6" x14ac:dyDescent="0.3">
      <c r="C115" s="156"/>
      <c r="D115" s="32"/>
    </row>
    <row r="116" spans="3:6" x14ac:dyDescent="0.3">
      <c r="C116" s="156"/>
      <c r="D116" s="32"/>
    </row>
    <row r="117" spans="3:6" x14ac:dyDescent="0.3">
      <c r="C117" s="156"/>
      <c r="D117" s="32"/>
    </row>
    <row r="118" spans="3:6" x14ac:dyDescent="0.3">
      <c r="C118" s="156"/>
      <c r="D118" s="32"/>
    </row>
    <row r="119" spans="3:6" x14ac:dyDescent="0.3">
      <c r="C119" s="157"/>
      <c r="D119" s="4"/>
      <c r="E119" s="155"/>
      <c r="F119" s="93"/>
    </row>
    <row r="120" spans="3:6" x14ac:dyDescent="0.3">
      <c r="C120" s="156"/>
    </row>
    <row r="121" spans="3:6" x14ac:dyDescent="0.3">
      <c r="C121" s="156"/>
    </row>
    <row r="122" spans="3:6" x14ac:dyDescent="0.3">
      <c r="C122" s="156"/>
    </row>
    <row r="123" spans="3:6" x14ac:dyDescent="0.3">
      <c r="C123" s="156"/>
    </row>
  </sheetData>
  <autoFilter ref="C6:W58" xr:uid="{00000000-0009-0000-0000-000008000000}">
    <filterColumn colId="19">
      <filters>
        <filter val="YES"/>
      </filters>
    </filterColumn>
  </autoFilter>
  <mergeCells count="3">
    <mergeCell ref="D96:F96"/>
    <mergeCell ref="I96:K96"/>
    <mergeCell ref="B1:X1"/>
  </mergeCells>
  <conditionalFormatting sqref="D97">
    <cfRule type="cellIs" dxfId="53" priority="325" operator="equal">
      <formula>"NO-OOS"</formula>
    </cfRule>
    <cfRule type="cellIs" dxfId="52" priority="326" operator="equal">
      <formula>"NO-CO"</formula>
    </cfRule>
    <cfRule type="cellIs" dxfId="51" priority="327" operator="equal">
      <formula>"YES"</formula>
    </cfRule>
    <cfRule type="cellIs" dxfId="50" priority="328" operator="equal">
      <formula>"NO"</formula>
    </cfRule>
  </conditionalFormatting>
  <conditionalFormatting sqref="I97">
    <cfRule type="cellIs" dxfId="49" priority="320" operator="equal">
      <formula>"NO-OOS"</formula>
    </cfRule>
    <cfRule type="cellIs" dxfId="48" priority="321" operator="equal">
      <formula>"NO-CO"</formula>
    </cfRule>
    <cfRule type="cellIs" dxfId="47" priority="322" operator="equal">
      <formula>"YES"</formula>
    </cfRule>
    <cfRule type="cellIs" dxfId="46" priority="323" operator="equal">
      <formula>"NO"</formula>
    </cfRule>
  </conditionalFormatting>
  <conditionalFormatting sqref="M9:M88">
    <cfRule type="cellIs" dxfId="45" priority="4" operator="equal">
      <formula>"N/A"</formula>
    </cfRule>
    <cfRule type="cellIs" dxfId="44" priority="5" operator="equal">
      <formula>"YES"</formula>
    </cfRule>
    <cfRule type="cellIs" dxfId="43" priority="6" operator="equal">
      <formula>"NO"</formula>
    </cfRule>
  </conditionalFormatting>
  <conditionalFormatting sqref="V9:V88">
    <cfRule type="cellIs" dxfId="42" priority="7" operator="equal">
      <formula>"NO-OOS"</formula>
    </cfRule>
    <cfRule type="cellIs" dxfId="41" priority="8" operator="equal">
      <formula>"NO-TX"</formula>
    </cfRule>
    <cfRule type="cellIs" dxfId="40" priority="9" operator="equal">
      <formula>"YES"</formula>
    </cfRule>
  </conditionalFormatting>
  <dataValidations xWindow="781" yWindow="325" count="1">
    <dataValidation type="list" allowBlank="1" showInputMessage="1" showErrorMessage="1" sqref="D97 I97 X2:X6" xr:uid="{00000000-0002-0000-0800-000000000000}"/>
  </dataValidations>
  <pageMargins left="0.45" right="0.45" top="0.75" bottom="0.75" header="0.3" footer="0.3"/>
  <pageSetup scale="2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A7FFC4"/>
    <pageSetUpPr fitToPage="1"/>
  </sheetPr>
  <dimension ref="B1:X136"/>
  <sheetViews>
    <sheetView zoomScale="85" zoomScaleNormal="100" workbookViewId="0">
      <pane xSplit="2" ySplit="6" topLeftCell="J7" activePane="bottomRight" state="frozen"/>
      <selection activeCell="H92" sqref="H92"/>
      <selection pane="topRight" activeCell="H92" sqref="H92"/>
      <selection pane="bottomLeft" activeCell="H92" sqref="H92"/>
      <selection pane="bottomRight" activeCell="M21" sqref="M21"/>
    </sheetView>
  </sheetViews>
  <sheetFormatPr defaultRowHeight="14.4" x14ac:dyDescent="0.3"/>
  <cols>
    <col min="2" max="2" width="9.109375" style="9" customWidth="1"/>
    <col min="3" max="3" width="9" style="9" customWidth="1"/>
    <col min="4" max="4" width="10.109375" style="9" bestFit="1" customWidth="1"/>
    <col min="5" max="5" width="19.109375" style="101" customWidth="1"/>
    <col min="6" max="6" width="16.88671875" style="27" customWidth="1"/>
    <col min="7" max="7" width="18.109375" customWidth="1"/>
    <col min="8" max="8" width="18.44140625" customWidth="1"/>
    <col min="9" max="9" width="18.109375" customWidth="1"/>
    <col min="10" max="10" width="27.109375" customWidth="1"/>
    <col min="11" max="12" width="17.88671875" customWidth="1"/>
    <col min="13" max="13" width="27.6640625" style="8" customWidth="1"/>
    <col min="14" max="14" width="15.44140625" customWidth="1"/>
    <col min="15" max="15" width="37.5546875" style="32" customWidth="1"/>
    <col min="16" max="16" width="31.6640625" style="32" customWidth="1"/>
    <col min="17" max="17" width="15.6640625" style="32" customWidth="1"/>
    <col min="18" max="18" width="10.109375" style="8" customWidth="1"/>
    <col min="19" max="19" width="12.33203125" style="32" customWidth="1"/>
    <col min="20" max="20" width="19.33203125" style="8" customWidth="1"/>
    <col min="21" max="21" width="13" bestFit="1" customWidth="1"/>
    <col min="22" max="22" width="61.5546875" style="32" bestFit="1" customWidth="1"/>
  </cols>
  <sheetData>
    <row r="1" spans="2:24" ht="15.75" customHeight="1" x14ac:dyDescent="0.3">
      <c r="B1" s="407"/>
      <c r="C1" s="408"/>
      <c r="D1" s="408"/>
      <c r="E1" s="409"/>
      <c r="F1" s="401"/>
      <c r="G1" s="392"/>
      <c r="H1" s="392"/>
      <c r="I1" s="392"/>
      <c r="J1" s="392"/>
      <c r="K1" s="392"/>
      <c r="L1" s="392"/>
      <c r="M1" s="402"/>
      <c r="N1" s="392"/>
      <c r="O1" s="415"/>
      <c r="P1" s="415"/>
      <c r="Q1" s="415"/>
      <c r="R1" s="402"/>
      <c r="S1" s="415"/>
      <c r="T1" s="402"/>
      <c r="U1" s="392"/>
      <c r="V1" s="415"/>
      <c r="W1" s="392"/>
    </row>
    <row r="2" spans="2:24" ht="15.75" customHeight="1" x14ac:dyDescent="0.3">
      <c r="B2" s="113"/>
      <c r="C2" s="113"/>
      <c r="D2" s="113"/>
      <c r="E2" s="25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31"/>
      <c r="Q2" s="31"/>
      <c r="R2" s="113"/>
      <c r="S2" s="113"/>
      <c r="T2" s="113"/>
      <c r="U2" s="31"/>
      <c r="V2" s="113"/>
      <c r="W2" s="31"/>
    </row>
    <row r="3" spans="2:24" x14ac:dyDescent="0.3">
      <c r="D3" s="15"/>
      <c r="E3" s="23"/>
      <c r="L3" s="8"/>
      <c r="N3" s="8"/>
      <c r="S3" s="8"/>
      <c r="U3" s="32"/>
      <c r="W3" s="32"/>
    </row>
    <row r="4" spans="2:24" ht="18.75" customHeight="1" x14ac:dyDescent="0.35">
      <c r="D4" s="15"/>
      <c r="E4" s="4"/>
      <c r="I4" s="4"/>
      <c r="J4" s="4"/>
      <c r="K4" s="4"/>
      <c r="L4" s="5"/>
      <c r="M4" s="5"/>
      <c r="N4" s="8"/>
      <c r="O4" s="4"/>
      <c r="P4" s="4"/>
      <c r="Q4" s="4"/>
      <c r="R4" s="112"/>
      <c r="S4" s="112"/>
      <c r="T4" s="112"/>
      <c r="U4" s="4"/>
      <c r="V4" s="4"/>
      <c r="W4" s="4"/>
      <c r="X4" s="4"/>
    </row>
    <row r="5" spans="2:24" ht="18.75" customHeight="1" x14ac:dyDescent="0.35">
      <c r="D5" s="15"/>
      <c r="E5" s="4"/>
      <c r="I5" s="4"/>
      <c r="J5" s="4"/>
      <c r="K5" s="4"/>
      <c r="L5" s="5"/>
      <c r="M5" s="5"/>
      <c r="N5" s="8"/>
      <c r="O5" s="4"/>
      <c r="P5" s="4"/>
      <c r="Q5" s="4"/>
      <c r="R5" s="112"/>
      <c r="S5" s="112"/>
      <c r="T5" s="112" t="s">
        <v>251</v>
      </c>
      <c r="U5" s="4"/>
      <c r="V5" s="4"/>
      <c r="W5" s="4"/>
      <c r="X5" s="4"/>
    </row>
    <row r="6" spans="2:24" s="7" customFormat="1" ht="18.75" customHeight="1" x14ac:dyDescent="0.3">
      <c r="B6" s="271" t="s">
        <v>7</v>
      </c>
      <c r="C6" s="271" t="s">
        <v>205</v>
      </c>
      <c r="D6" s="271" t="s">
        <v>252</v>
      </c>
      <c r="E6" s="272" t="s">
        <v>253</v>
      </c>
      <c r="F6" s="273" t="s">
        <v>254</v>
      </c>
      <c r="G6" s="276" t="s">
        <v>255</v>
      </c>
      <c r="H6" s="369" t="s">
        <v>61</v>
      </c>
      <c r="I6" s="276" t="s">
        <v>256</v>
      </c>
      <c r="J6" s="276" t="s">
        <v>257</v>
      </c>
      <c r="K6" s="274" t="s">
        <v>212</v>
      </c>
      <c r="L6" s="274" t="s">
        <v>39</v>
      </c>
      <c r="M6" s="274" t="s">
        <v>258</v>
      </c>
      <c r="N6" s="274" t="s">
        <v>215</v>
      </c>
      <c r="O6" s="274" t="s">
        <v>216</v>
      </c>
      <c r="P6" s="274" t="s">
        <v>217</v>
      </c>
      <c r="Q6" s="274" t="s">
        <v>168</v>
      </c>
      <c r="R6" s="274" t="s">
        <v>44</v>
      </c>
      <c r="S6" s="274" t="s">
        <v>45</v>
      </c>
      <c r="T6" s="274" t="s">
        <v>218</v>
      </c>
      <c r="U6" s="274" t="s">
        <v>41</v>
      </c>
      <c r="V6" s="274" t="s">
        <v>198</v>
      </c>
    </row>
    <row r="7" spans="2:24" x14ac:dyDescent="0.3">
      <c r="B7" s="11">
        <v>1</v>
      </c>
      <c r="C7" s="11"/>
      <c r="D7" s="29"/>
      <c r="E7" s="29"/>
      <c r="F7" s="118"/>
      <c r="G7" s="54"/>
      <c r="H7" s="87"/>
      <c r="I7" s="54"/>
      <c r="J7" s="36"/>
      <c r="K7" s="1"/>
      <c r="L7" s="1"/>
      <c r="M7" s="1"/>
      <c r="N7" s="54"/>
      <c r="O7" s="1"/>
      <c r="P7" s="1"/>
      <c r="Q7" s="29"/>
      <c r="R7" s="29"/>
      <c r="S7" s="71"/>
      <c r="T7" s="147"/>
      <c r="U7" s="16"/>
      <c r="V7" s="1"/>
    </row>
    <row r="8" spans="2:24" x14ac:dyDescent="0.3">
      <c r="B8" s="11">
        <v>2</v>
      </c>
      <c r="C8" s="11"/>
      <c r="D8" s="29"/>
      <c r="E8" s="29"/>
      <c r="F8" s="118"/>
      <c r="G8" s="54"/>
      <c r="H8" s="87"/>
      <c r="I8" s="54"/>
      <c r="J8" s="36"/>
      <c r="K8" s="1"/>
      <c r="L8" s="1"/>
      <c r="M8" s="1"/>
      <c r="N8" s="54"/>
      <c r="O8" s="1"/>
      <c r="P8" s="1"/>
      <c r="Q8" s="29"/>
      <c r="R8" s="29"/>
      <c r="S8" s="71"/>
      <c r="T8" s="147"/>
      <c r="U8" s="16"/>
      <c r="V8" s="1"/>
    </row>
    <row r="9" spans="2:24" x14ac:dyDescent="0.3">
      <c r="B9" s="11">
        <v>3</v>
      </c>
      <c r="C9" s="11"/>
      <c r="D9" s="29"/>
      <c r="E9" s="29"/>
      <c r="F9" s="118"/>
      <c r="G9" s="54"/>
      <c r="H9" s="87"/>
      <c r="I9" s="54"/>
      <c r="J9" s="36"/>
      <c r="K9" s="1"/>
      <c r="L9" s="1"/>
      <c r="M9" s="1"/>
      <c r="N9" s="54"/>
      <c r="O9" s="1"/>
      <c r="P9" s="1"/>
      <c r="Q9" s="29"/>
      <c r="R9" s="29"/>
      <c r="S9" s="71"/>
      <c r="T9" s="147"/>
      <c r="U9" s="16"/>
      <c r="V9" s="1"/>
    </row>
    <row r="10" spans="2:24" x14ac:dyDescent="0.3">
      <c r="B10" s="11">
        <v>4</v>
      </c>
      <c r="C10" s="11"/>
      <c r="D10" s="29"/>
      <c r="E10" s="29"/>
      <c r="F10" s="118"/>
      <c r="G10" s="54"/>
      <c r="H10" s="87"/>
      <c r="I10" s="54"/>
      <c r="J10" s="36"/>
      <c r="K10" s="1"/>
      <c r="L10" s="1"/>
      <c r="M10" s="1"/>
      <c r="N10" s="54"/>
      <c r="O10" s="1"/>
      <c r="P10" s="1"/>
      <c r="Q10" s="29"/>
      <c r="R10" s="29"/>
      <c r="S10" s="71"/>
      <c r="T10" s="147"/>
      <c r="U10" s="16"/>
      <c r="V10" s="1"/>
    </row>
    <row r="11" spans="2:24" x14ac:dyDescent="0.3">
      <c r="B11" s="11">
        <v>5</v>
      </c>
      <c r="C11" s="11"/>
      <c r="D11" s="29"/>
      <c r="E11" s="29"/>
      <c r="F11" s="118"/>
      <c r="G11" s="54"/>
      <c r="H11" s="87"/>
      <c r="I11" s="54"/>
      <c r="J11" s="36"/>
      <c r="K11" s="1"/>
      <c r="L11" s="1"/>
      <c r="M11" s="1"/>
      <c r="N11" s="54"/>
      <c r="O11" s="1"/>
      <c r="P11" s="1"/>
      <c r="Q11" s="29"/>
      <c r="R11" s="29"/>
      <c r="S11" s="71"/>
      <c r="T11" s="147"/>
      <c r="U11" s="16"/>
      <c r="V11" s="1"/>
    </row>
    <row r="12" spans="2:24" x14ac:dyDescent="0.3">
      <c r="B12" s="11">
        <v>6</v>
      </c>
      <c r="C12" s="11"/>
      <c r="D12" s="29"/>
      <c r="E12" s="29"/>
      <c r="F12" s="118"/>
      <c r="G12" s="54"/>
      <c r="H12" s="87"/>
      <c r="I12" s="54"/>
      <c r="J12" s="36"/>
      <c r="K12" s="1"/>
      <c r="L12" s="1"/>
      <c r="M12" s="1"/>
      <c r="N12" s="54"/>
      <c r="O12" s="1"/>
      <c r="P12" s="1"/>
      <c r="Q12" s="29"/>
      <c r="R12" s="29"/>
      <c r="S12" s="71"/>
      <c r="T12" s="147"/>
      <c r="U12" s="16"/>
      <c r="V12" s="1"/>
    </row>
    <row r="13" spans="2:24" x14ac:dyDescent="0.3">
      <c r="B13" s="11">
        <v>7</v>
      </c>
      <c r="C13" s="11"/>
      <c r="D13" s="29"/>
      <c r="E13" s="29"/>
      <c r="F13" s="118"/>
      <c r="G13" s="54"/>
      <c r="H13" s="87"/>
      <c r="I13" s="54"/>
      <c r="J13" s="36"/>
      <c r="K13" s="1"/>
      <c r="L13" s="1"/>
      <c r="M13" s="1"/>
      <c r="N13" s="54"/>
      <c r="O13" s="1"/>
      <c r="P13" s="1"/>
      <c r="Q13" s="29"/>
      <c r="R13" s="29"/>
      <c r="S13" s="71"/>
      <c r="T13" s="147"/>
      <c r="U13" s="16"/>
      <c r="V13" s="1"/>
    </row>
    <row r="14" spans="2:24" x14ac:dyDescent="0.3">
      <c r="B14" s="11">
        <v>8</v>
      </c>
      <c r="C14" s="11"/>
      <c r="D14" s="29"/>
      <c r="E14" s="29"/>
      <c r="F14" s="118"/>
      <c r="G14" s="54"/>
      <c r="H14" s="87"/>
      <c r="I14" s="54"/>
      <c r="J14" s="36"/>
      <c r="K14" s="1"/>
      <c r="L14" s="1"/>
      <c r="M14" s="1"/>
      <c r="N14" s="54"/>
      <c r="O14" s="1"/>
      <c r="P14" s="1"/>
      <c r="Q14" s="29"/>
      <c r="R14" s="29"/>
      <c r="S14" s="71"/>
      <c r="T14" s="147"/>
      <c r="U14" s="16"/>
      <c r="V14" s="1"/>
    </row>
    <row r="15" spans="2:24" x14ac:dyDescent="0.3">
      <c r="B15" s="11">
        <v>9</v>
      </c>
      <c r="C15" s="11"/>
      <c r="D15" s="29"/>
      <c r="E15" s="29"/>
      <c r="F15" s="118"/>
      <c r="G15" s="54"/>
      <c r="H15" s="87"/>
      <c r="I15" s="54"/>
      <c r="J15" s="36"/>
      <c r="K15" s="1"/>
      <c r="L15" s="1"/>
      <c r="M15" s="1"/>
      <c r="N15" s="54"/>
      <c r="O15" s="1"/>
      <c r="P15" s="1"/>
      <c r="Q15" s="29"/>
      <c r="R15" s="29"/>
      <c r="S15" s="71"/>
      <c r="T15" s="147"/>
      <c r="U15" s="16"/>
      <c r="V15" s="255"/>
    </row>
    <row r="16" spans="2:24" x14ac:dyDescent="0.3">
      <c r="B16" s="11">
        <v>10</v>
      </c>
      <c r="C16" s="11"/>
      <c r="D16" s="29"/>
      <c r="E16" s="29"/>
      <c r="F16" s="118"/>
      <c r="G16" s="54"/>
      <c r="H16" s="87"/>
      <c r="I16" s="54"/>
      <c r="J16" s="36"/>
      <c r="K16" s="1"/>
      <c r="L16" s="1"/>
      <c r="M16" s="1"/>
      <c r="N16" s="54"/>
      <c r="O16" s="1"/>
      <c r="P16" s="1"/>
      <c r="Q16" s="29"/>
      <c r="R16" s="29"/>
      <c r="S16" s="71"/>
      <c r="T16" s="147"/>
      <c r="U16" s="16"/>
      <c r="V16" s="1"/>
    </row>
    <row r="17" spans="2:22" x14ac:dyDescent="0.3">
      <c r="B17" s="11">
        <v>11</v>
      </c>
      <c r="C17" s="11"/>
      <c r="D17" s="29"/>
      <c r="E17" s="29"/>
      <c r="F17" s="118"/>
      <c r="G17" s="54"/>
      <c r="H17" s="87"/>
      <c r="I17" s="54"/>
      <c r="J17" s="36"/>
      <c r="K17" s="1"/>
      <c r="L17" s="1"/>
      <c r="M17" s="1"/>
      <c r="N17" s="54"/>
      <c r="O17" s="1"/>
      <c r="P17" s="1"/>
      <c r="Q17" s="29"/>
      <c r="R17" s="29"/>
      <c r="S17" s="71"/>
      <c r="T17" s="147"/>
      <c r="U17" s="16"/>
      <c r="V17" s="1"/>
    </row>
    <row r="18" spans="2:22" x14ac:dyDescent="0.3">
      <c r="B18" s="11">
        <v>12</v>
      </c>
      <c r="C18" s="11"/>
      <c r="D18" s="29"/>
      <c r="E18" s="29"/>
      <c r="F18" s="118"/>
      <c r="G18" s="54"/>
      <c r="H18" s="87"/>
      <c r="I18" s="54"/>
      <c r="J18" s="36"/>
      <c r="K18" s="1"/>
      <c r="L18" s="1"/>
      <c r="M18" s="1"/>
      <c r="N18" s="54"/>
      <c r="O18" s="1"/>
      <c r="P18" s="1"/>
      <c r="Q18" s="29"/>
      <c r="R18" s="29"/>
      <c r="S18" s="71"/>
      <c r="T18" s="147"/>
      <c r="U18" s="16"/>
      <c r="V18" s="1"/>
    </row>
    <row r="19" spans="2:22" x14ac:dyDescent="0.3">
      <c r="B19" s="11">
        <v>13</v>
      </c>
      <c r="C19" s="11"/>
      <c r="D19" s="29"/>
      <c r="E19" s="29"/>
      <c r="F19" s="118"/>
      <c r="G19" s="54"/>
      <c r="H19" s="87"/>
      <c r="I19" s="54"/>
      <c r="J19" s="36"/>
      <c r="K19" s="1"/>
      <c r="L19" s="1"/>
      <c r="M19" s="1"/>
      <c r="N19" s="54"/>
      <c r="O19" s="1"/>
      <c r="P19" s="1"/>
      <c r="Q19" s="29"/>
      <c r="R19" s="29"/>
      <c r="S19" s="71"/>
      <c r="T19" s="147"/>
      <c r="U19" s="16"/>
      <c r="V19" s="255"/>
    </row>
    <row r="20" spans="2:22" x14ac:dyDescent="0.3">
      <c r="B20" s="11">
        <v>14</v>
      </c>
      <c r="C20" s="11"/>
      <c r="D20" s="29"/>
      <c r="E20" s="29"/>
      <c r="F20" s="118"/>
      <c r="G20" s="54"/>
      <c r="H20" s="87"/>
      <c r="I20" s="54"/>
      <c r="J20" s="36"/>
      <c r="K20" s="1"/>
      <c r="L20" s="1"/>
      <c r="M20" s="1"/>
      <c r="N20" s="54"/>
      <c r="O20" s="1"/>
      <c r="P20" s="1"/>
      <c r="Q20" s="29"/>
      <c r="R20" s="29"/>
      <c r="S20" s="71"/>
      <c r="T20" s="147"/>
      <c r="U20" s="16"/>
      <c r="V20" s="1"/>
    </row>
    <row r="21" spans="2:22" x14ac:dyDescent="0.3">
      <c r="B21" s="11">
        <v>15</v>
      </c>
      <c r="C21" s="11"/>
      <c r="D21" s="29"/>
      <c r="E21" s="29"/>
      <c r="F21" s="118"/>
      <c r="G21" s="54"/>
      <c r="H21" s="87"/>
      <c r="I21" s="54"/>
      <c r="J21" s="36"/>
      <c r="K21" s="1"/>
      <c r="L21" s="1"/>
      <c r="M21" s="1"/>
      <c r="N21" s="54"/>
      <c r="O21" s="1"/>
      <c r="P21" s="1"/>
      <c r="Q21" s="29"/>
      <c r="R21" s="29"/>
      <c r="S21" s="71"/>
      <c r="T21" s="147"/>
      <c r="U21" s="16"/>
      <c r="V21" s="1"/>
    </row>
    <row r="22" spans="2:22" x14ac:dyDescent="0.3">
      <c r="B22" s="11">
        <v>16</v>
      </c>
      <c r="C22" s="11"/>
      <c r="D22" s="29"/>
      <c r="E22" s="29"/>
      <c r="F22" s="118"/>
      <c r="G22" s="54"/>
      <c r="H22" s="87"/>
      <c r="I22" s="54"/>
      <c r="J22" s="36"/>
      <c r="K22" s="1"/>
      <c r="L22" s="1"/>
      <c r="M22" s="1"/>
      <c r="N22" s="54"/>
      <c r="O22" s="1"/>
      <c r="P22" s="1"/>
      <c r="Q22" s="29"/>
      <c r="R22" s="29"/>
      <c r="S22" s="71"/>
      <c r="T22" s="147"/>
      <c r="U22" s="16"/>
      <c r="V22" s="1"/>
    </row>
    <row r="23" spans="2:22" x14ac:dyDescent="0.3">
      <c r="B23" s="11">
        <v>17</v>
      </c>
      <c r="C23" s="11"/>
      <c r="D23" s="29"/>
      <c r="E23" s="29"/>
      <c r="F23" s="118"/>
      <c r="G23" s="54"/>
      <c r="H23" s="87"/>
      <c r="I23" s="54"/>
      <c r="J23" s="36"/>
      <c r="K23" s="1"/>
      <c r="L23" s="1"/>
      <c r="M23" s="1"/>
      <c r="N23" s="54"/>
      <c r="O23" s="1"/>
      <c r="P23" s="1"/>
      <c r="Q23" s="29"/>
      <c r="R23" s="29"/>
      <c r="S23" s="71"/>
      <c r="T23" s="147"/>
      <c r="U23" s="16"/>
      <c r="V23" s="1"/>
    </row>
    <row r="24" spans="2:22" x14ac:dyDescent="0.3">
      <c r="B24" s="11">
        <v>18</v>
      </c>
      <c r="C24" s="11"/>
      <c r="D24" s="29"/>
      <c r="E24" s="29"/>
      <c r="F24" s="118"/>
      <c r="G24" s="54"/>
      <c r="H24" s="87"/>
      <c r="I24" s="54"/>
      <c r="J24" s="36"/>
      <c r="K24" s="1"/>
      <c r="L24" s="1"/>
      <c r="M24" s="1"/>
      <c r="N24" s="54"/>
      <c r="O24" s="1"/>
      <c r="P24" s="1"/>
      <c r="Q24" s="29"/>
      <c r="R24" s="29"/>
      <c r="S24" s="71"/>
      <c r="T24" s="147"/>
      <c r="U24" s="16"/>
      <c r="V24" s="1"/>
    </row>
    <row r="25" spans="2:22" x14ac:dyDescent="0.3">
      <c r="B25" s="11">
        <v>19</v>
      </c>
      <c r="C25" s="11"/>
      <c r="D25" s="29"/>
      <c r="E25" s="29"/>
      <c r="F25" s="118"/>
      <c r="G25" s="54"/>
      <c r="H25" s="87"/>
      <c r="I25" s="54"/>
      <c r="J25" s="36"/>
      <c r="K25" s="1"/>
      <c r="L25" s="1"/>
      <c r="M25" s="1"/>
      <c r="N25" s="54"/>
      <c r="O25" s="1"/>
      <c r="P25" s="1"/>
      <c r="Q25" s="29"/>
      <c r="R25" s="29"/>
      <c r="S25" s="71"/>
      <c r="T25" s="147"/>
      <c r="U25" s="16"/>
      <c r="V25" s="1"/>
    </row>
    <row r="26" spans="2:22" x14ac:dyDescent="0.3">
      <c r="B26" s="11">
        <v>20</v>
      </c>
      <c r="C26" s="11"/>
      <c r="D26" s="29"/>
      <c r="E26" s="29"/>
      <c r="F26" s="118"/>
      <c r="G26" s="54"/>
      <c r="H26" s="87"/>
      <c r="I26" s="54"/>
      <c r="J26" s="36"/>
      <c r="K26" s="1"/>
      <c r="L26" s="1"/>
      <c r="M26" s="1"/>
      <c r="N26" s="54"/>
      <c r="O26" s="1"/>
      <c r="P26" s="1"/>
      <c r="Q26" s="29"/>
      <c r="R26" s="29"/>
      <c r="S26" s="71"/>
      <c r="T26" s="147"/>
      <c r="U26" s="16"/>
      <c r="V26" s="1"/>
    </row>
    <row r="27" spans="2:22" x14ac:dyDescent="0.3">
      <c r="B27" s="11">
        <v>21</v>
      </c>
      <c r="C27" s="11"/>
      <c r="D27" s="29"/>
      <c r="E27" s="29"/>
      <c r="F27" s="118"/>
      <c r="G27" s="54"/>
      <c r="H27" s="87"/>
      <c r="I27" s="54"/>
      <c r="J27" s="36"/>
      <c r="K27" s="1"/>
      <c r="L27" s="1"/>
      <c r="M27" s="1"/>
      <c r="N27" s="54"/>
      <c r="O27" s="1"/>
      <c r="P27" s="1"/>
      <c r="Q27" s="29"/>
      <c r="R27" s="29"/>
      <c r="S27" s="71"/>
      <c r="T27" s="147"/>
      <c r="U27" s="16"/>
      <c r="V27" s="1"/>
    </row>
    <row r="28" spans="2:22" x14ac:dyDescent="0.3">
      <c r="B28" s="11">
        <v>22</v>
      </c>
      <c r="C28" s="11"/>
      <c r="D28" s="29"/>
      <c r="E28" s="29"/>
      <c r="F28" s="118"/>
      <c r="G28" s="54"/>
      <c r="H28" s="87"/>
      <c r="I28" s="54"/>
      <c r="J28" s="36"/>
      <c r="K28" s="1"/>
      <c r="L28" s="1"/>
      <c r="M28" s="1"/>
      <c r="N28" s="54"/>
      <c r="O28" s="1"/>
      <c r="P28" s="1"/>
      <c r="Q28" s="29"/>
      <c r="R28" s="29"/>
      <c r="S28" s="71"/>
      <c r="T28" s="147"/>
      <c r="U28" s="16"/>
      <c r="V28" s="1"/>
    </row>
    <row r="29" spans="2:22" x14ac:dyDescent="0.3">
      <c r="B29" s="11">
        <v>23</v>
      </c>
      <c r="C29" s="11"/>
      <c r="D29" s="29"/>
      <c r="E29" s="29"/>
      <c r="F29" s="118"/>
      <c r="G29" s="54"/>
      <c r="H29" s="87"/>
      <c r="I29" s="54"/>
      <c r="J29" s="36"/>
      <c r="K29" s="1"/>
      <c r="L29" s="1"/>
      <c r="M29" s="1"/>
      <c r="N29" s="54"/>
      <c r="O29" s="1"/>
      <c r="P29" s="1"/>
      <c r="Q29" s="29"/>
      <c r="R29" s="29"/>
      <c r="S29" s="71"/>
      <c r="T29" s="147"/>
      <c r="U29" s="16"/>
      <c r="V29" s="1"/>
    </row>
    <row r="30" spans="2:22" x14ac:dyDescent="0.3">
      <c r="B30" s="11">
        <v>24</v>
      </c>
      <c r="C30" s="11"/>
      <c r="D30" s="29"/>
      <c r="E30" s="29"/>
      <c r="F30" s="118"/>
      <c r="G30" s="54"/>
      <c r="H30" s="87"/>
      <c r="I30" s="54"/>
      <c r="J30" s="36"/>
      <c r="K30" s="1"/>
      <c r="L30" s="1"/>
      <c r="M30" s="1"/>
      <c r="N30" s="54"/>
      <c r="O30" s="1"/>
      <c r="P30" s="1"/>
      <c r="Q30" s="29"/>
      <c r="R30" s="29"/>
      <c r="S30" s="71"/>
      <c r="T30" s="147"/>
      <c r="U30" s="16"/>
      <c r="V30" s="1"/>
    </row>
    <row r="31" spans="2:22" x14ac:dyDescent="0.3">
      <c r="B31" s="11">
        <v>25</v>
      </c>
      <c r="C31" s="11"/>
      <c r="D31" s="29"/>
      <c r="E31" s="29"/>
      <c r="F31" s="118"/>
      <c r="G31" s="54"/>
      <c r="H31" s="87"/>
      <c r="I31" s="54"/>
      <c r="J31" s="36"/>
      <c r="K31" s="1"/>
      <c r="L31" s="1"/>
      <c r="M31" s="1"/>
      <c r="N31" s="54"/>
      <c r="O31" s="1"/>
      <c r="P31" s="1"/>
      <c r="Q31" s="29"/>
      <c r="R31" s="29"/>
      <c r="S31" s="71"/>
      <c r="T31" s="147"/>
      <c r="U31" s="16"/>
      <c r="V31" s="1"/>
    </row>
    <row r="32" spans="2:22" x14ac:dyDescent="0.3">
      <c r="B32" s="11">
        <v>26</v>
      </c>
      <c r="C32" s="11"/>
      <c r="D32" s="29"/>
      <c r="E32" s="29"/>
      <c r="F32" s="118"/>
      <c r="G32" s="54"/>
      <c r="H32" s="87"/>
      <c r="I32" s="54"/>
      <c r="J32" s="36"/>
      <c r="K32" s="1"/>
      <c r="L32" s="1"/>
      <c r="M32" s="1"/>
      <c r="N32" s="54"/>
      <c r="O32" s="1"/>
      <c r="P32" s="1"/>
      <c r="Q32" s="29"/>
      <c r="R32" s="29"/>
      <c r="S32" s="29"/>
      <c r="T32" s="147"/>
      <c r="U32" s="16"/>
      <c r="V32" s="1"/>
    </row>
    <row r="33" spans="2:22" x14ac:dyDescent="0.3">
      <c r="B33" s="11">
        <v>27</v>
      </c>
      <c r="C33" s="11"/>
      <c r="D33" s="29"/>
      <c r="E33" s="29"/>
      <c r="F33" s="118"/>
      <c r="G33" s="54"/>
      <c r="H33" s="87"/>
      <c r="I33" s="54"/>
      <c r="J33" s="36"/>
      <c r="K33" s="1"/>
      <c r="L33" s="1"/>
      <c r="M33" s="1"/>
      <c r="N33" s="54"/>
      <c r="O33" s="1"/>
      <c r="P33" s="1"/>
      <c r="Q33" s="29"/>
      <c r="R33" s="29"/>
      <c r="S33" s="29"/>
      <c r="T33" s="147"/>
      <c r="U33" s="16"/>
      <c r="V33" s="1"/>
    </row>
    <row r="34" spans="2:22" x14ac:dyDescent="0.3">
      <c r="B34" s="11">
        <v>28</v>
      </c>
      <c r="C34" s="11"/>
      <c r="D34" s="29"/>
      <c r="E34" s="29"/>
      <c r="F34" s="118"/>
      <c r="G34" s="54"/>
      <c r="H34" s="87"/>
      <c r="I34" s="54"/>
      <c r="J34" s="36"/>
      <c r="K34" s="1"/>
      <c r="L34" s="1"/>
      <c r="M34" s="1"/>
      <c r="N34" s="54"/>
      <c r="O34" s="1"/>
      <c r="P34" s="1"/>
      <c r="Q34" s="29"/>
      <c r="R34" s="29"/>
      <c r="S34" s="71"/>
      <c r="T34" s="147"/>
      <c r="U34" s="16"/>
      <c r="V34" s="1"/>
    </row>
    <row r="35" spans="2:22" x14ac:dyDescent="0.3">
      <c r="B35" s="11">
        <v>29</v>
      </c>
      <c r="C35" s="11"/>
      <c r="D35" s="29"/>
      <c r="E35" s="29"/>
      <c r="F35" s="118"/>
      <c r="G35" s="54"/>
      <c r="H35" s="87"/>
      <c r="I35" s="54"/>
      <c r="J35" s="36"/>
      <c r="K35" s="1"/>
      <c r="L35" s="1"/>
      <c r="M35" s="1"/>
      <c r="N35" s="54"/>
      <c r="O35" s="1"/>
      <c r="P35" s="1"/>
      <c r="Q35" s="29"/>
      <c r="R35" s="29"/>
      <c r="S35" s="71"/>
      <c r="T35" s="147"/>
      <c r="U35" s="16"/>
      <c r="V35" s="1"/>
    </row>
    <row r="36" spans="2:22" x14ac:dyDescent="0.3">
      <c r="B36" s="11">
        <v>30</v>
      </c>
      <c r="C36" s="11"/>
      <c r="D36" s="29"/>
      <c r="E36" s="29"/>
      <c r="F36" s="118"/>
      <c r="G36" s="54"/>
      <c r="H36" s="87"/>
      <c r="I36" s="54"/>
      <c r="J36" s="36"/>
      <c r="K36" s="1"/>
      <c r="L36" s="1"/>
      <c r="M36" s="1"/>
      <c r="N36" s="54"/>
      <c r="O36" s="1"/>
      <c r="P36" s="1"/>
      <c r="Q36" s="29"/>
      <c r="R36" s="29"/>
      <c r="S36" s="71"/>
      <c r="T36" s="147"/>
      <c r="U36" s="16"/>
      <c r="V36" s="1"/>
    </row>
    <row r="37" spans="2:22" x14ac:dyDescent="0.3">
      <c r="B37" s="11">
        <v>31</v>
      </c>
      <c r="C37" s="11"/>
      <c r="D37" s="29"/>
      <c r="E37" s="29"/>
      <c r="F37" s="118"/>
      <c r="G37" s="54"/>
      <c r="H37" s="87"/>
      <c r="I37" s="54"/>
      <c r="J37" s="36"/>
      <c r="K37" s="1"/>
      <c r="L37" s="1"/>
      <c r="M37" s="1"/>
      <c r="N37" s="54"/>
      <c r="O37" s="1"/>
      <c r="P37" s="1"/>
      <c r="Q37" s="29"/>
      <c r="R37" s="29"/>
      <c r="S37" s="71"/>
      <c r="T37" s="147"/>
      <c r="U37" s="16"/>
      <c r="V37" s="1"/>
    </row>
    <row r="38" spans="2:22" x14ac:dyDescent="0.3">
      <c r="B38" s="11">
        <v>32</v>
      </c>
      <c r="C38" s="11"/>
      <c r="D38" s="29"/>
      <c r="E38" s="29"/>
      <c r="F38" s="118"/>
      <c r="G38" s="54"/>
      <c r="H38" s="87"/>
      <c r="I38" s="54"/>
      <c r="J38" s="36"/>
      <c r="K38" s="1"/>
      <c r="L38" s="1"/>
      <c r="M38" s="1"/>
      <c r="N38" s="54"/>
      <c r="O38" s="1"/>
      <c r="P38" s="1"/>
      <c r="Q38" s="29"/>
      <c r="R38" s="29"/>
      <c r="S38" s="71"/>
      <c r="T38" s="147"/>
      <c r="U38" s="16"/>
      <c r="V38" s="1"/>
    </row>
    <row r="39" spans="2:22" x14ac:dyDescent="0.3">
      <c r="B39" s="11">
        <v>33</v>
      </c>
      <c r="C39" s="11"/>
      <c r="D39" s="29"/>
      <c r="E39" s="29"/>
      <c r="F39" s="118"/>
      <c r="G39" s="54"/>
      <c r="H39" s="87"/>
      <c r="I39" s="54"/>
      <c r="J39" s="36"/>
      <c r="K39" s="1"/>
      <c r="L39" s="1"/>
      <c r="M39" s="1"/>
      <c r="N39" s="54"/>
      <c r="O39" s="1"/>
      <c r="P39" s="1"/>
      <c r="Q39" s="29"/>
      <c r="R39" s="29"/>
      <c r="S39" s="29"/>
      <c r="T39" s="147"/>
      <c r="U39" s="16"/>
      <c r="V39" s="1"/>
    </row>
    <row r="40" spans="2:22" x14ac:dyDescent="0.3">
      <c r="B40" s="11">
        <v>34</v>
      </c>
      <c r="C40" s="11"/>
      <c r="D40" s="29"/>
      <c r="E40" s="29"/>
      <c r="F40" s="118"/>
      <c r="G40" s="54"/>
      <c r="H40" s="87"/>
      <c r="I40" s="54"/>
      <c r="J40" s="36"/>
      <c r="K40" s="1"/>
      <c r="L40" s="1"/>
      <c r="M40" s="1"/>
      <c r="N40" s="54"/>
      <c r="O40" s="1"/>
      <c r="P40" s="1"/>
      <c r="Q40" s="29"/>
      <c r="R40" s="29"/>
      <c r="S40" s="29"/>
      <c r="T40" s="147"/>
      <c r="U40" s="16"/>
      <c r="V40" s="1"/>
    </row>
    <row r="41" spans="2:22" x14ac:dyDescent="0.3">
      <c r="B41" s="11">
        <v>35</v>
      </c>
      <c r="C41" s="11"/>
      <c r="D41" s="29"/>
      <c r="E41" s="29"/>
      <c r="F41" s="118"/>
      <c r="G41" s="54"/>
      <c r="H41" s="87"/>
      <c r="I41" s="54"/>
      <c r="J41" s="36"/>
      <c r="K41" s="1"/>
      <c r="L41" s="1"/>
      <c r="M41" s="1"/>
      <c r="N41" s="54"/>
      <c r="O41" s="1"/>
      <c r="P41" s="1"/>
      <c r="Q41" s="29"/>
      <c r="R41" s="29"/>
      <c r="S41" s="29"/>
      <c r="T41" s="147"/>
      <c r="U41" s="16"/>
      <c r="V41" s="1"/>
    </row>
    <row r="42" spans="2:22" x14ac:dyDescent="0.3">
      <c r="B42" s="11">
        <v>36</v>
      </c>
      <c r="C42" s="11"/>
      <c r="D42" s="29"/>
      <c r="E42" s="29"/>
      <c r="F42" s="118"/>
      <c r="G42" s="54"/>
      <c r="H42" s="87"/>
      <c r="I42" s="54"/>
      <c r="J42" s="36"/>
      <c r="K42" s="1"/>
      <c r="L42" s="1"/>
      <c r="M42" s="1"/>
      <c r="N42" s="54"/>
      <c r="O42" s="1"/>
      <c r="P42" s="1"/>
      <c r="Q42" s="29"/>
      <c r="R42" s="29"/>
      <c r="S42" s="29"/>
      <c r="T42" s="147"/>
      <c r="U42" s="16"/>
      <c r="V42" s="1"/>
    </row>
    <row r="43" spans="2:22" x14ac:dyDescent="0.3">
      <c r="B43" s="11">
        <v>37</v>
      </c>
      <c r="C43" s="11"/>
      <c r="D43" s="29"/>
      <c r="E43" s="29"/>
      <c r="F43" s="118"/>
      <c r="G43" s="54"/>
      <c r="H43" s="87"/>
      <c r="I43" s="54"/>
      <c r="J43" s="36"/>
      <c r="K43" s="1"/>
      <c r="L43" s="1"/>
      <c r="M43" s="1"/>
      <c r="N43" s="54"/>
      <c r="O43" s="1"/>
      <c r="P43" s="1"/>
      <c r="Q43" s="29"/>
      <c r="R43" s="29"/>
      <c r="S43" s="29"/>
      <c r="T43" s="147"/>
      <c r="U43" s="16"/>
      <c r="V43" s="1"/>
    </row>
    <row r="44" spans="2:22" x14ac:dyDescent="0.3">
      <c r="B44" s="11">
        <v>38</v>
      </c>
      <c r="C44" s="11"/>
      <c r="D44" s="29"/>
      <c r="E44" s="29"/>
      <c r="F44" s="118"/>
      <c r="G44" s="54"/>
      <c r="H44" s="87"/>
      <c r="I44" s="54"/>
      <c r="J44" s="36"/>
      <c r="K44" s="1"/>
      <c r="L44" s="1"/>
      <c r="M44" s="1"/>
      <c r="N44" s="54"/>
      <c r="O44" s="1"/>
      <c r="P44" s="1"/>
      <c r="Q44" s="29"/>
      <c r="R44" s="29"/>
      <c r="S44" s="29"/>
      <c r="T44" s="147"/>
      <c r="U44" s="16"/>
      <c r="V44" s="1"/>
    </row>
    <row r="45" spans="2:22" x14ac:dyDescent="0.3">
      <c r="B45" s="11">
        <v>39</v>
      </c>
      <c r="C45" s="11"/>
      <c r="D45" s="29"/>
      <c r="E45" s="29"/>
      <c r="F45" s="118"/>
      <c r="G45" s="54"/>
      <c r="H45" s="87"/>
      <c r="I45" s="54"/>
      <c r="J45" s="36"/>
      <c r="K45" s="1"/>
      <c r="L45" s="1"/>
      <c r="M45" s="1"/>
      <c r="N45" s="54"/>
      <c r="O45" s="1"/>
      <c r="P45" s="1"/>
      <c r="Q45" s="29"/>
      <c r="R45" s="29"/>
      <c r="S45" s="29"/>
      <c r="T45" s="147"/>
      <c r="U45" s="16"/>
      <c r="V45" s="1"/>
    </row>
    <row r="46" spans="2:22" x14ac:dyDescent="0.3">
      <c r="B46" s="11">
        <v>40</v>
      </c>
      <c r="C46" s="11"/>
      <c r="D46" s="29"/>
      <c r="E46" s="29"/>
      <c r="F46" s="118"/>
      <c r="G46" s="54"/>
      <c r="H46" s="87"/>
      <c r="I46" s="54"/>
      <c r="J46" s="36"/>
      <c r="K46" s="1"/>
      <c r="L46" s="1"/>
      <c r="M46" s="1"/>
      <c r="N46" s="54"/>
      <c r="O46" s="1"/>
      <c r="P46" s="1"/>
      <c r="Q46" s="29"/>
      <c r="R46" s="29"/>
      <c r="S46" s="29"/>
      <c r="T46" s="147"/>
      <c r="U46" s="16"/>
      <c r="V46" s="1"/>
    </row>
    <row r="47" spans="2:22" x14ac:dyDescent="0.3">
      <c r="B47" s="11">
        <v>41</v>
      </c>
      <c r="C47" s="11"/>
      <c r="D47" s="29"/>
      <c r="E47" s="29"/>
      <c r="F47" s="118"/>
      <c r="G47" s="54"/>
      <c r="H47" s="87"/>
      <c r="I47" s="54"/>
      <c r="J47" s="36"/>
      <c r="K47" s="1"/>
      <c r="L47" s="1"/>
      <c r="M47" s="1"/>
      <c r="N47" s="54"/>
      <c r="O47" s="1"/>
      <c r="P47" s="1"/>
      <c r="Q47" s="29"/>
      <c r="R47" s="29"/>
      <c r="S47" s="29"/>
      <c r="T47" s="147"/>
      <c r="U47" s="16"/>
      <c r="V47" s="1"/>
    </row>
    <row r="48" spans="2:22" x14ac:dyDescent="0.3">
      <c r="B48" s="11">
        <v>42</v>
      </c>
      <c r="C48" s="11"/>
      <c r="D48" s="29"/>
      <c r="E48" s="29"/>
      <c r="F48" s="118"/>
      <c r="G48" s="54"/>
      <c r="H48" s="87"/>
      <c r="I48" s="54"/>
      <c r="J48" s="36"/>
      <c r="K48" s="1"/>
      <c r="L48" s="1"/>
      <c r="M48" s="1"/>
      <c r="N48" s="54"/>
      <c r="O48" s="1"/>
      <c r="P48" s="1"/>
      <c r="Q48" s="29"/>
      <c r="R48" s="29"/>
      <c r="S48" s="29"/>
      <c r="T48" s="147"/>
      <c r="U48" s="16"/>
      <c r="V48" s="1"/>
    </row>
    <row r="49" spans="2:22" x14ac:dyDescent="0.3">
      <c r="B49" s="11">
        <v>43</v>
      </c>
      <c r="C49" s="11"/>
      <c r="D49" s="29"/>
      <c r="E49" s="29"/>
      <c r="F49" s="118"/>
      <c r="G49" s="54"/>
      <c r="H49" s="87"/>
      <c r="I49" s="54"/>
      <c r="J49" s="36"/>
      <c r="K49" s="1"/>
      <c r="L49" s="1"/>
      <c r="M49" s="1"/>
      <c r="N49" s="54"/>
      <c r="O49" s="1"/>
      <c r="P49" s="1"/>
      <c r="Q49" s="29"/>
      <c r="R49" s="29"/>
      <c r="S49" s="29"/>
      <c r="T49" s="147"/>
      <c r="U49" s="16"/>
      <c r="V49" s="1"/>
    </row>
    <row r="50" spans="2:22" x14ac:dyDescent="0.3">
      <c r="B50" s="11">
        <v>44</v>
      </c>
      <c r="C50" s="11"/>
      <c r="D50" s="29"/>
      <c r="E50" s="29"/>
      <c r="F50" s="118"/>
      <c r="G50" s="54"/>
      <c r="H50" s="87"/>
      <c r="I50" s="54"/>
      <c r="J50" s="36"/>
      <c r="K50" s="1"/>
      <c r="L50" s="1"/>
      <c r="M50" s="1"/>
      <c r="N50" s="54"/>
      <c r="O50" s="1"/>
      <c r="P50" s="1"/>
      <c r="Q50" s="29"/>
      <c r="R50" s="29"/>
      <c r="S50" s="29"/>
      <c r="T50" s="147"/>
      <c r="U50" s="16"/>
      <c r="V50" s="1"/>
    </row>
    <row r="51" spans="2:22" x14ac:dyDescent="0.3">
      <c r="B51" s="11">
        <v>45</v>
      </c>
      <c r="C51" s="11"/>
      <c r="D51" s="29"/>
      <c r="E51" s="29"/>
      <c r="F51" s="118"/>
      <c r="G51" s="54"/>
      <c r="H51" s="87"/>
      <c r="I51" s="54"/>
      <c r="J51" s="36"/>
      <c r="K51" s="1"/>
      <c r="L51" s="1"/>
      <c r="M51" s="1"/>
      <c r="N51" s="54"/>
      <c r="O51" s="1"/>
      <c r="P51" s="1"/>
      <c r="Q51" s="29"/>
      <c r="R51" s="29"/>
      <c r="S51" s="29"/>
      <c r="T51" s="147"/>
      <c r="U51" s="16"/>
      <c r="V51" s="1"/>
    </row>
    <row r="52" spans="2:22" x14ac:dyDescent="0.3">
      <c r="B52" s="11">
        <v>46</v>
      </c>
      <c r="C52" s="11"/>
      <c r="D52" s="29"/>
      <c r="E52" s="29"/>
      <c r="F52" s="118"/>
      <c r="G52" s="54"/>
      <c r="H52" s="87"/>
      <c r="I52" s="54"/>
      <c r="J52" s="36"/>
      <c r="K52" s="1"/>
      <c r="L52" s="1"/>
      <c r="M52" s="1"/>
      <c r="N52" s="54"/>
      <c r="O52" s="1"/>
      <c r="P52" s="1"/>
      <c r="Q52" s="29"/>
      <c r="R52" s="29"/>
      <c r="S52" s="71"/>
      <c r="T52" s="147"/>
      <c r="U52" s="16"/>
      <c r="V52" s="1"/>
    </row>
    <row r="53" spans="2:22" x14ac:dyDescent="0.3">
      <c r="B53" s="11">
        <v>47</v>
      </c>
      <c r="C53" s="11"/>
      <c r="D53" s="29"/>
      <c r="E53" s="29"/>
      <c r="F53" s="118"/>
      <c r="G53" s="54"/>
      <c r="H53" s="87"/>
      <c r="I53" s="54"/>
      <c r="J53" s="36"/>
      <c r="K53" s="1"/>
      <c r="L53" s="1"/>
      <c r="M53" s="1"/>
      <c r="N53" s="54"/>
      <c r="O53" s="1"/>
      <c r="P53" s="1"/>
      <c r="Q53" s="29"/>
      <c r="R53" s="29"/>
      <c r="S53" s="71"/>
      <c r="T53" s="147"/>
      <c r="U53" s="16"/>
      <c r="V53" s="1"/>
    </row>
    <row r="54" spans="2:22" x14ac:dyDescent="0.3">
      <c r="B54" s="11">
        <v>48</v>
      </c>
      <c r="C54" s="11"/>
      <c r="D54" s="29"/>
      <c r="E54" s="29"/>
      <c r="F54" s="118"/>
      <c r="G54" s="54"/>
      <c r="H54" s="87"/>
      <c r="I54" s="54"/>
      <c r="J54" s="36"/>
      <c r="K54" s="1"/>
      <c r="L54" s="1"/>
      <c r="M54" s="1"/>
      <c r="N54" s="54"/>
      <c r="O54" s="1"/>
      <c r="P54" s="1"/>
      <c r="Q54" s="29"/>
      <c r="R54" s="29"/>
      <c r="S54" s="29"/>
      <c r="T54" s="147"/>
      <c r="U54" s="16"/>
      <c r="V54" s="1"/>
    </row>
    <row r="55" spans="2:22" x14ac:dyDescent="0.3">
      <c r="B55" s="11">
        <v>49</v>
      </c>
      <c r="C55" s="11"/>
      <c r="D55" s="29"/>
      <c r="E55" s="29"/>
      <c r="F55" s="118"/>
      <c r="G55" s="54"/>
      <c r="H55" s="87"/>
      <c r="I55" s="54"/>
      <c r="J55" s="36"/>
      <c r="K55" s="1"/>
      <c r="L55" s="1"/>
      <c r="M55" s="1"/>
      <c r="N55" s="54"/>
      <c r="O55" s="1"/>
      <c r="P55" s="1"/>
      <c r="Q55" s="29"/>
      <c r="R55" s="29"/>
      <c r="S55" s="71"/>
      <c r="T55" s="147"/>
      <c r="U55" s="16"/>
      <c r="V55" s="1"/>
    </row>
    <row r="56" spans="2:22" x14ac:dyDescent="0.3">
      <c r="B56" s="11">
        <v>50</v>
      </c>
      <c r="C56" s="11"/>
      <c r="D56" s="29"/>
      <c r="E56" s="29"/>
      <c r="F56" s="118"/>
      <c r="G56" s="54"/>
      <c r="H56" s="87"/>
      <c r="I56" s="54"/>
      <c r="J56" s="36"/>
      <c r="K56" s="1"/>
      <c r="L56" s="1"/>
      <c r="M56" s="1"/>
      <c r="N56" s="54"/>
      <c r="O56" s="1"/>
      <c r="P56" s="1"/>
      <c r="Q56" s="29"/>
      <c r="R56" s="29"/>
      <c r="S56" s="71"/>
      <c r="T56" s="147"/>
      <c r="U56" s="16"/>
      <c r="V56" s="1"/>
    </row>
    <row r="57" spans="2:22" x14ac:dyDescent="0.3">
      <c r="B57" s="11">
        <v>51</v>
      </c>
      <c r="C57" s="11"/>
      <c r="D57" s="29"/>
      <c r="E57" s="29"/>
      <c r="F57" s="118"/>
      <c r="G57" s="54"/>
      <c r="H57" s="87"/>
      <c r="I57" s="54"/>
      <c r="J57" s="36"/>
      <c r="K57" s="1"/>
      <c r="L57" s="1"/>
      <c r="M57" s="1"/>
      <c r="N57" s="54"/>
      <c r="O57" s="1"/>
      <c r="P57" s="1"/>
      <c r="Q57" s="29"/>
      <c r="R57" s="29"/>
      <c r="S57" s="71"/>
      <c r="T57" s="147"/>
      <c r="U57" s="16"/>
      <c r="V57" s="1"/>
    </row>
    <row r="58" spans="2:22" x14ac:dyDescent="0.3">
      <c r="B58" s="11">
        <v>52</v>
      </c>
      <c r="C58" s="11"/>
      <c r="D58" s="29"/>
      <c r="E58" s="29"/>
      <c r="F58" s="118"/>
      <c r="G58" s="54"/>
      <c r="H58" s="87"/>
      <c r="I58" s="54"/>
      <c r="J58" s="36"/>
      <c r="K58" s="1"/>
      <c r="L58" s="1"/>
      <c r="M58" s="1"/>
      <c r="N58" s="54"/>
      <c r="O58" s="1"/>
      <c r="P58" s="1"/>
      <c r="Q58" s="29"/>
      <c r="R58" s="29"/>
      <c r="S58" s="71"/>
      <c r="T58" s="147"/>
      <c r="U58" s="16"/>
      <c r="V58" s="1"/>
    </row>
    <row r="59" spans="2:22" x14ac:dyDescent="0.3">
      <c r="B59" s="11">
        <v>53</v>
      </c>
      <c r="C59" s="11"/>
      <c r="D59" s="29"/>
      <c r="E59" s="29"/>
      <c r="F59" s="118"/>
      <c r="G59" s="54"/>
      <c r="H59" s="87"/>
      <c r="I59" s="54"/>
      <c r="J59" s="36"/>
      <c r="K59" s="1"/>
      <c r="L59" s="1"/>
      <c r="M59" s="1"/>
      <c r="N59" s="54"/>
      <c r="O59" s="1"/>
      <c r="P59" s="1"/>
      <c r="Q59" s="29"/>
      <c r="R59" s="29"/>
      <c r="S59" s="71"/>
      <c r="T59" s="147"/>
      <c r="U59" s="16"/>
      <c r="V59" s="1"/>
    </row>
    <row r="60" spans="2:22" x14ac:dyDescent="0.3">
      <c r="B60" s="11">
        <v>54</v>
      </c>
      <c r="C60" s="11"/>
      <c r="D60" s="29"/>
      <c r="E60" s="29"/>
      <c r="F60" s="118"/>
      <c r="G60" s="54"/>
      <c r="H60" s="87"/>
      <c r="I60" s="54"/>
      <c r="J60" s="36"/>
      <c r="K60" s="1"/>
      <c r="L60" s="1"/>
      <c r="M60" s="1"/>
      <c r="N60" s="54"/>
      <c r="O60" s="1"/>
      <c r="P60" s="1"/>
      <c r="Q60" s="29"/>
      <c r="R60" s="29"/>
      <c r="S60" s="71"/>
      <c r="T60" s="147"/>
      <c r="U60" s="16"/>
      <c r="V60" s="1"/>
    </row>
    <row r="61" spans="2:22" x14ac:dyDescent="0.3">
      <c r="B61" s="11">
        <v>55</v>
      </c>
      <c r="C61" s="11"/>
      <c r="D61" s="29"/>
      <c r="E61" s="29"/>
      <c r="F61" s="118"/>
      <c r="G61" s="54"/>
      <c r="H61" s="87"/>
      <c r="I61" s="54"/>
      <c r="J61" s="36"/>
      <c r="K61" s="1"/>
      <c r="L61" s="1"/>
      <c r="M61" s="1"/>
      <c r="N61" s="54"/>
      <c r="O61" s="1"/>
      <c r="P61" s="1"/>
      <c r="Q61" s="29"/>
      <c r="R61" s="29"/>
      <c r="S61" s="71"/>
      <c r="T61" s="147"/>
      <c r="U61" s="16"/>
      <c r="V61" s="1"/>
    </row>
    <row r="62" spans="2:22" x14ac:dyDescent="0.3">
      <c r="B62" s="11">
        <v>56</v>
      </c>
      <c r="C62" s="11"/>
      <c r="D62" s="29"/>
      <c r="E62" s="29"/>
      <c r="F62" s="118"/>
      <c r="G62" s="54"/>
      <c r="H62" s="87"/>
      <c r="I62" s="54"/>
      <c r="J62" s="36"/>
      <c r="K62" s="1"/>
      <c r="L62" s="1"/>
      <c r="M62" s="1"/>
      <c r="N62" s="54"/>
      <c r="O62" s="1"/>
      <c r="P62" s="1"/>
      <c r="Q62" s="29"/>
      <c r="R62" s="29"/>
      <c r="S62" s="29"/>
      <c r="T62" s="147"/>
      <c r="U62" s="16"/>
      <c r="V62" s="1"/>
    </row>
    <row r="63" spans="2:22" x14ac:dyDescent="0.3">
      <c r="B63" s="11">
        <v>57</v>
      </c>
      <c r="C63" s="11"/>
      <c r="D63" s="29"/>
      <c r="E63" s="29"/>
      <c r="F63" s="118"/>
      <c r="G63" s="54"/>
      <c r="H63" s="87"/>
      <c r="I63" s="54"/>
      <c r="J63" s="36"/>
      <c r="K63" s="1"/>
      <c r="L63" s="1"/>
      <c r="M63" s="1"/>
      <c r="N63" s="54"/>
      <c r="O63" s="1"/>
      <c r="P63" s="1"/>
      <c r="Q63" s="29"/>
      <c r="R63" s="29"/>
      <c r="S63" s="29"/>
      <c r="T63" s="147"/>
      <c r="U63" s="16"/>
      <c r="V63" s="1"/>
    </row>
    <row r="64" spans="2:22" x14ac:dyDescent="0.3">
      <c r="B64" s="11">
        <v>58</v>
      </c>
      <c r="C64" s="11"/>
      <c r="D64" s="29"/>
      <c r="E64" s="29"/>
      <c r="F64" s="118"/>
      <c r="G64" s="54"/>
      <c r="H64" s="87"/>
      <c r="I64" s="54"/>
      <c r="J64" s="36"/>
      <c r="K64" s="1"/>
      <c r="L64" s="1"/>
      <c r="M64" s="1"/>
      <c r="N64" s="54"/>
      <c r="O64" s="1"/>
      <c r="P64" s="1"/>
      <c r="Q64" s="29"/>
      <c r="R64" s="29"/>
      <c r="S64" s="71"/>
      <c r="T64" s="147"/>
      <c r="U64" s="16"/>
      <c r="V64" s="1"/>
    </row>
    <row r="65" spans="2:22" x14ac:dyDescent="0.3">
      <c r="B65" s="11">
        <v>59</v>
      </c>
      <c r="C65" s="11"/>
      <c r="D65" s="29"/>
      <c r="E65" s="29"/>
      <c r="F65" s="118"/>
      <c r="G65" s="54"/>
      <c r="H65" s="87"/>
      <c r="I65" s="54"/>
      <c r="J65" s="36"/>
      <c r="K65" s="1"/>
      <c r="L65" s="1"/>
      <c r="M65" s="1"/>
      <c r="N65" s="54"/>
      <c r="O65" s="1"/>
      <c r="P65" s="1"/>
      <c r="Q65" s="29"/>
      <c r="R65" s="29"/>
      <c r="S65" s="71"/>
      <c r="T65" s="147"/>
      <c r="U65" s="16"/>
      <c r="V65" s="1"/>
    </row>
    <row r="66" spans="2:22" x14ac:dyDescent="0.3">
      <c r="B66" s="11">
        <v>60</v>
      </c>
      <c r="C66" s="11"/>
      <c r="D66" s="29"/>
      <c r="E66" s="29"/>
      <c r="F66" s="118"/>
      <c r="G66" s="54"/>
      <c r="H66" s="87"/>
      <c r="I66" s="54"/>
      <c r="J66" s="36"/>
      <c r="K66" s="1"/>
      <c r="L66" s="1"/>
      <c r="M66" s="1"/>
      <c r="N66" s="54"/>
      <c r="O66" s="1"/>
      <c r="P66" s="1"/>
      <c r="Q66" s="29"/>
      <c r="R66" s="29"/>
      <c r="S66" s="71"/>
      <c r="T66" s="147"/>
      <c r="U66" s="16"/>
      <c r="V66" s="1"/>
    </row>
    <row r="67" spans="2:22" x14ac:dyDescent="0.3">
      <c r="B67" s="11">
        <v>61</v>
      </c>
      <c r="C67" s="11"/>
      <c r="D67" s="29"/>
      <c r="E67" s="29"/>
      <c r="F67" s="118"/>
      <c r="G67" s="54"/>
      <c r="H67" s="87"/>
      <c r="I67" s="54"/>
      <c r="J67" s="36"/>
      <c r="K67" s="1"/>
      <c r="L67" s="1"/>
      <c r="M67" s="1"/>
      <c r="N67" s="54"/>
      <c r="O67" s="1"/>
      <c r="P67" s="1"/>
      <c r="Q67" s="29"/>
      <c r="R67" s="29"/>
      <c r="S67" s="71"/>
      <c r="T67" s="147"/>
      <c r="U67" s="16"/>
      <c r="V67" s="255"/>
    </row>
    <row r="68" spans="2:22" x14ac:dyDescent="0.3">
      <c r="B68" s="11">
        <v>62</v>
      </c>
      <c r="C68" s="11"/>
      <c r="D68" s="29"/>
      <c r="E68" s="29"/>
      <c r="F68" s="118"/>
      <c r="G68" s="54"/>
      <c r="H68" s="87"/>
      <c r="I68" s="54"/>
      <c r="J68" s="36"/>
      <c r="K68" s="1"/>
      <c r="L68" s="1"/>
      <c r="M68" s="1"/>
      <c r="N68" s="54"/>
      <c r="O68" s="1"/>
      <c r="P68" s="1"/>
      <c r="Q68" s="29"/>
      <c r="R68" s="29"/>
      <c r="S68" s="29"/>
      <c r="T68" s="147"/>
      <c r="U68" s="16"/>
      <c r="V68" s="1"/>
    </row>
    <row r="69" spans="2:22" x14ac:dyDescent="0.3">
      <c r="B69" s="11">
        <v>63</v>
      </c>
      <c r="C69" s="11"/>
      <c r="D69" s="29"/>
      <c r="E69" s="29"/>
      <c r="F69" s="118"/>
      <c r="G69" s="54"/>
      <c r="H69" s="87"/>
      <c r="I69" s="54"/>
      <c r="J69" s="36"/>
      <c r="K69" s="1"/>
      <c r="L69" s="1"/>
      <c r="M69" s="1"/>
      <c r="N69" s="54"/>
      <c r="O69" s="1"/>
      <c r="P69" s="1"/>
      <c r="Q69" s="29"/>
      <c r="R69" s="29"/>
      <c r="S69" s="29"/>
      <c r="T69" s="147"/>
      <c r="U69" s="16"/>
      <c r="V69" s="1"/>
    </row>
    <row r="70" spans="2:22" x14ac:dyDescent="0.3">
      <c r="B70" s="11">
        <v>64</v>
      </c>
      <c r="C70" s="11"/>
      <c r="D70" s="29"/>
      <c r="E70" s="29"/>
      <c r="F70" s="118"/>
      <c r="G70" s="54"/>
      <c r="H70" s="87"/>
      <c r="I70" s="54"/>
      <c r="J70" s="36"/>
      <c r="K70" s="1"/>
      <c r="L70" s="1"/>
      <c r="M70" s="1"/>
      <c r="N70" s="54"/>
      <c r="O70" s="1"/>
      <c r="P70" s="1"/>
      <c r="Q70" s="29"/>
      <c r="R70" s="29"/>
      <c r="S70" s="71"/>
      <c r="T70" s="147"/>
      <c r="U70" s="16"/>
      <c r="V70" s="1"/>
    </row>
    <row r="71" spans="2:22" x14ac:dyDescent="0.3">
      <c r="B71" s="11">
        <v>65</v>
      </c>
      <c r="C71" s="11"/>
      <c r="D71" s="29"/>
      <c r="E71" s="29"/>
      <c r="F71" s="118"/>
      <c r="G71" s="54"/>
      <c r="H71" s="87"/>
      <c r="I71" s="54"/>
      <c r="J71" s="36"/>
      <c r="K71" s="1"/>
      <c r="L71" s="1"/>
      <c r="M71" s="1"/>
      <c r="N71" s="54"/>
      <c r="O71" s="1"/>
      <c r="P71" s="1"/>
      <c r="Q71" s="29"/>
      <c r="R71" s="29"/>
      <c r="S71" s="71"/>
      <c r="T71" s="147"/>
      <c r="U71" s="16"/>
      <c r="V71" s="1"/>
    </row>
    <row r="72" spans="2:22" x14ac:dyDescent="0.3">
      <c r="B72" s="11">
        <v>66</v>
      </c>
      <c r="C72" s="11"/>
      <c r="D72" s="29"/>
      <c r="E72" s="29"/>
      <c r="F72" s="118"/>
      <c r="G72" s="54"/>
      <c r="H72" s="87"/>
      <c r="I72" s="54"/>
      <c r="J72" s="36"/>
      <c r="K72" s="1"/>
      <c r="L72" s="1"/>
      <c r="M72" s="1"/>
      <c r="N72" s="54"/>
      <c r="O72" s="1"/>
      <c r="P72" s="1"/>
      <c r="Q72" s="29"/>
      <c r="R72" s="29"/>
      <c r="S72" s="71"/>
      <c r="T72" s="147"/>
      <c r="U72" s="16"/>
      <c r="V72" s="1"/>
    </row>
    <row r="73" spans="2:22" x14ac:dyDescent="0.3">
      <c r="B73" s="11">
        <v>67</v>
      </c>
      <c r="C73" s="11"/>
      <c r="D73" s="29"/>
      <c r="E73" s="29"/>
      <c r="F73" s="118"/>
      <c r="G73" s="54"/>
      <c r="H73" s="87"/>
      <c r="I73" s="54"/>
      <c r="J73" s="36"/>
      <c r="K73" s="1"/>
      <c r="L73" s="1"/>
      <c r="M73" s="1"/>
      <c r="N73" s="54"/>
      <c r="O73" s="1"/>
      <c r="P73" s="1"/>
      <c r="Q73" s="29"/>
      <c r="R73" s="29"/>
      <c r="S73" s="71"/>
      <c r="T73" s="147"/>
      <c r="U73" s="16"/>
      <c r="V73" s="255"/>
    </row>
    <row r="74" spans="2:22" x14ac:dyDescent="0.3">
      <c r="B74" s="11">
        <v>68</v>
      </c>
      <c r="C74" s="11"/>
      <c r="D74" s="29"/>
      <c r="E74" s="29"/>
      <c r="F74" s="118"/>
      <c r="G74" s="54"/>
      <c r="H74" s="87"/>
      <c r="I74" s="54"/>
      <c r="J74" s="36"/>
      <c r="K74" s="1"/>
      <c r="L74" s="1"/>
      <c r="M74" s="1"/>
      <c r="N74" s="54"/>
      <c r="O74" s="1"/>
      <c r="P74" s="1"/>
      <c r="Q74" s="29"/>
      <c r="R74" s="29"/>
      <c r="S74" s="71"/>
      <c r="T74" s="147"/>
      <c r="U74" s="16"/>
      <c r="V74" s="1"/>
    </row>
    <row r="75" spans="2:22" x14ac:dyDescent="0.3">
      <c r="B75" s="11">
        <v>69</v>
      </c>
      <c r="C75" s="11"/>
      <c r="D75" s="29"/>
      <c r="E75" s="29"/>
      <c r="F75" s="118"/>
      <c r="G75" s="54"/>
      <c r="H75" s="87"/>
      <c r="I75" s="54"/>
      <c r="J75" s="36"/>
      <c r="K75" s="1"/>
      <c r="L75" s="1"/>
      <c r="M75" s="1"/>
      <c r="N75" s="54"/>
      <c r="O75" s="1"/>
      <c r="P75" s="1"/>
      <c r="Q75" s="29"/>
      <c r="R75" s="29"/>
      <c r="S75" s="29"/>
      <c r="T75" s="147"/>
      <c r="U75" s="16"/>
      <c r="V75" s="1"/>
    </row>
    <row r="76" spans="2:22" x14ac:dyDescent="0.3">
      <c r="B76" s="11">
        <v>70</v>
      </c>
      <c r="C76" s="11"/>
      <c r="D76" s="29"/>
      <c r="E76" s="29"/>
      <c r="F76" s="118"/>
      <c r="G76" s="54"/>
      <c r="H76" s="87"/>
      <c r="I76" s="54"/>
      <c r="J76" s="36"/>
      <c r="K76" s="1"/>
      <c r="L76" s="1"/>
      <c r="M76" s="1"/>
      <c r="N76" s="54"/>
      <c r="O76" s="1"/>
      <c r="P76" s="1"/>
      <c r="Q76" s="29"/>
      <c r="R76" s="29"/>
      <c r="S76" s="29"/>
      <c r="T76" s="147"/>
      <c r="U76" s="16"/>
      <c r="V76" s="1"/>
    </row>
    <row r="77" spans="2:22" x14ac:dyDescent="0.3">
      <c r="B77" s="11">
        <v>71</v>
      </c>
      <c r="C77" s="11"/>
      <c r="D77" s="29"/>
      <c r="E77" s="29"/>
      <c r="F77" s="118"/>
      <c r="G77" s="54"/>
      <c r="H77" s="87"/>
      <c r="I77" s="54"/>
      <c r="J77" s="36"/>
      <c r="K77" s="1"/>
      <c r="L77" s="1"/>
      <c r="M77" s="1"/>
      <c r="N77" s="54"/>
      <c r="O77" s="1"/>
      <c r="P77" s="1"/>
      <c r="Q77" s="29"/>
      <c r="R77" s="29"/>
      <c r="S77" s="29"/>
      <c r="T77" s="147"/>
      <c r="U77" s="16"/>
      <c r="V77" s="1"/>
    </row>
    <row r="78" spans="2:22" x14ac:dyDescent="0.3">
      <c r="B78" s="11">
        <v>72</v>
      </c>
      <c r="C78" s="11"/>
      <c r="D78" s="29"/>
      <c r="E78" s="29"/>
      <c r="F78" s="118"/>
      <c r="G78" s="54"/>
      <c r="H78" s="87"/>
      <c r="I78" s="54"/>
      <c r="J78" s="36"/>
      <c r="K78" s="1"/>
      <c r="L78" s="1"/>
      <c r="M78" s="1"/>
      <c r="N78" s="54"/>
      <c r="O78" s="1"/>
      <c r="P78" s="1"/>
      <c r="Q78" s="29"/>
      <c r="R78" s="29"/>
      <c r="S78" s="29"/>
      <c r="T78" s="147"/>
      <c r="U78" s="16"/>
      <c r="V78" s="1"/>
    </row>
    <row r="79" spans="2:22" x14ac:dyDescent="0.3">
      <c r="B79" s="11">
        <v>73</v>
      </c>
      <c r="C79" s="11"/>
      <c r="D79" s="29"/>
      <c r="E79" s="29"/>
      <c r="F79" s="118"/>
      <c r="G79" s="54"/>
      <c r="H79" s="87"/>
      <c r="I79" s="54"/>
      <c r="J79" s="36"/>
      <c r="K79" s="1"/>
      <c r="L79" s="1"/>
      <c r="M79" s="1"/>
      <c r="N79" s="54"/>
      <c r="O79" s="1"/>
      <c r="P79" s="1"/>
      <c r="Q79" s="29"/>
      <c r="R79" s="29"/>
      <c r="S79" s="29"/>
      <c r="T79" s="147"/>
      <c r="U79" s="16"/>
      <c r="V79" s="1"/>
    </row>
    <row r="80" spans="2:22" x14ac:dyDescent="0.3">
      <c r="B80" s="11">
        <v>74</v>
      </c>
      <c r="C80" s="11"/>
      <c r="D80" s="29"/>
      <c r="E80" s="29"/>
      <c r="F80" s="118"/>
      <c r="G80" s="54"/>
      <c r="H80" s="87"/>
      <c r="I80" s="54"/>
      <c r="J80" s="36"/>
      <c r="K80" s="1"/>
      <c r="L80" s="1"/>
      <c r="M80" s="1"/>
      <c r="N80" s="54"/>
      <c r="O80" s="1"/>
      <c r="P80" s="1"/>
      <c r="Q80" s="29"/>
      <c r="R80" s="29"/>
      <c r="S80" s="29"/>
      <c r="T80" s="147"/>
      <c r="U80" s="16"/>
      <c r="V80" s="1"/>
    </row>
    <row r="81" spans="2:22" x14ac:dyDescent="0.3">
      <c r="B81" s="11">
        <v>75</v>
      </c>
      <c r="C81" s="11"/>
      <c r="D81" s="29"/>
      <c r="E81" s="29"/>
      <c r="F81" s="118"/>
      <c r="G81" s="54"/>
      <c r="H81" s="87"/>
      <c r="I81" s="54"/>
      <c r="J81" s="36"/>
      <c r="K81" s="1"/>
      <c r="L81" s="1"/>
      <c r="M81" s="1"/>
      <c r="N81" s="54"/>
      <c r="O81" s="1"/>
      <c r="P81" s="1"/>
      <c r="Q81" s="29"/>
      <c r="R81" s="29"/>
      <c r="S81" s="29"/>
      <c r="T81" s="147"/>
      <c r="U81" s="16"/>
      <c r="V81" s="1"/>
    </row>
    <row r="82" spans="2:22" x14ac:dyDescent="0.3">
      <c r="B82" s="11">
        <v>76</v>
      </c>
      <c r="C82" s="11"/>
      <c r="D82" s="29"/>
      <c r="E82" s="29"/>
      <c r="F82" s="118"/>
      <c r="G82" s="54"/>
      <c r="H82" s="87"/>
      <c r="I82" s="54"/>
      <c r="J82" s="36"/>
      <c r="K82" s="1"/>
      <c r="L82" s="1"/>
      <c r="M82" s="1"/>
      <c r="N82" s="54"/>
      <c r="O82" s="1"/>
      <c r="P82" s="1"/>
      <c r="Q82" s="29"/>
      <c r="R82" s="29"/>
      <c r="S82" s="29"/>
      <c r="T82" s="147"/>
      <c r="U82" s="16"/>
      <c r="V82" s="1"/>
    </row>
    <row r="83" spans="2:22" x14ac:dyDescent="0.3">
      <c r="B83" s="11">
        <v>77</v>
      </c>
      <c r="C83" s="11"/>
      <c r="D83" s="29"/>
      <c r="E83" s="29"/>
      <c r="F83" s="118"/>
      <c r="G83" s="54"/>
      <c r="H83" s="87"/>
      <c r="I83" s="54"/>
      <c r="J83" s="36"/>
      <c r="K83" s="1"/>
      <c r="L83" s="1"/>
      <c r="M83" s="1"/>
      <c r="N83" s="54"/>
      <c r="O83" s="1"/>
      <c r="P83" s="1"/>
      <c r="Q83" s="29"/>
      <c r="R83" s="29"/>
      <c r="S83" s="29"/>
      <c r="T83" s="147"/>
      <c r="U83" s="16"/>
      <c r="V83" s="1"/>
    </row>
    <row r="84" spans="2:22" x14ac:dyDescent="0.3">
      <c r="B84" s="11">
        <v>78</v>
      </c>
      <c r="C84" s="11"/>
      <c r="D84" s="29"/>
      <c r="E84" s="29"/>
      <c r="F84" s="118"/>
      <c r="G84" s="54"/>
      <c r="H84" s="87"/>
      <c r="I84" s="54"/>
      <c r="J84" s="36"/>
      <c r="K84" s="1"/>
      <c r="L84" s="1"/>
      <c r="M84" s="1"/>
      <c r="N84" s="54"/>
      <c r="O84" s="1"/>
      <c r="P84" s="1"/>
      <c r="Q84" s="29"/>
      <c r="R84" s="29"/>
      <c r="S84" s="29"/>
      <c r="T84" s="147"/>
      <c r="U84" s="16"/>
      <c r="V84" s="1"/>
    </row>
    <row r="85" spans="2:22" x14ac:dyDescent="0.3">
      <c r="B85" s="11">
        <v>79</v>
      </c>
      <c r="C85" s="11"/>
      <c r="D85" s="29"/>
      <c r="E85" s="29"/>
      <c r="F85" s="118"/>
      <c r="G85" s="54"/>
      <c r="H85" s="87"/>
      <c r="I85" s="54"/>
      <c r="J85" s="36"/>
      <c r="K85" s="1"/>
      <c r="L85" s="1"/>
      <c r="M85" s="1"/>
      <c r="N85" s="54"/>
      <c r="O85" s="1"/>
      <c r="P85" s="1"/>
      <c r="Q85" s="29"/>
      <c r="R85" s="29"/>
      <c r="S85" s="29"/>
      <c r="T85" s="147"/>
      <c r="U85" s="16"/>
      <c r="V85" s="1"/>
    </row>
    <row r="86" spans="2:22" x14ac:dyDescent="0.3">
      <c r="B86" s="11">
        <v>80</v>
      </c>
      <c r="C86" s="11"/>
      <c r="D86" s="29"/>
      <c r="E86" s="29"/>
      <c r="F86" s="118"/>
      <c r="G86" s="54"/>
      <c r="H86" s="87"/>
      <c r="I86" s="54"/>
      <c r="J86" s="36"/>
      <c r="K86" s="1"/>
      <c r="L86" s="1"/>
      <c r="M86" s="1"/>
      <c r="N86" s="54"/>
      <c r="O86" s="1"/>
      <c r="P86" s="1"/>
      <c r="Q86" s="29"/>
      <c r="R86" s="29"/>
      <c r="S86" s="29"/>
      <c r="T86" s="147"/>
      <c r="U86" s="16"/>
      <c r="V86" s="1"/>
    </row>
    <row r="87" spans="2:22" x14ac:dyDescent="0.3">
      <c r="B87" s="11">
        <v>81</v>
      </c>
      <c r="C87" s="11"/>
      <c r="D87" s="29"/>
      <c r="E87" s="29"/>
      <c r="F87" s="118"/>
      <c r="G87" s="54"/>
      <c r="H87" s="87"/>
      <c r="I87" s="54"/>
      <c r="J87" s="36"/>
      <c r="K87" s="1"/>
      <c r="L87" s="1"/>
      <c r="M87" s="1"/>
      <c r="N87" s="54"/>
      <c r="O87" s="1"/>
      <c r="P87" s="1"/>
      <c r="Q87" s="29"/>
      <c r="R87" s="29"/>
      <c r="S87" s="29"/>
      <c r="T87" s="147"/>
      <c r="U87" s="16"/>
      <c r="V87" s="1"/>
    </row>
    <row r="88" spans="2:22" x14ac:dyDescent="0.3">
      <c r="B88" s="11">
        <v>82</v>
      </c>
      <c r="C88" s="11"/>
      <c r="D88" s="29"/>
      <c r="E88" s="29"/>
      <c r="F88" s="118"/>
      <c r="G88" s="54"/>
      <c r="H88" s="87"/>
      <c r="I88" s="54"/>
      <c r="J88" s="36"/>
      <c r="K88" s="1"/>
      <c r="L88" s="1"/>
      <c r="M88" s="1"/>
      <c r="N88" s="54"/>
      <c r="O88" s="1"/>
      <c r="P88" s="1"/>
      <c r="Q88" s="29"/>
      <c r="R88" s="29"/>
      <c r="S88" s="71"/>
      <c r="T88" s="147"/>
      <c r="U88" s="16"/>
      <c r="V88" s="1"/>
    </row>
    <row r="89" spans="2:22" x14ac:dyDescent="0.3">
      <c r="B89" s="11">
        <v>83</v>
      </c>
      <c r="C89" s="11"/>
      <c r="D89" s="29"/>
      <c r="E89" s="29"/>
      <c r="F89" s="118"/>
      <c r="G89" s="54"/>
      <c r="H89" s="87"/>
      <c r="I89" s="54"/>
      <c r="J89" s="36"/>
      <c r="K89" s="1"/>
      <c r="L89" s="1"/>
      <c r="M89" s="1"/>
      <c r="N89" s="54"/>
      <c r="O89" s="1"/>
      <c r="P89" s="1"/>
      <c r="Q89" s="29"/>
      <c r="R89" s="29"/>
      <c r="S89" s="71"/>
      <c r="T89" s="147"/>
      <c r="U89" s="16"/>
      <c r="V89" s="1"/>
    </row>
    <row r="90" spans="2:22" x14ac:dyDescent="0.3">
      <c r="B90" s="11">
        <v>84</v>
      </c>
      <c r="C90" s="11"/>
      <c r="D90" s="29"/>
      <c r="E90" s="29"/>
      <c r="F90" s="118"/>
      <c r="G90" s="54"/>
      <c r="H90" s="87"/>
      <c r="I90" s="54"/>
      <c r="J90" s="36"/>
      <c r="K90" s="1"/>
      <c r="L90" s="1"/>
      <c r="M90" s="1"/>
      <c r="N90" s="54"/>
      <c r="O90" s="1"/>
      <c r="P90" s="1"/>
      <c r="Q90" s="29"/>
      <c r="R90" s="29"/>
      <c r="S90" s="29"/>
      <c r="T90" s="147"/>
      <c r="U90" s="16"/>
      <c r="V90" s="1"/>
    </row>
    <row r="91" spans="2:22" x14ac:dyDescent="0.3">
      <c r="B91" s="11">
        <v>85</v>
      </c>
      <c r="C91" s="11"/>
      <c r="D91" s="29"/>
      <c r="E91" s="29"/>
      <c r="F91" s="118"/>
      <c r="G91" s="54"/>
      <c r="H91" s="87"/>
      <c r="I91" s="54"/>
      <c r="J91" s="36"/>
      <c r="K91" s="1"/>
      <c r="L91" s="1"/>
      <c r="M91" s="1"/>
      <c r="N91" s="54"/>
      <c r="O91" s="1"/>
      <c r="P91" s="1"/>
      <c r="Q91" s="29"/>
      <c r="R91" s="29"/>
      <c r="S91" s="71"/>
      <c r="T91" s="147"/>
      <c r="U91" s="16"/>
      <c r="V91" s="1"/>
    </row>
    <row r="92" spans="2:22" x14ac:dyDescent="0.3">
      <c r="B92" s="11">
        <v>86</v>
      </c>
      <c r="C92" s="11"/>
      <c r="D92" s="29"/>
      <c r="E92" s="29"/>
      <c r="F92" s="118"/>
      <c r="G92" s="54"/>
      <c r="H92" s="87"/>
      <c r="I92" s="54"/>
      <c r="J92" s="36"/>
      <c r="K92" s="1"/>
      <c r="L92" s="1"/>
      <c r="M92" s="1"/>
      <c r="N92" s="54"/>
      <c r="O92" s="1"/>
      <c r="P92" s="1"/>
      <c r="Q92" s="29"/>
      <c r="R92" s="29"/>
      <c r="S92" s="71"/>
      <c r="T92" s="147"/>
      <c r="U92" s="16"/>
      <c r="V92" s="1"/>
    </row>
    <row r="93" spans="2:22" x14ac:dyDescent="0.3">
      <c r="B93" s="11">
        <v>87</v>
      </c>
      <c r="C93" s="11"/>
      <c r="D93" s="29"/>
      <c r="E93" s="29"/>
      <c r="F93" s="118"/>
      <c r="G93" s="54"/>
      <c r="H93" s="87"/>
      <c r="I93" s="54"/>
      <c r="J93" s="36"/>
      <c r="K93" s="1"/>
      <c r="L93" s="1"/>
      <c r="M93" s="1"/>
      <c r="N93" s="54"/>
      <c r="O93" s="1"/>
      <c r="P93" s="1"/>
      <c r="Q93" s="29"/>
      <c r="R93" s="29"/>
      <c r="S93" s="71"/>
      <c r="T93" s="147"/>
      <c r="U93" s="16"/>
      <c r="V93" s="1"/>
    </row>
    <row r="94" spans="2:22" x14ac:dyDescent="0.3">
      <c r="B94" s="11">
        <v>88</v>
      </c>
      <c r="C94" s="11"/>
      <c r="D94" s="29"/>
      <c r="E94" s="29"/>
      <c r="F94" s="118"/>
      <c r="G94" s="54"/>
      <c r="H94" s="87"/>
      <c r="I94" s="54"/>
      <c r="J94" s="36"/>
      <c r="K94" s="1"/>
      <c r="L94" s="1"/>
      <c r="M94" s="1"/>
      <c r="N94" s="54"/>
      <c r="O94" s="1"/>
      <c r="P94" s="1"/>
      <c r="Q94" s="29"/>
      <c r="R94" s="29"/>
      <c r="S94" s="71"/>
      <c r="T94" s="147"/>
      <c r="U94" s="16"/>
      <c r="V94" s="1"/>
    </row>
    <row r="95" spans="2:22" x14ac:dyDescent="0.3">
      <c r="B95" s="11">
        <v>89</v>
      </c>
      <c r="C95" s="11"/>
      <c r="D95" s="29"/>
      <c r="E95" s="29"/>
      <c r="F95" s="118"/>
      <c r="G95" s="54"/>
      <c r="H95" s="87"/>
      <c r="I95" s="54"/>
      <c r="J95" s="36"/>
      <c r="K95" s="1"/>
      <c r="L95" s="1"/>
      <c r="M95" s="1"/>
      <c r="N95" s="54"/>
      <c r="O95" s="1"/>
      <c r="P95" s="1"/>
      <c r="Q95" s="29"/>
      <c r="R95" s="29"/>
      <c r="S95" s="71"/>
      <c r="T95" s="147"/>
      <c r="U95" s="16"/>
      <c r="V95" s="1"/>
    </row>
    <row r="96" spans="2:22" x14ac:dyDescent="0.3">
      <c r="B96" s="11">
        <v>90</v>
      </c>
      <c r="C96" s="11"/>
      <c r="D96" s="29"/>
      <c r="E96" s="29"/>
      <c r="F96" s="118"/>
      <c r="G96" s="54"/>
      <c r="H96" s="87"/>
      <c r="I96" s="54"/>
      <c r="J96" s="36"/>
      <c r="K96" s="1"/>
      <c r="L96" s="1"/>
      <c r="M96" s="1"/>
      <c r="N96" s="54"/>
      <c r="O96" s="1"/>
      <c r="P96" s="1"/>
      <c r="Q96" s="29"/>
      <c r="R96" s="29"/>
      <c r="S96" s="71"/>
      <c r="T96" s="147"/>
      <c r="U96" s="16"/>
      <c r="V96" s="1"/>
    </row>
    <row r="97" spans="2:22" x14ac:dyDescent="0.3">
      <c r="B97" s="11">
        <v>91</v>
      </c>
      <c r="C97" s="11"/>
      <c r="D97" s="29"/>
      <c r="E97" s="29"/>
      <c r="F97" s="118"/>
      <c r="G97" s="54"/>
      <c r="H97" s="87"/>
      <c r="I97" s="54"/>
      <c r="J97" s="36"/>
      <c r="K97" s="1"/>
      <c r="L97" s="1"/>
      <c r="M97" s="1"/>
      <c r="N97" s="54"/>
      <c r="O97" s="1"/>
      <c r="P97" s="1"/>
      <c r="Q97" s="29"/>
      <c r="R97" s="29"/>
      <c r="S97" s="71"/>
      <c r="T97" s="147"/>
      <c r="U97" s="16"/>
      <c r="V97" s="1"/>
    </row>
    <row r="98" spans="2:22" x14ac:dyDescent="0.3">
      <c r="B98" s="11">
        <v>92</v>
      </c>
      <c r="C98" s="11"/>
      <c r="D98" s="29"/>
      <c r="E98" s="29"/>
      <c r="F98" s="118"/>
      <c r="G98" s="54"/>
      <c r="H98" s="87"/>
      <c r="I98" s="54"/>
      <c r="J98" s="36"/>
      <c r="K98" s="1"/>
      <c r="L98" s="1"/>
      <c r="M98" s="1"/>
      <c r="N98" s="54"/>
      <c r="O98" s="1"/>
      <c r="P98" s="1"/>
      <c r="Q98" s="29"/>
      <c r="R98" s="29"/>
      <c r="S98" s="71"/>
      <c r="T98" s="147"/>
      <c r="U98" s="16"/>
      <c r="V98" s="1"/>
    </row>
    <row r="99" spans="2:22" x14ac:dyDescent="0.3">
      <c r="B99" s="11">
        <v>93</v>
      </c>
      <c r="C99" s="11"/>
      <c r="D99" s="29"/>
      <c r="E99" s="29"/>
      <c r="F99" s="118"/>
      <c r="G99" s="54"/>
      <c r="H99" s="87"/>
      <c r="I99" s="54"/>
      <c r="J99" s="36"/>
      <c r="K99" s="1"/>
      <c r="L99" s="1"/>
      <c r="M99" s="1"/>
      <c r="N99" s="54"/>
      <c r="O99" s="1"/>
      <c r="P99" s="1"/>
      <c r="Q99" s="29"/>
      <c r="R99" s="29"/>
      <c r="S99" s="71"/>
      <c r="T99" s="147"/>
      <c r="U99" s="16"/>
      <c r="V99" s="1"/>
    </row>
    <row r="100" spans="2:22" x14ac:dyDescent="0.3">
      <c r="B100" s="11">
        <v>94</v>
      </c>
      <c r="C100" s="11"/>
      <c r="D100" s="29"/>
      <c r="E100" s="29"/>
      <c r="F100" s="118"/>
      <c r="G100" s="54"/>
      <c r="H100" s="87"/>
      <c r="I100" s="54"/>
      <c r="J100" s="36"/>
      <c r="K100" s="1"/>
      <c r="L100" s="1"/>
      <c r="M100" s="1"/>
      <c r="N100" s="54"/>
      <c r="O100" s="1"/>
      <c r="P100" s="1"/>
      <c r="Q100" s="29"/>
      <c r="R100" s="29"/>
      <c r="S100" s="71"/>
      <c r="T100" s="147"/>
      <c r="U100" s="16"/>
      <c r="V100" s="1"/>
    </row>
    <row r="101" spans="2:22" x14ac:dyDescent="0.3">
      <c r="B101" s="11">
        <v>95</v>
      </c>
      <c r="C101" s="11"/>
      <c r="D101" s="29"/>
      <c r="E101" s="29"/>
      <c r="F101" s="118"/>
      <c r="G101" s="54"/>
      <c r="H101" s="87"/>
      <c r="I101" s="54"/>
      <c r="J101" s="36"/>
      <c r="K101" s="1"/>
      <c r="L101" s="1"/>
      <c r="M101" s="1"/>
      <c r="N101" s="54"/>
      <c r="O101" s="1"/>
      <c r="P101" s="1"/>
      <c r="Q101" s="29"/>
      <c r="R101" s="29"/>
      <c r="S101" s="71"/>
      <c r="T101" s="147"/>
      <c r="U101" s="16"/>
      <c r="V101" s="1"/>
    </row>
    <row r="102" spans="2:22" x14ac:dyDescent="0.3">
      <c r="B102" s="11">
        <v>96</v>
      </c>
      <c r="C102" s="11"/>
      <c r="D102" s="29"/>
      <c r="E102" s="29"/>
      <c r="F102" s="118"/>
      <c r="G102" s="54"/>
      <c r="H102" s="87"/>
      <c r="I102" s="54"/>
      <c r="J102" s="36"/>
      <c r="K102" s="1"/>
      <c r="L102" s="1"/>
      <c r="M102" s="1"/>
      <c r="N102" s="54"/>
      <c r="O102" s="1"/>
      <c r="P102" s="1"/>
      <c r="Q102" s="29"/>
      <c r="R102" s="29"/>
      <c r="S102" s="29"/>
      <c r="T102" s="147"/>
      <c r="U102" s="16"/>
      <c r="V102" s="1"/>
    </row>
    <row r="103" spans="2:22" x14ac:dyDescent="0.3">
      <c r="B103" s="11">
        <v>97</v>
      </c>
      <c r="C103" s="11"/>
      <c r="D103" s="29"/>
      <c r="E103" s="29"/>
      <c r="F103" s="118"/>
      <c r="G103" s="54"/>
      <c r="H103" s="87"/>
      <c r="I103" s="54"/>
      <c r="J103" s="36"/>
      <c r="K103" s="1"/>
      <c r="L103" s="1"/>
      <c r="M103" s="1"/>
      <c r="N103" s="54"/>
      <c r="O103" s="1"/>
      <c r="P103" s="1"/>
      <c r="Q103" s="29"/>
      <c r="R103" s="29"/>
      <c r="S103" s="29"/>
      <c r="T103" s="147"/>
      <c r="U103" s="16"/>
      <c r="V103" s="1"/>
    </row>
    <row r="104" spans="2:22" x14ac:dyDescent="0.3">
      <c r="B104" s="11">
        <v>98</v>
      </c>
      <c r="C104" s="11"/>
      <c r="D104" s="29"/>
      <c r="E104" s="29"/>
      <c r="F104" s="118"/>
      <c r="G104" s="54"/>
      <c r="H104" s="87"/>
      <c r="I104" s="54"/>
      <c r="J104" s="36"/>
      <c r="K104" s="1"/>
      <c r="L104" s="1"/>
      <c r="M104" s="1"/>
      <c r="N104" s="54"/>
      <c r="O104" s="1"/>
      <c r="P104" s="1"/>
      <c r="Q104" s="29"/>
      <c r="R104" s="29"/>
      <c r="S104" s="71"/>
      <c r="T104" s="147"/>
      <c r="U104" s="16"/>
      <c r="V104" s="1"/>
    </row>
    <row r="105" spans="2:22" x14ac:dyDescent="0.3">
      <c r="B105" s="11">
        <v>99</v>
      </c>
      <c r="C105" s="11"/>
      <c r="D105" s="29"/>
      <c r="E105" s="29"/>
      <c r="F105" s="118"/>
      <c r="G105" s="54"/>
      <c r="H105" s="87"/>
      <c r="I105" s="54"/>
      <c r="J105" s="36"/>
      <c r="K105" s="1"/>
      <c r="L105" s="1"/>
      <c r="M105" s="1"/>
      <c r="N105" s="54"/>
      <c r="O105" s="1"/>
      <c r="P105" s="1"/>
      <c r="Q105" s="29"/>
      <c r="R105" s="29"/>
      <c r="S105" s="71"/>
      <c r="T105" s="147"/>
      <c r="U105" s="16"/>
      <c r="V105" s="1"/>
    </row>
    <row r="106" spans="2:22" x14ac:dyDescent="0.3">
      <c r="B106" s="11">
        <v>100</v>
      </c>
      <c r="C106" s="11"/>
      <c r="D106" s="29"/>
      <c r="E106" s="29"/>
      <c r="F106" s="118"/>
      <c r="G106" s="54"/>
      <c r="H106" s="87"/>
      <c r="I106" s="54"/>
      <c r="J106" s="36"/>
      <c r="K106" s="1"/>
      <c r="L106" s="1"/>
      <c r="M106" s="1"/>
      <c r="N106" s="54"/>
      <c r="O106" s="1"/>
      <c r="P106" s="1"/>
      <c r="Q106" s="29"/>
      <c r="R106" s="29"/>
      <c r="S106" s="71"/>
      <c r="T106" s="147"/>
      <c r="U106" s="16"/>
      <c r="V106" s="1"/>
    </row>
    <row r="107" spans="2:22" x14ac:dyDescent="0.3">
      <c r="B107" s="256"/>
      <c r="C107" s="256"/>
      <c r="D107" s="257"/>
      <c r="E107" s="65"/>
      <c r="F107" s="117"/>
      <c r="G107" s="54"/>
      <c r="H107" s="296"/>
      <c r="I107" s="259"/>
      <c r="J107" s="258"/>
      <c r="K107" s="259"/>
      <c r="L107" s="259"/>
      <c r="M107" s="260"/>
      <c r="N107" s="259"/>
      <c r="O107" s="260"/>
      <c r="P107" s="260"/>
      <c r="Q107" s="261"/>
      <c r="R107" s="261"/>
      <c r="S107" s="261"/>
      <c r="T107" s="262"/>
      <c r="U107" s="263"/>
      <c r="V107" s="1"/>
    </row>
    <row r="108" spans="2:22" x14ac:dyDescent="0.3">
      <c r="E108" s="108" t="s">
        <v>259</v>
      </c>
      <c r="F108" s="88"/>
      <c r="G108" s="297">
        <f>SUBTOTAL(9,G7:G107)</f>
        <v>0</v>
      </c>
      <c r="H108" s="22"/>
      <c r="I108" s="22"/>
      <c r="J108" s="19"/>
      <c r="K108" s="19"/>
      <c r="L108" s="19"/>
      <c r="M108" s="19"/>
      <c r="N108" s="22"/>
      <c r="O108" s="74"/>
      <c r="P108" s="63"/>
      <c r="Q108" s="63"/>
      <c r="R108" s="75"/>
      <c r="S108" s="63"/>
      <c r="T108" s="75"/>
      <c r="U108" s="56"/>
      <c r="V108" s="63"/>
    </row>
    <row r="109" spans="2:22" x14ac:dyDescent="0.3">
      <c r="F109" s="47"/>
      <c r="O109" s="64"/>
      <c r="U109" s="38"/>
    </row>
    <row r="111" spans="2:22" ht="15.75" customHeight="1" thickBot="1" x14ac:dyDescent="0.35">
      <c r="E111" s="109" t="s">
        <v>247</v>
      </c>
      <c r="G111" s="99">
        <f>SUM(G7:G107)</f>
        <v>0</v>
      </c>
      <c r="H111" s="298"/>
      <c r="I111" s="298"/>
      <c r="J111" s="76"/>
      <c r="K111" s="76"/>
      <c r="L111" s="76"/>
      <c r="M111" s="14"/>
      <c r="N111" s="3"/>
    </row>
    <row r="112" spans="2:22" ht="15.75" customHeight="1" thickTop="1" x14ac:dyDescent="0.3">
      <c r="F112" s="47"/>
      <c r="O112" s="35"/>
      <c r="U112" s="3"/>
    </row>
    <row r="115" spans="5:13" x14ac:dyDescent="0.3">
      <c r="E115" s="403" t="s">
        <v>55</v>
      </c>
      <c r="F115" s="404"/>
      <c r="G115" s="405"/>
      <c r="J115" s="127" t="s">
        <v>56</v>
      </c>
      <c r="K115" s="128"/>
      <c r="L115" s="129"/>
    </row>
    <row r="116" spans="5:13" x14ac:dyDescent="0.3">
      <c r="E116" s="65" t="s">
        <v>57</v>
      </c>
      <c r="F116" s="90" t="s">
        <v>58</v>
      </c>
      <c r="G116" s="91" t="s">
        <v>59</v>
      </c>
      <c r="J116" s="16" t="s">
        <v>57</v>
      </c>
      <c r="K116" s="90" t="s">
        <v>58</v>
      </c>
      <c r="L116" s="91" t="s">
        <v>59</v>
      </c>
    </row>
    <row r="117" spans="5:13" x14ac:dyDescent="0.3">
      <c r="E117" s="110">
        <f>SUMIF($U$7:$U$106,E116,$I$7:$I$106)</f>
        <v>0</v>
      </c>
      <c r="F117" s="92">
        <f>SUMIF($U$7:$U$106,F116,$I$7:$I$106)</f>
        <v>0</v>
      </c>
      <c r="G117" s="92">
        <f>SUMIF($U$7:$U$106,G116,$I$7:$I$106)</f>
        <v>0</v>
      </c>
      <c r="H117" s="93">
        <f>SUM(E117:G117)</f>
        <v>0</v>
      </c>
      <c r="J117" s="92">
        <f>SUMIF($U$7:$U$106,J116,$H$7:$H$106)</f>
        <v>0</v>
      </c>
      <c r="K117" s="92">
        <f>SUMIF($U$7:$U$106,K116,$H$7:$H$106)</f>
        <v>0</v>
      </c>
      <c r="L117" s="92">
        <f>SUMIF($U$7:$U$106,L116,$H$7:$H$106)</f>
        <v>0</v>
      </c>
      <c r="M117" s="93">
        <f>SUM(J117:L117)</f>
        <v>0</v>
      </c>
    </row>
    <row r="118" spans="5:13" x14ac:dyDescent="0.3">
      <c r="H118" s="95">
        <f>I111-H117</f>
        <v>0</v>
      </c>
      <c r="J118" s="32"/>
      <c r="K118" s="32"/>
      <c r="L118" s="96"/>
      <c r="M118" s="95">
        <f>H111-M117</f>
        <v>0</v>
      </c>
    </row>
    <row r="119" spans="5:13" x14ac:dyDescent="0.3">
      <c r="E119" s="111"/>
      <c r="F119" s="46"/>
      <c r="G119" s="46"/>
      <c r="J119" s="8"/>
      <c r="L119" s="8"/>
    </row>
    <row r="120" spans="5:13" x14ac:dyDescent="0.3">
      <c r="G120" s="46"/>
      <c r="H120" s="46" t="s">
        <v>60</v>
      </c>
      <c r="I120" s="46">
        <f>G117</f>
        <v>0</v>
      </c>
      <c r="K120" s="66"/>
      <c r="L120" s="8"/>
    </row>
    <row r="121" spans="5:13" ht="15.75" customHeight="1" thickBot="1" x14ac:dyDescent="0.35">
      <c r="G121" s="46"/>
      <c r="H121" s="97" t="s">
        <v>61</v>
      </c>
      <c r="I121" s="97">
        <f>E117+F117+J117+K117+L117</f>
        <v>0</v>
      </c>
      <c r="K121" s="66"/>
      <c r="L121" s="8"/>
    </row>
    <row r="122" spans="5:13" ht="15.75" customHeight="1" thickTop="1" x14ac:dyDescent="0.3">
      <c r="G122" s="46"/>
      <c r="H122" s="46" t="s">
        <v>62</v>
      </c>
      <c r="I122" s="46">
        <f>SUM(I120:I121)</f>
        <v>0</v>
      </c>
      <c r="K122" s="66"/>
      <c r="L122" s="8"/>
    </row>
    <row r="123" spans="5:13" x14ac:dyDescent="0.3">
      <c r="G123" s="46"/>
      <c r="I123" s="46"/>
      <c r="J123" s="95">
        <f>G111-I122</f>
        <v>0</v>
      </c>
      <c r="K123" s="66"/>
      <c r="L123" s="8"/>
    </row>
    <row r="125" spans="5:13" x14ac:dyDescent="0.3">
      <c r="E125" s="167" t="s">
        <v>260</v>
      </c>
      <c r="F125" s="161" t="s">
        <v>252</v>
      </c>
      <c r="G125" s="39" t="s">
        <v>32</v>
      </c>
      <c r="H125" s="163" t="s">
        <v>53</v>
      </c>
      <c r="I125" s="39" t="s">
        <v>261</v>
      </c>
      <c r="J125" s="39" t="s">
        <v>262</v>
      </c>
      <c r="K125" s="39" t="s">
        <v>15</v>
      </c>
    </row>
    <row r="126" spans="5:13" x14ac:dyDescent="0.3">
      <c r="F126" s="8"/>
      <c r="G126" s="50">
        <f t="shared" ref="G126:G134" si="0">SUMIFS($G$7:$G$107, $J$7:$J$107, E126, $D$7:$D$107, F126)</f>
        <v>0</v>
      </c>
      <c r="H126" s="168">
        <f t="shared" ref="H126:H134" si="1">SUMIFS($I$7:$I$107, $J$7:$J$107, E126, $D$7:$D$107, F126, $U$7:$U$107, "YES")</f>
        <v>0</v>
      </c>
      <c r="I126" s="55">
        <f t="shared" ref="I126:I134" si="2">G126-H126</f>
        <v>0</v>
      </c>
      <c r="J126" s="8"/>
      <c r="K126" s="8"/>
    </row>
    <row r="127" spans="5:13" x14ac:dyDescent="0.3">
      <c r="F127" s="8"/>
      <c r="G127" s="50">
        <f t="shared" si="0"/>
        <v>0</v>
      </c>
      <c r="H127" s="169">
        <f t="shared" si="1"/>
        <v>0</v>
      </c>
      <c r="I127" s="42">
        <f t="shared" si="2"/>
        <v>0</v>
      </c>
      <c r="J127" s="8"/>
      <c r="K127" s="8"/>
    </row>
    <row r="128" spans="5:13" x14ac:dyDescent="0.3">
      <c r="F128" s="8"/>
      <c r="G128" s="50">
        <f t="shared" si="0"/>
        <v>0</v>
      </c>
      <c r="H128" s="169">
        <f t="shared" si="1"/>
        <v>0</v>
      </c>
      <c r="I128" s="42">
        <f t="shared" si="2"/>
        <v>0</v>
      </c>
      <c r="J128" s="8"/>
      <c r="K128" s="8"/>
    </row>
    <row r="129" spans="5:11" x14ac:dyDescent="0.3">
      <c r="F129" s="8"/>
      <c r="G129" s="50">
        <f t="shared" si="0"/>
        <v>0</v>
      </c>
      <c r="H129" s="169">
        <f t="shared" si="1"/>
        <v>0</v>
      </c>
      <c r="I129" s="42">
        <f t="shared" si="2"/>
        <v>0</v>
      </c>
      <c r="J129" s="8"/>
      <c r="K129" s="8"/>
    </row>
    <row r="130" spans="5:11" x14ac:dyDescent="0.3">
      <c r="F130" s="8"/>
      <c r="G130" s="50">
        <f t="shared" si="0"/>
        <v>0</v>
      </c>
      <c r="H130" s="169">
        <f t="shared" si="1"/>
        <v>0</v>
      </c>
      <c r="I130" s="42">
        <f t="shared" si="2"/>
        <v>0</v>
      </c>
      <c r="J130" s="8"/>
      <c r="K130" s="8"/>
    </row>
    <row r="131" spans="5:11" x14ac:dyDescent="0.3">
      <c r="F131" s="8"/>
      <c r="G131" s="50">
        <f t="shared" si="0"/>
        <v>0</v>
      </c>
      <c r="H131" s="169">
        <f t="shared" si="1"/>
        <v>0</v>
      </c>
      <c r="I131" s="42">
        <f t="shared" si="2"/>
        <v>0</v>
      </c>
      <c r="J131" s="8"/>
      <c r="K131" s="8"/>
    </row>
    <row r="132" spans="5:11" x14ac:dyDescent="0.3">
      <c r="F132" s="8"/>
      <c r="G132" s="50">
        <f t="shared" si="0"/>
        <v>0</v>
      </c>
      <c r="H132" s="169">
        <f t="shared" si="1"/>
        <v>0</v>
      </c>
      <c r="I132" s="42">
        <f t="shared" si="2"/>
        <v>0</v>
      </c>
      <c r="J132" s="8"/>
      <c r="K132" s="8"/>
    </row>
    <row r="133" spans="5:11" x14ac:dyDescent="0.3">
      <c r="F133" s="8"/>
      <c r="G133" s="50">
        <f t="shared" si="0"/>
        <v>0</v>
      </c>
      <c r="H133" s="169">
        <f t="shared" si="1"/>
        <v>0</v>
      </c>
      <c r="I133" s="42">
        <f t="shared" si="2"/>
        <v>0</v>
      </c>
      <c r="J133" s="8"/>
      <c r="K133" s="8"/>
    </row>
    <row r="134" spans="5:11" ht="15.75" customHeight="1" thickBot="1" x14ac:dyDescent="0.35">
      <c r="E134" s="172"/>
      <c r="F134" s="165"/>
      <c r="G134" s="170">
        <f t="shared" si="0"/>
        <v>0</v>
      </c>
      <c r="H134" s="171">
        <f t="shared" si="1"/>
        <v>0</v>
      </c>
      <c r="I134" s="166">
        <f t="shared" si="2"/>
        <v>0</v>
      </c>
      <c r="J134" s="165"/>
      <c r="K134" s="165"/>
    </row>
    <row r="135" spans="5:11" ht="15.75" customHeight="1" thickTop="1" x14ac:dyDescent="0.3">
      <c r="F135" t="s">
        <v>32</v>
      </c>
      <c r="G135" s="42">
        <f>SUM(G126:G134)</f>
        <v>0</v>
      </c>
      <c r="H135" s="164">
        <f>SUM(H126:H134)</f>
        <v>0</v>
      </c>
      <c r="I135" s="42">
        <f>SUM(I126:I134)</f>
        <v>0</v>
      </c>
      <c r="J135" s="8"/>
    </row>
    <row r="136" spans="5:11" x14ac:dyDescent="0.3">
      <c r="G136" s="95">
        <f>G135-G111</f>
        <v>0</v>
      </c>
      <c r="H136" s="95">
        <f>H135-I120</f>
        <v>0</v>
      </c>
      <c r="I136" s="95">
        <f>I135-I121</f>
        <v>0</v>
      </c>
      <c r="J136" s="8"/>
    </row>
  </sheetData>
  <autoFilter ref="B6:V439" xr:uid="{00000000-0009-0000-0000-000009000000}">
    <filterColumn colId="8">
      <filters>
        <filter val="yes"/>
      </filters>
    </filterColumn>
    <filterColumn colId="19">
      <filters>
        <filter val="yes"/>
      </filters>
    </filterColumn>
  </autoFilter>
  <mergeCells count="2">
    <mergeCell ref="E115:G115"/>
    <mergeCell ref="B1:W1"/>
  </mergeCells>
  <conditionalFormatting sqref="E116">
    <cfRule type="cellIs" dxfId="39" priority="21" operator="equal">
      <formula>"NO-OOS"</formula>
    </cfRule>
    <cfRule type="cellIs" dxfId="38" priority="22" operator="equal">
      <formula>"NO-CO"</formula>
    </cfRule>
    <cfRule type="cellIs" dxfId="37" priority="23" operator="equal">
      <formula>"YES"</formula>
    </cfRule>
    <cfRule type="cellIs" dxfId="36" priority="24" operator="equal">
      <formula>"NO"</formula>
    </cfRule>
  </conditionalFormatting>
  <conditionalFormatting sqref="J116">
    <cfRule type="cellIs" dxfId="35" priority="16" operator="equal">
      <formula>"NO-OOS"</formula>
    </cfRule>
    <cfRule type="cellIs" dxfId="34" priority="17" operator="equal">
      <formula>"NO-CO"</formula>
    </cfRule>
    <cfRule type="cellIs" dxfId="33" priority="18" operator="equal">
      <formula>"YES"</formula>
    </cfRule>
    <cfRule type="cellIs" dxfId="32" priority="19" operator="equal">
      <formula>"NO"</formula>
    </cfRule>
  </conditionalFormatting>
  <conditionalFormatting sqref="U7:U107">
    <cfRule type="cellIs" dxfId="31" priority="1" operator="equal">
      <formula>"NO-OOS"</formula>
    </cfRule>
    <cfRule type="cellIs" dxfId="30" priority="2" operator="equal">
      <formula>"NO-TX"</formula>
    </cfRule>
  </conditionalFormatting>
  <conditionalFormatting sqref="U7:U108">
    <cfRule type="cellIs" dxfId="29" priority="3" operator="equal">
      <formula>"YES"</formula>
    </cfRule>
  </conditionalFormatting>
  <conditionalFormatting sqref="U108">
    <cfRule type="cellIs" dxfId="28" priority="547" operator="equal">
      <formula>"NO"</formula>
    </cfRule>
  </conditionalFormatting>
  <dataValidations xWindow="624" yWindow="305" count="1">
    <dataValidation type="list" allowBlank="1" showInputMessage="1" showErrorMessage="1" sqref="E116 J116 V2:V5" xr:uid="{00000000-0002-0000-0900-000000000000}"/>
  </dataValidations>
  <pageMargins left="0.7" right="0.7" top="0.75" bottom="0.75" header="0.3" footer="0.3"/>
  <pageSetup scale="5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/>
    <pageSetUpPr fitToPage="1"/>
  </sheetPr>
  <dimension ref="B1:AA53"/>
  <sheetViews>
    <sheetView zoomScale="90" zoomScaleNormal="90" workbookViewId="0">
      <pane xSplit="2" ySplit="8" topLeftCell="C9" activePane="bottomRight" state="frozen"/>
      <selection pane="topRight" activeCell="C1" sqref="C1"/>
      <selection pane="bottomLeft" activeCell="A7" sqref="A7"/>
      <selection pane="bottomRight" activeCell="P8" sqref="P8"/>
    </sheetView>
  </sheetViews>
  <sheetFormatPr defaultColWidth="8.88671875" defaultRowHeight="14.4" x14ac:dyDescent="0.3"/>
  <cols>
    <col min="1" max="1" width="2.5546875" customWidth="1"/>
    <col min="2" max="2" width="8.88671875" style="9" customWidth="1"/>
    <col min="3" max="3" width="16.5546875" style="107" customWidth="1"/>
    <col min="4" max="4" width="22" style="8" bestFit="1" customWidth="1"/>
    <col min="5" max="5" width="16.44140625" style="27" customWidth="1"/>
    <col min="6" max="6" width="20.109375" style="46" customWidth="1"/>
    <col min="7" max="7" width="18.109375" style="46" customWidth="1"/>
    <col min="8" max="8" width="18.5546875" style="46" customWidth="1"/>
    <col min="9" max="9" width="37" style="66" bestFit="1" customWidth="1"/>
    <col min="10" max="10" width="17.33203125" style="8" customWidth="1"/>
    <col min="11" max="11" width="12.6640625" style="8" customWidth="1"/>
    <col min="12" max="12" width="18.5546875" style="8" customWidth="1"/>
    <col min="13" max="13" width="19.5546875" style="8" customWidth="1"/>
    <col min="14" max="14" width="19.109375" style="8" customWidth="1"/>
    <col min="15" max="15" width="13.88671875" style="8" customWidth="1"/>
    <col min="16" max="16" width="51" style="32" customWidth="1"/>
    <col min="17" max="17" width="28.33203125" style="8" customWidth="1"/>
    <col min="18" max="18" width="18.109375" style="8" customWidth="1"/>
    <col min="19" max="19" width="9.33203125" style="8" customWidth="1"/>
    <col min="20" max="20" width="8.33203125" style="8" customWidth="1"/>
    <col min="21" max="21" width="19.33203125" style="8" customWidth="1"/>
    <col min="22" max="22" width="15.5546875" customWidth="1"/>
    <col min="23" max="23" width="55" style="32" customWidth="1"/>
    <col min="24" max="24" width="23.109375" style="32" customWidth="1"/>
  </cols>
  <sheetData>
    <row r="1" spans="2:27" ht="15.75" customHeight="1" x14ac:dyDescent="0.3">
      <c r="B1" s="407"/>
      <c r="C1" s="411"/>
      <c r="D1" s="402"/>
      <c r="E1" s="401"/>
      <c r="F1" s="412"/>
      <c r="G1" s="412"/>
      <c r="H1" s="412"/>
      <c r="I1" s="413"/>
      <c r="J1" s="402"/>
      <c r="K1" s="402"/>
      <c r="L1" s="402"/>
      <c r="M1" s="402"/>
      <c r="N1" s="402"/>
      <c r="O1" s="402"/>
      <c r="P1" s="415"/>
      <c r="Q1" s="402"/>
      <c r="R1" s="402"/>
      <c r="S1" s="402"/>
      <c r="T1" s="402"/>
      <c r="U1" s="402"/>
      <c r="V1" s="392"/>
      <c r="W1" s="415"/>
      <c r="X1" s="415"/>
      <c r="Y1" s="392"/>
      <c r="Z1" s="392"/>
    </row>
    <row r="2" spans="2:27" ht="15.75" customHeight="1" x14ac:dyDescent="0.3">
      <c r="B2" s="113"/>
      <c r="C2" s="113"/>
      <c r="D2" s="113"/>
      <c r="E2" s="25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31"/>
      <c r="R2" s="113"/>
      <c r="S2" s="113"/>
      <c r="T2" s="113"/>
      <c r="U2" s="113"/>
      <c r="V2" s="31"/>
      <c r="W2" s="31"/>
      <c r="X2" s="31"/>
      <c r="Y2" s="113"/>
      <c r="Z2" s="31"/>
    </row>
    <row r="3" spans="2:27" x14ac:dyDescent="0.3">
      <c r="C3" s="9"/>
      <c r="D3" s="15"/>
      <c r="E3" s="23"/>
      <c r="Q3" s="32"/>
      <c r="V3" s="32"/>
      <c r="Z3" s="32"/>
    </row>
    <row r="4" spans="2:27" ht="18.75" customHeight="1" x14ac:dyDescent="0.35">
      <c r="C4" s="9"/>
      <c r="D4" s="15"/>
      <c r="E4" s="4"/>
      <c r="L4" s="112"/>
      <c r="M4" s="173"/>
      <c r="N4" s="173"/>
      <c r="P4" s="4"/>
      <c r="Q4" s="4"/>
      <c r="R4" s="112"/>
      <c r="S4" s="112"/>
      <c r="T4" s="112"/>
      <c r="U4" s="112"/>
      <c r="V4" s="4"/>
      <c r="W4" s="4"/>
      <c r="X4" s="4"/>
      <c r="Y4" s="4"/>
      <c r="Z4" s="4"/>
      <c r="AA4" s="4"/>
    </row>
    <row r="5" spans="2:27" ht="18.75" customHeight="1" x14ac:dyDescent="0.35">
      <c r="C5" s="9"/>
      <c r="D5" s="15"/>
      <c r="E5" s="4"/>
      <c r="L5" s="112"/>
      <c r="M5" s="173"/>
      <c r="N5" s="173"/>
      <c r="P5" s="4"/>
      <c r="Q5" s="4"/>
      <c r="R5" s="112"/>
      <c r="S5" s="112"/>
      <c r="T5" s="112"/>
      <c r="U5" s="112"/>
      <c r="V5" s="4"/>
      <c r="W5" s="4"/>
      <c r="X5" s="4"/>
      <c r="Y5" s="4"/>
      <c r="Z5" s="4"/>
      <c r="AA5" s="4"/>
    </row>
    <row r="7" spans="2:27" x14ac:dyDescent="0.3">
      <c r="D7" s="208" t="s">
        <v>223</v>
      </c>
      <c r="E7" s="176" t="s">
        <v>223</v>
      </c>
      <c r="H7" s="209" t="s">
        <v>223</v>
      </c>
      <c r="I7" s="210" t="s">
        <v>223</v>
      </c>
      <c r="K7" s="208" t="s">
        <v>223</v>
      </c>
      <c r="L7" s="208" t="s">
        <v>223</v>
      </c>
    </row>
    <row r="8" spans="2:27" s="7" customFormat="1" ht="18.75" customHeight="1" x14ac:dyDescent="0.3">
      <c r="B8" s="10" t="s">
        <v>7</v>
      </c>
      <c r="C8" s="79" t="s">
        <v>205</v>
      </c>
      <c r="D8" s="12" t="s">
        <v>52</v>
      </c>
      <c r="E8" s="26" t="s">
        <v>11</v>
      </c>
      <c r="F8" s="48" t="s">
        <v>243</v>
      </c>
      <c r="G8" s="51" t="s">
        <v>61</v>
      </c>
      <c r="H8" s="48" t="s">
        <v>244</v>
      </c>
      <c r="I8" s="67" t="s">
        <v>245</v>
      </c>
      <c r="J8" s="12" t="s">
        <v>212</v>
      </c>
      <c r="K8" s="12" t="s">
        <v>213</v>
      </c>
      <c r="L8" s="12" t="s">
        <v>246</v>
      </c>
      <c r="M8" s="12" t="s">
        <v>214</v>
      </c>
      <c r="N8" s="12" t="s">
        <v>39</v>
      </c>
      <c r="O8" s="12" t="s">
        <v>215</v>
      </c>
      <c r="P8" s="12" t="s">
        <v>216</v>
      </c>
      <c r="Q8" s="12" t="s">
        <v>217</v>
      </c>
      <c r="R8" s="12" t="s">
        <v>168</v>
      </c>
      <c r="S8" s="12" t="s">
        <v>44</v>
      </c>
      <c r="T8" s="12" t="s">
        <v>45</v>
      </c>
      <c r="U8" s="12" t="s">
        <v>218</v>
      </c>
      <c r="V8" s="12" t="s">
        <v>41</v>
      </c>
      <c r="W8" s="33" t="s">
        <v>46</v>
      </c>
      <c r="X8" s="12" t="s">
        <v>263</v>
      </c>
    </row>
    <row r="9" spans="2:27" x14ac:dyDescent="0.3">
      <c r="B9" s="11">
        <v>1</v>
      </c>
      <c r="C9" s="151"/>
      <c r="E9" s="117"/>
      <c r="F9" s="45">
        <v>0</v>
      </c>
      <c r="G9" s="52">
        <v>0</v>
      </c>
      <c r="H9" s="45">
        <f t="shared" ref="H9:H29" si="0">F9-G9</f>
        <v>0</v>
      </c>
      <c r="I9" s="36"/>
      <c r="J9" s="29"/>
      <c r="K9" s="29"/>
      <c r="L9" s="145"/>
      <c r="M9" s="146"/>
      <c r="N9" s="29"/>
      <c r="O9" s="29"/>
      <c r="P9" s="36"/>
      <c r="Q9" s="36"/>
      <c r="R9" s="29"/>
      <c r="S9" s="29"/>
      <c r="T9" s="29"/>
      <c r="U9" s="147"/>
      <c r="V9" s="16"/>
      <c r="W9" s="36"/>
      <c r="X9" s="29"/>
    </row>
    <row r="10" spans="2:27" ht="15" customHeight="1" x14ac:dyDescent="0.3">
      <c r="B10" s="11">
        <v>2</v>
      </c>
      <c r="C10" s="151"/>
      <c r="D10" s="181"/>
      <c r="E10" s="117"/>
      <c r="F10" s="45">
        <v>0</v>
      </c>
      <c r="G10" s="52">
        <v>0</v>
      </c>
      <c r="H10" s="45">
        <f t="shared" si="0"/>
        <v>0</v>
      </c>
      <c r="I10" s="36"/>
      <c r="J10" s="29"/>
      <c r="K10" s="29"/>
      <c r="L10" s="145"/>
      <c r="M10" s="146"/>
      <c r="N10" s="29"/>
      <c r="O10" s="29"/>
      <c r="P10" s="36"/>
      <c r="Q10" s="36"/>
      <c r="R10" s="29"/>
      <c r="S10" s="29"/>
      <c r="T10" s="29"/>
      <c r="U10" s="147"/>
      <c r="V10" s="16"/>
      <c r="W10" s="36"/>
      <c r="X10" s="29"/>
    </row>
    <row r="11" spans="2:27" ht="15" customHeight="1" x14ac:dyDescent="0.3">
      <c r="B11" s="11">
        <v>3</v>
      </c>
      <c r="C11" s="151"/>
      <c r="D11" s="180"/>
      <c r="E11" s="117"/>
      <c r="F11" s="45">
        <v>0</v>
      </c>
      <c r="G11" s="52">
        <v>0</v>
      </c>
      <c r="H11" s="45">
        <f t="shared" si="0"/>
        <v>0</v>
      </c>
      <c r="I11" s="36"/>
      <c r="J11" s="29"/>
      <c r="K11" s="29"/>
      <c r="L11" s="145"/>
      <c r="M11" s="146"/>
      <c r="N11" s="29"/>
      <c r="O11" s="29"/>
      <c r="P11" s="36"/>
      <c r="Q11" s="36"/>
      <c r="R11" s="29"/>
      <c r="S11" s="29"/>
      <c r="T11" s="29"/>
      <c r="U11" s="147"/>
      <c r="V11" s="16"/>
      <c r="W11" s="36"/>
      <c r="X11" s="29"/>
    </row>
    <row r="12" spans="2:27" x14ac:dyDescent="0.3">
      <c r="B12" s="11">
        <v>4</v>
      </c>
      <c r="C12" s="151"/>
      <c r="D12" s="84"/>
      <c r="E12" s="117"/>
      <c r="F12" s="45">
        <v>0</v>
      </c>
      <c r="G12" s="52">
        <v>0</v>
      </c>
      <c r="H12" s="45">
        <f t="shared" si="0"/>
        <v>0</v>
      </c>
      <c r="I12" s="36"/>
      <c r="J12" s="29"/>
      <c r="K12" s="29"/>
      <c r="L12" s="145"/>
      <c r="M12" s="146"/>
      <c r="N12" s="29"/>
      <c r="O12" s="29"/>
      <c r="P12" s="36"/>
      <c r="Q12" s="36"/>
      <c r="R12" s="29"/>
      <c r="S12" s="29"/>
      <c r="T12" s="29"/>
      <c r="U12" s="147"/>
      <c r="V12" s="16"/>
      <c r="W12" s="36"/>
      <c r="X12" s="36"/>
    </row>
    <row r="13" spans="2:27" ht="15" customHeight="1" x14ac:dyDescent="0.3">
      <c r="B13" s="11">
        <v>5</v>
      </c>
      <c r="C13" s="151"/>
      <c r="D13" s="84"/>
      <c r="E13" s="117"/>
      <c r="F13" s="45">
        <v>0</v>
      </c>
      <c r="G13" s="52">
        <v>0</v>
      </c>
      <c r="H13" s="45">
        <f t="shared" si="0"/>
        <v>0</v>
      </c>
      <c r="I13" s="36"/>
      <c r="J13" s="29"/>
      <c r="K13" s="29"/>
      <c r="L13" s="145"/>
      <c r="M13" s="146"/>
      <c r="N13" s="29"/>
      <c r="O13" s="29"/>
      <c r="P13" s="36"/>
      <c r="Q13" s="36"/>
      <c r="R13" s="29"/>
      <c r="S13" s="29"/>
      <c r="T13" s="29"/>
      <c r="U13" s="147"/>
      <c r="V13" s="16"/>
      <c r="W13" s="36"/>
      <c r="X13" s="36"/>
    </row>
    <row r="14" spans="2:27" x14ac:dyDescent="0.3">
      <c r="B14" s="11">
        <v>6</v>
      </c>
      <c r="C14" s="151"/>
      <c r="D14" s="82"/>
      <c r="E14" s="117"/>
      <c r="F14" s="45">
        <v>0</v>
      </c>
      <c r="G14" s="52">
        <v>0</v>
      </c>
      <c r="H14" s="45">
        <f t="shared" si="0"/>
        <v>0</v>
      </c>
      <c r="I14" s="36"/>
      <c r="J14" s="29"/>
      <c r="K14" s="29"/>
      <c r="L14" s="145"/>
      <c r="M14" s="146"/>
      <c r="N14" s="29"/>
      <c r="O14" s="29"/>
      <c r="P14" s="36"/>
      <c r="Q14" s="36"/>
      <c r="R14" s="29"/>
      <c r="S14" s="29"/>
      <c r="T14" s="29"/>
      <c r="U14" s="147"/>
      <c r="V14" s="16"/>
      <c r="W14" s="36"/>
      <c r="X14" s="36"/>
    </row>
    <row r="15" spans="2:27" x14ac:dyDescent="0.3">
      <c r="B15" s="11">
        <v>7</v>
      </c>
      <c r="C15" s="151"/>
      <c r="D15" s="82"/>
      <c r="E15" s="117"/>
      <c r="F15" s="45">
        <v>0</v>
      </c>
      <c r="G15" s="52">
        <v>0</v>
      </c>
      <c r="H15" s="45">
        <f t="shared" si="0"/>
        <v>0</v>
      </c>
      <c r="I15" s="36"/>
      <c r="J15" s="29"/>
      <c r="K15" s="29"/>
      <c r="L15" s="145"/>
      <c r="M15" s="146"/>
      <c r="N15" s="29"/>
      <c r="O15" s="29"/>
      <c r="P15" s="36"/>
      <c r="Q15" s="36"/>
      <c r="R15" s="29"/>
      <c r="S15" s="29"/>
      <c r="T15" s="29"/>
      <c r="U15" s="147"/>
      <c r="V15" s="16"/>
      <c r="W15" s="36"/>
      <c r="X15" s="36"/>
    </row>
    <row r="16" spans="2:27" ht="15" customHeight="1" x14ac:dyDescent="0.3">
      <c r="B16" s="11">
        <v>8</v>
      </c>
      <c r="C16" s="151"/>
      <c r="D16" s="83"/>
      <c r="E16" s="117"/>
      <c r="F16" s="45">
        <v>0</v>
      </c>
      <c r="G16" s="52">
        <v>0</v>
      </c>
      <c r="H16" s="45">
        <f t="shared" si="0"/>
        <v>0</v>
      </c>
      <c r="I16" s="36"/>
      <c r="J16" s="29"/>
      <c r="K16" s="29"/>
      <c r="L16" s="145"/>
      <c r="M16" s="146"/>
      <c r="N16" s="29"/>
      <c r="O16" s="29"/>
      <c r="P16" s="36"/>
      <c r="Q16" s="36"/>
      <c r="R16" s="29"/>
      <c r="S16" s="29"/>
      <c r="T16" s="29"/>
      <c r="U16" s="147"/>
      <c r="V16" s="16"/>
      <c r="W16" s="36"/>
      <c r="X16" s="36"/>
    </row>
    <row r="17" spans="2:24" x14ac:dyDescent="0.3">
      <c r="B17" s="11">
        <v>9</v>
      </c>
      <c r="C17" s="151"/>
      <c r="D17" s="83"/>
      <c r="E17" s="117"/>
      <c r="F17" s="45">
        <v>0</v>
      </c>
      <c r="G17" s="52">
        <v>0</v>
      </c>
      <c r="H17" s="45">
        <f t="shared" si="0"/>
        <v>0</v>
      </c>
      <c r="I17" s="36"/>
      <c r="J17" s="29"/>
      <c r="K17" s="29"/>
      <c r="L17" s="145"/>
      <c r="M17" s="146"/>
      <c r="N17" s="29"/>
      <c r="O17" s="29"/>
      <c r="P17" s="36"/>
      <c r="Q17" s="36"/>
      <c r="R17" s="29"/>
      <c r="S17" s="29"/>
      <c r="T17" s="29"/>
      <c r="U17" s="147"/>
      <c r="V17" s="16"/>
      <c r="W17" s="36"/>
      <c r="X17" s="36"/>
    </row>
    <row r="18" spans="2:24" x14ac:dyDescent="0.3">
      <c r="B18" s="11">
        <v>10</v>
      </c>
      <c r="C18" s="151"/>
      <c r="D18" s="83"/>
      <c r="E18" s="117"/>
      <c r="F18" s="45">
        <v>0</v>
      </c>
      <c r="G18" s="52">
        <v>0</v>
      </c>
      <c r="H18" s="45">
        <f t="shared" si="0"/>
        <v>0</v>
      </c>
      <c r="I18" s="36"/>
      <c r="J18" s="29"/>
      <c r="K18" s="29"/>
      <c r="L18" s="145"/>
      <c r="M18" s="146"/>
      <c r="N18" s="29"/>
      <c r="O18" s="29"/>
      <c r="P18" s="36"/>
      <c r="Q18" s="36"/>
      <c r="R18" s="29"/>
      <c r="S18" s="29"/>
      <c r="T18" s="71"/>
      <c r="U18" s="147"/>
      <c r="V18" s="16"/>
      <c r="W18" s="36"/>
      <c r="X18" s="36"/>
    </row>
    <row r="19" spans="2:24" ht="15" customHeight="1" x14ac:dyDescent="0.3">
      <c r="B19" s="11">
        <v>11</v>
      </c>
      <c r="C19" s="151"/>
      <c r="D19" s="83"/>
      <c r="E19" s="117"/>
      <c r="F19" s="45">
        <v>0</v>
      </c>
      <c r="G19" s="52">
        <v>0</v>
      </c>
      <c r="H19" s="45">
        <f t="shared" si="0"/>
        <v>0</v>
      </c>
      <c r="I19" s="36"/>
      <c r="J19" s="29"/>
      <c r="K19" s="29"/>
      <c r="L19" s="145"/>
      <c r="M19" s="146"/>
      <c r="N19" s="29"/>
      <c r="O19" s="29"/>
      <c r="P19" s="36"/>
      <c r="Q19" s="36"/>
      <c r="R19" s="29"/>
      <c r="S19" s="29"/>
      <c r="T19" s="71"/>
      <c r="U19" s="147"/>
      <c r="V19" s="16"/>
      <c r="W19" s="36"/>
      <c r="X19" s="36"/>
    </row>
    <row r="20" spans="2:24" ht="15" customHeight="1" x14ac:dyDescent="0.3">
      <c r="B20" s="11">
        <v>12</v>
      </c>
      <c r="C20" s="151"/>
      <c r="D20" s="70"/>
      <c r="E20" s="117"/>
      <c r="F20" s="45">
        <v>0</v>
      </c>
      <c r="G20" s="52">
        <v>0</v>
      </c>
      <c r="H20" s="45">
        <f t="shared" si="0"/>
        <v>0</v>
      </c>
      <c r="I20" s="36"/>
      <c r="J20" s="29"/>
      <c r="K20" s="29"/>
      <c r="L20" s="145"/>
      <c r="M20" s="146"/>
      <c r="N20" s="29"/>
      <c r="O20" s="29"/>
      <c r="P20" s="36"/>
      <c r="Q20" s="36"/>
      <c r="R20" s="29"/>
      <c r="S20" s="29"/>
      <c r="T20" s="71"/>
      <c r="U20" s="147"/>
      <c r="V20" s="16"/>
      <c r="W20" s="36"/>
      <c r="X20" s="36"/>
    </row>
    <row r="21" spans="2:24" ht="15" customHeight="1" x14ac:dyDescent="0.3">
      <c r="B21" s="11">
        <v>13</v>
      </c>
      <c r="C21" s="151"/>
      <c r="D21" s="83"/>
      <c r="E21" s="117"/>
      <c r="F21" s="45">
        <v>0</v>
      </c>
      <c r="G21" s="52">
        <v>0</v>
      </c>
      <c r="H21" s="45">
        <f t="shared" si="0"/>
        <v>0</v>
      </c>
      <c r="I21" s="36"/>
      <c r="J21" s="29"/>
      <c r="K21" s="29"/>
      <c r="L21" s="145"/>
      <c r="M21" s="146"/>
      <c r="N21" s="29"/>
      <c r="O21" s="29"/>
      <c r="P21" s="36"/>
      <c r="Q21" s="36"/>
      <c r="R21" s="29"/>
      <c r="S21" s="29"/>
      <c r="T21" s="71"/>
      <c r="U21" s="147"/>
      <c r="V21" s="16"/>
      <c r="W21" s="36"/>
      <c r="X21" s="36"/>
    </row>
    <row r="22" spans="2:24" ht="15" customHeight="1" x14ac:dyDescent="0.3">
      <c r="B22" s="11">
        <v>14</v>
      </c>
      <c r="C22" s="151"/>
      <c r="D22" s="83"/>
      <c r="E22" s="117"/>
      <c r="F22" s="45">
        <v>0</v>
      </c>
      <c r="G22" s="52">
        <v>0</v>
      </c>
      <c r="H22" s="45">
        <f t="shared" si="0"/>
        <v>0</v>
      </c>
      <c r="I22" s="36"/>
      <c r="J22" s="29"/>
      <c r="K22" s="29"/>
      <c r="L22" s="145"/>
      <c r="M22" s="146"/>
      <c r="N22" s="29"/>
      <c r="O22" s="29"/>
      <c r="P22" s="36"/>
      <c r="Q22" s="36"/>
      <c r="R22" s="29"/>
      <c r="S22" s="29"/>
      <c r="T22" s="71"/>
      <c r="U22" s="147"/>
      <c r="V22" s="16"/>
      <c r="W22" s="36"/>
      <c r="X22" s="36"/>
    </row>
    <row r="23" spans="2:24" ht="15" customHeight="1" x14ac:dyDescent="0.3">
      <c r="B23" s="11">
        <v>15</v>
      </c>
      <c r="C23" s="151"/>
      <c r="D23" s="83"/>
      <c r="E23" s="117"/>
      <c r="F23" s="45">
        <v>0</v>
      </c>
      <c r="G23" s="52">
        <v>0</v>
      </c>
      <c r="H23" s="45">
        <f t="shared" si="0"/>
        <v>0</v>
      </c>
      <c r="I23" s="36"/>
      <c r="J23" s="29"/>
      <c r="K23" s="29"/>
      <c r="L23" s="145"/>
      <c r="M23" s="146"/>
      <c r="N23" s="29"/>
      <c r="O23" s="29"/>
      <c r="P23" s="36"/>
      <c r="Q23" s="36"/>
      <c r="R23" s="29"/>
      <c r="S23" s="29"/>
      <c r="T23" s="71"/>
      <c r="U23" s="147"/>
      <c r="V23" s="16"/>
      <c r="W23" s="36"/>
      <c r="X23" s="36"/>
    </row>
    <row r="24" spans="2:24" ht="15" customHeight="1" x14ac:dyDescent="0.3">
      <c r="B24" s="11">
        <v>16</v>
      </c>
      <c r="C24" s="151"/>
      <c r="D24" s="83"/>
      <c r="E24" s="117"/>
      <c r="F24" s="45">
        <v>0</v>
      </c>
      <c r="G24" s="52">
        <v>0</v>
      </c>
      <c r="H24" s="45">
        <f t="shared" si="0"/>
        <v>0</v>
      </c>
      <c r="I24" s="36"/>
      <c r="J24" s="29"/>
      <c r="K24" s="29"/>
      <c r="L24" s="145"/>
      <c r="M24" s="146"/>
      <c r="N24" s="29"/>
      <c r="O24" s="29"/>
      <c r="P24" s="36"/>
      <c r="Q24" s="36"/>
      <c r="R24" s="29"/>
      <c r="S24" s="29"/>
      <c r="T24" s="71"/>
      <c r="U24" s="147"/>
      <c r="V24" s="16"/>
      <c r="W24" s="36"/>
      <c r="X24" s="36"/>
    </row>
    <row r="25" spans="2:24" ht="15" customHeight="1" x14ac:dyDescent="0.3">
      <c r="B25" s="11">
        <v>17</v>
      </c>
      <c r="C25" s="151"/>
      <c r="D25" s="83"/>
      <c r="E25" s="117"/>
      <c r="F25" s="45">
        <v>0</v>
      </c>
      <c r="G25" s="52">
        <v>0</v>
      </c>
      <c r="H25" s="45">
        <f t="shared" si="0"/>
        <v>0</v>
      </c>
      <c r="I25" s="36"/>
      <c r="J25" s="29"/>
      <c r="K25" s="29"/>
      <c r="L25" s="145"/>
      <c r="M25" s="146"/>
      <c r="N25" s="29"/>
      <c r="O25" s="29"/>
      <c r="P25" s="36"/>
      <c r="Q25" s="36"/>
      <c r="R25" s="29"/>
      <c r="S25" s="29"/>
      <c r="T25" s="71"/>
      <c r="U25" s="147"/>
      <c r="V25" s="16"/>
      <c r="W25" s="36"/>
      <c r="X25" s="36"/>
    </row>
    <row r="26" spans="2:24" ht="15" customHeight="1" x14ac:dyDescent="0.3">
      <c r="B26" s="11">
        <v>18</v>
      </c>
      <c r="C26" s="151"/>
      <c r="D26" s="83"/>
      <c r="E26" s="117"/>
      <c r="F26" s="45">
        <v>0</v>
      </c>
      <c r="G26" s="52">
        <v>0</v>
      </c>
      <c r="H26" s="45">
        <f t="shared" si="0"/>
        <v>0</v>
      </c>
      <c r="I26" s="36"/>
      <c r="J26" s="29"/>
      <c r="K26" s="29"/>
      <c r="L26" s="145"/>
      <c r="M26" s="146"/>
      <c r="N26" s="29"/>
      <c r="O26" s="29"/>
      <c r="P26" s="36"/>
      <c r="Q26" s="36"/>
      <c r="R26" s="29"/>
      <c r="S26" s="29"/>
      <c r="T26" s="71"/>
      <c r="U26" s="147"/>
      <c r="V26" s="16"/>
      <c r="W26" s="36"/>
      <c r="X26" s="36"/>
    </row>
    <row r="27" spans="2:24" ht="15" customHeight="1" x14ac:dyDescent="0.3">
      <c r="B27" s="11">
        <v>19</v>
      </c>
      <c r="C27" s="151"/>
      <c r="D27" s="83"/>
      <c r="E27" s="117"/>
      <c r="F27" s="45">
        <v>0</v>
      </c>
      <c r="G27" s="52">
        <v>0</v>
      </c>
      <c r="H27" s="45">
        <f t="shared" si="0"/>
        <v>0</v>
      </c>
      <c r="I27" s="36"/>
      <c r="J27" s="29"/>
      <c r="K27" s="29"/>
      <c r="L27" s="145"/>
      <c r="M27" s="146"/>
      <c r="N27" s="29"/>
      <c r="O27" s="29"/>
      <c r="P27" s="36"/>
      <c r="Q27" s="36"/>
      <c r="R27" s="29"/>
      <c r="S27" s="29"/>
      <c r="T27" s="71"/>
      <c r="U27" s="147"/>
      <c r="V27" s="16"/>
      <c r="W27" s="36"/>
      <c r="X27" s="36"/>
    </row>
    <row r="28" spans="2:24" ht="15" customHeight="1" x14ac:dyDescent="0.3">
      <c r="B28" s="11">
        <v>20</v>
      </c>
      <c r="C28" s="151"/>
      <c r="D28" s="83"/>
      <c r="E28" s="117"/>
      <c r="F28" s="45">
        <v>0</v>
      </c>
      <c r="G28" s="52">
        <v>0</v>
      </c>
      <c r="H28" s="45">
        <f t="shared" si="0"/>
        <v>0</v>
      </c>
      <c r="I28" s="36"/>
      <c r="J28" s="29"/>
      <c r="K28" s="29"/>
      <c r="L28" s="145"/>
      <c r="M28" s="146"/>
      <c r="N28" s="29"/>
      <c r="O28" s="29"/>
      <c r="P28" s="36"/>
      <c r="Q28" s="36"/>
      <c r="R28" s="29"/>
      <c r="S28" s="29"/>
      <c r="T28" s="71"/>
      <c r="U28" s="147"/>
      <c r="V28" s="16"/>
      <c r="W28" s="36"/>
      <c r="X28" s="36"/>
    </row>
    <row r="29" spans="2:24" x14ac:dyDescent="0.3">
      <c r="B29" s="11"/>
      <c r="C29" s="106"/>
      <c r="D29" s="16"/>
      <c r="E29" s="117"/>
      <c r="F29" s="45">
        <v>0</v>
      </c>
      <c r="G29" s="52">
        <v>0</v>
      </c>
      <c r="H29" s="45">
        <f t="shared" si="0"/>
        <v>0</v>
      </c>
      <c r="I29" s="36"/>
      <c r="J29" s="29"/>
      <c r="K29" s="29"/>
      <c r="L29" s="29"/>
      <c r="M29" s="146"/>
      <c r="N29" s="29"/>
      <c r="O29" s="29"/>
      <c r="P29" s="36"/>
      <c r="Q29" s="36"/>
      <c r="R29" s="29"/>
      <c r="S29" s="29"/>
      <c r="T29" s="29"/>
      <c r="U29" s="147"/>
      <c r="V29" s="16"/>
      <c r="W29" s="36"/>
      <c r="X29" s="36"/>
    </row>
    <row r="30" spans="2:24" x14ac:dyDescent="0.3">
      <c r="C30" s="102"/>
      <c r="D30" s="59"/>
      <c r="E30" s="78"/>
      <c r="F30" s="77">
        <f>SUBTOTAL(9,F9:F29)</f>
        <v>0</v>
      </c>
      <c r="G30" s="49">
        <f>SUBTOTAL(9,G9:G29)</f>
        <v>0</v>
      </c>
      <c r="H30" s="49">
        <f>SUBTOTAL(9,H9:H29)</f>
        <v>0</v>
      </c>
      <c r="I30" s="68"/>
      <c r="J30" s="17"/>
      <c r="K30" s="30">
        <f>SUBTOTAL(2,K9:K29)</f>
        <v>0</v>
      </c>
      <c r="L30" s="19"/>
      <c r="M30" s="18"/>
      <c r="N30" s="19"/>
      <c r="O30" s="19"/>
      <c r="P30" s="34"/>
      <c r="Q30" s="19"/>
      <c r="R30" s="19"/>
      <c r="S30" s="19"/>
      <c r="T30" s="19"/>
      <c r="U30" s="19"/>
      <c r="V30" s="22"/>
      <c r="W30" s="37"/>
      <c r="X30" s="37"/>
    </row>
    <row r="31" spans="2:24" x14ac:dyDescent="0.3">
      <c r="F31" s="50"/>
      <c r="G31" s="50"/>
      <c r="H31" s="50"/>
    </row>
    <row r="32" spans="2:24" x14ac:dyDescent="0.3">
      <c r="F32" s="50"/>
      <c r="G32" s="50"/>
      <c r="H32" s="50"/>
    </row>
    <row r="33" spans="3:22" ht="15.75" customHeight="1" thickBot="1" x14ac:dyDescent="0.35">
      <c r="C33" s="103"/>
      <c r="D33" s="20"/>
      <c r="E33" s="28"/>
      <c r="F33" s="72">
        <f>SUM(F9:F29)</f>
        <v>0</v>
      </c>
      <c r="G33" s="72">
        <f>SUM(G9:G29)</f>
        <v>0</v>
      </c>
      <c r="H33" s="72">
        <f>SUM(H9:H29)</f>
        <v>0</v>
      </c>
      <c r="I33" s="73"/>
      <c r="J33" s="14"/>
      <c r="L33" s="14"/>
      <c r="M33" s="14"/>
      <c r="N33" s="14"/>
      <c r="O33" s="14"/>
      <c r="P33" s="35"/>
      <c r="Q33" s="14"/>
      <c r="R33" s="14"/>
      <c r="S33" s="14"/>
      <c r="T33" s="14"/>
      <c r="U33" s="14"/>
      <c r="V33" s="3"/>
    </row>
    <row r="34" spans="3:22" ht="15.75" customHeight="1" thickTop="1" x14ac:dyDescent="0.3">
      <c r="M34" s="14"/>
    </row>
    <row r="37" spans="3:22" x14ac:dyDescent="0.3">
      <c r="D37" s="403" t="s">
        <v>55</v>
      </c>
      <c r="E37" s="404"/>
      <c r="F37" s="405"/>
      <c r="G37" s="8"/>
      <c r="J37" s="403" t="s">
        <v>56</v>
      </c>
      <c r="K37" s="404"/>
      <c r="L37" s="405"/>
    </row>
    <row r="38" spans="3:22" x14ac:dyDescent="0.3">
      <c r="D38" s="16" t="s">
        <v>57</v>
      </c>
      <c r="E38" s="90" t="s">
        <v>58</v>
      </c>
      <c r="F38" s="91" t="s">
        <v>59</v>
      </c>
      <c r="G38" s="89"/>
      <c r="J38" s="16" t="s">
        <v>57</v>
      </c>
      <c r="K38" s="90" t="s">
        <v>58</v>
      </c>
      <c r="L38" s="91" t="s">
        <v>59</v>
      </c>
    </row>
    <row r="39" spans="3:22" x14ac:dyDescent="0.3">
      <c r="D39" s="92">
        <f>SUMIF($V$9:$V$29,D$38,$H$9:$H$29)</f>
        <v>0</v>
      </c>
      <c r="E39" s="92">
        <f>SUMIF($V$9:$V$29,E$38,$H$9:$H$29)</f>
        <v>0</v>
      </c>
      <c r="F39" s="92">
        <f>SUMIF($V$9:$V$29,F$38,$H$9:$H$29)</f>
        <v>0</v>
      </c>
      <c r="G39" s="93">
        <f>SUM(D39:F39)</f>
        <v>0</v>
      </c>
      <c r="J39" s="92">
        <f>SUMIF($V$9:$V$27,J$38,$G$9:$G$27)</f>
        <v>0</v>
      </c>
      <c r="K39" s="92">
        <f>SUMIF($V$9:$V$27,K$38,$G$9:$G$27)</f>
        <v>0</v>
      </c>
      <c r="L39" s="92">
        <f>SUMIF($V$9:$V$27,L$38,$G$9:$G$27)</f>
        <v>0</v>
      </c>
      <c r="M39" s="115">
        <f>SUM(J39:L39)</f>
        <v>0</v>
      </c>
    </row>
    <row r="40" spans="3:22" x14ac:dyDescent="0.3">
      <c r="G40" s="95">
        <f>H33-G39</f>
        <v>0</v>
      </c>
      <c r="J40" s="32"/>
      <c r="L40" s="142"/>
      <c r="M40" s="95">
        <f>G33-M39</f>
        <v>0</v>
      </c>
    </row>
    <row r="41" spans="3:22" x14ac:dyDescent="0.3">
      <c r="D41" s="46"/>
      <c r="E41" s="46"/>
      <c r="G41" s="66"/>
    </row>
    <row r="42" spans="3:22" x14ac:dyDescent="0.3">
      <c r="G42" s="119" t="s">
        <v>60</v>
      </c>
      <c r="H42" s="46">
        <f>F39</f>
        <v>0</v>
      </c>
      <c r="I42" s="46"/>
      <c r="J42" s="116"/>
    </row>
    <row r="43" spans="3:22" ht="15.75" customHeight="1" thickBot="1" x14ac:dyDescent="0.35">
      <c r="G43" s="120" t="s">
        <v>61</v>
      </c>
      <c r="H43" s="97">
        <f>D39+E39+J39+K39+L39</f>
        <v>0</v>
      </c>
      <c r="I43" s="46"/>
      <c r="J43" s="116"/>
    </row>
    <row r="44" spans="3:22" ht="15.75" customHeight="1" thickTop="1" x14ac:dyDescent="0.3">
      <c r="G44" s="119" t="s">
        <v>62</v>
      </c>
      <c r="H44" s="46">
        <f>SUM(H42:H43)</f>
        <v>0</v>
      </c>
      <c r="I44" s="46"/>
      <c r="J44" s="116"/>
    </row>
    <row r="45" spans="3:22" x14ac:dyDescent="0.3">
      <c r="H45" s="95">
        <f>F33-H44</f>
        <v>0</v>
      </c>
      <c r="I45" s="46"/>
    </row>
    <row r="46" spans="3:22" x14ac:dyDescent="0.3">
      <c r="H46" s="95"/>
      <c r="I46" s="46"/>
    </row>
    <row r="48" spans="3:22" x14ac:dyDescent="0.3">
      <c r="G48" s="162" t="s">
        <v>212</v>
      </c>
      <c r="H48" s="162" t="s">
        <v>32</v>
      </c>
      <c r="I48" s="211" t="s">
        <v>84</v>
      </c>
      <c r="J48" s="39" t="s">
        <v>6</v>
      </c>
    </row>
    <row r="49" spans="7:10" x14ac:dyDescent="0.3">
      <c r="G49" s="46" t="s">
        <v>248</v>
      </c>
      <c r="H49" s="46">
        <f>SUMIF($J$9:$J$29,G49,$F$9:$F$29)</f>
        <v>0</v>
      </c>
      <c r="I49" s="212">
        <f>SUMIFS($H$9:$H$29,$J$9:$J$29,G49,$V$9:$V$29,"YES")</f>
        <v>0</v>
      </c>
      <c r="J49" s="139">
        <f>H49-I49</f>
        <v>0</v>
      </c>
    </row>
    <row r="50" spans="7:10" x14ac:dyDescent="0.3">
      <c r="G50" s="46" t="s">
        <v>249</v>
      </c>
      <c r="H50" s="46">
        <f>SUMIF($J$9:$J$29,G50,$F$9:$F$29)</f>
        <v>0</v>
      </c>
      <c r="I50" s="212">
        <f>SUMIFS($H$9:$H$29,$J$9:$J$29,G50,$V$9:$V$29,"YES")</f>
        <v>0</v>
      </c>
      <c r="J50" s="139">
        <f>H50-I50</f>
        <v>0</v>
      </c>
    </row>
    <row r="51" spans="7:10" ht="15.75" customHeight="1" thickBot="1" x14ac:dyDescent="0.35">
      <c r="G51" s="97" t="s">
        <v>250</v>
      </c>
      <c r="H51" s="97">
        <f>SUMIF($J$9:$J$29,G51,$F$9:$F$29)</f>
        <v>0</v>
      </c>
      <c r="I51" s="213">
        <f>SUMIFS($H$9:$H$29,$J$9:$J$29,G51,$V$9:$V$29,"YES")</f>
        <v>0</v>
      </c>
      <c r="J51" s="214">
        <f>H51-I51</f>
        <v>0</v>
      </c>
    </row>
    <row r="52" spans="7:10" ht="15.75" customHeight="1" thickTop="1" x14ac:dyDescent="0.3">
      <c r="H52" s="46">
        <f>SUM(H49:H51)</f>
        <v>0</v>
      </c>
      <c r="I52" s="215">
        <f>SUM(I49:I51)</f>
        <v>0</v>
      </c>
      <c r="J52" s="46">
        <f>SUM(J49:J51)</f>
        <v>0</v>
      </c>
    </row>
    <row r="53" spans="7:10" x14ac:dyDescent="0.3">
      <c r="H53" s="94">
        <f>H52-H44</f>
        <v>0</v>
      </c>
      <c r="I53" s="94">
        <f>I52-H42</f>
        <v>0</v>
      </c>
      <c r="J53" s="94">
        <f>J52-H43</f>
        <v>0</v>
      </c>
    </row>
  </sheetData>
  <autoFilter ref="B8:X29" xr:uid="{00000000-0009-0000-0000-00000A000000}"/>
  <mergeCells count="3">
    <mergeCell ref="D37:F37"/>
    <mergeCell ref="B1:Z1"/>
    <mergeCell ref="J37:L37"/>
  </mergeCells>
  <conditionalFormatting sqref="D38">
    <cfRule type="cellIs" dxfId="27" priority="12" operator="equal">
      <formula>"NO-OOS"</formula>
    </cfRule>
    <cfRule type="cellIs" dxfId="26" priority="13" operator="equal">
      <formula>"NO-CO"</formula>
    </cfRule>
    <cfRule type="cellIs" dxfId="25" priority="14" operator="equal">
      <formula>"YES"</formula>
    </cfRule>
    <cfRule type="cellIs" dxfId="24" priority="15" operator="equal">
      <formula>"NO"</formula>
    </cfRule>
  </conditionalFormatting>
  <conditionalFormatting sqref="J38">
    <cfRule type="cellIs" dxfId="23" priority="7" operator="equal">
      <formula>"NO-OOS"</formula>
    </cfRule>
    <cfRule type="cellIs" dxfId="22" priority="8" operator="equal">
      <formula>"NO-CO"</formula>
    </cfRule>
    <cfRule type="cellIs" dxfId="21" priority="9" operator="equal">
      <formula>"YES"</formula>
    </cfRule>
    <cfRule type="cellIs" dxfId="20" priority="10" operator="equal">
      <formula>"NO"</formula>
    </cfRule>
  </conditionalFormatting>
  <conditionalFormatting sqref="M9:M29">
    <cfRule type="cellIs" dxfId="19" priority="4" operator="equal">
      <formula>"N/A"</formula>
    </cfRule>
    <cfRule type="cellIs" dxfId="18" priority="5" operator="equal">
      <formula>"YES"</formula>
    </cfRule>
    <cfRule type="cellIs" dxfId="17" priority="6" operator="equal">
      <formula>"NO"</formula>
    </cfRule>
  </conditionalFormatting>
  <conditionalFormatting sqref="V9:V29">
    <cfRule type="cellIs" dxfId="16" priority="1" operator="equal">
      <formula>"NO-OOS"</formula>
    </cfRule>
    <cfRule type="cellIs" dxfId="15" priority="2" operator="equal">
      <formula>"NO-TX"</formula>
    </cfRule>
    <cfRule type="cellIs" dxfId="14" priority="3" operator="equal">
      <formula>"YES"</formula>
    </cfRule>
  </conditionalFormatting>
  <hyperlinks>
    <hyperlink ref="F33" location="'Comm Summary'!A1" display="'Comm Summary'!A1" xr:uid="{00000000-0004-0000-0A00-000000000000}"/>
  </hyperlinks>
  <pageMargins left="0.45" right="0.45" top="0.75" bottom="0.75" header="0.3" footer="0.3"/>
  <pageSetup scale="2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/>
    <pageSetUpPr fitToPage="1"/>
  </sheetPr>
  <dimension ref="B1:AA53"/>
  <sheetViews>
    <sheetView zoomScale="90" zoomScaleNormal="90" workbookViewId="0">
      <pane xSplit="2" ySplit="8" topLeftCell="C9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defaultColWidth="8.88671875" defaultRowHeight="14.4" x14ac:dyDescent="0.3"/>
  <cols>
    <col min="1" max="1" width="2.5546875" customWidth="1"/>
    <col min="2" max="2" width="8.88671875" style="9" customWidth="1"/>
    <col min="3" max="3" width="16.5546875" style="107" customWidth="1"/>
    <col min="4" max="4" width="22" style="8" bestFit="1" customWidth="1"/>
    <col min="5" max="5" width="16.44140625" style="27" customWidth="1"/>
    <col min="6" max="6" width="20.109375" style="46" customWidth="1"/>
    <col min="7" max="7" width="18.109375" style="46" customWidth="1"/>
    <col min="8" max="8" width="18.5546875" style="46" customWidth="1"/>
    <col min="9" max="9" width="37" style="66" bestFit="1" customWidth="1"/>
    <col min="10" max="10" width="17.33203125" style="8" customWidth="1"/>
    <col min="11" max="11" width="12.6640625" style="8" customWidth="1"/>
    <col min="12" max="12" width="18.5546875" style="8" customWidth="1"/>
    <col min="13" max="13" width="19.5546875" style="8" customWidth="1"/>
    <col min="14" max="14" width="19.109375" style="8" customWidth="1"/>
    <col min="15" max="15" width="13.88671875" style="8" customWidth="1"/>
    <col min="16" max="16" width="51" style="32" customWidth="1"/>
    <col min="17" max="17" width="28.33203125" style="8" customWidth="1"/>
    <col min="18" max="18" width="18.109375" style="8" customWidth="1"/>
    <col min="19" max="19" width="9.33203125" style="8" customWidth="1"/>
    <col min="20" max="20" width="8.33203125" style="8" customWidth="1"/>
    <col min="21" max="21" width="19.33203125" style="8" customWidth="1"/>
    <col min="22" max="22" width="15.5546875" customWidth="1"/>
    <col min="23" max="23" width="55" style="32" customWidth="1"/>
    <col min="24" max="24" width="23.109375" style="32" customWidth="1"/>
  </cols>
  <sheetData>
    <row r="1" spans="2:27" ht="15.75" customHeight="1" x14ac:dyDescent="0.3">
      <c r="B1" s="407"/>
      <c r="C1" s="411"/>
      <c r="D1" s="402"/>
      <c r="E1" s="401"/>
      <c r="F1" s="412"/>
      <c r="G1" s="412"/>
      <c r="H1" s="412"/>
      <c r="I1" s="413"/>
      <c r="J1" s="402"/>
      <c r="K1" s="402"/>
      <c r="L1" s="402"/>
      <c r="M1" s="402"/>
      <c r="N1" s="402"/>
      <c r="O1" s="402"/>
      <c r="P1" s="415"/>
      <c r="Q1" s="402"/>
      <c r="R1" s="402"/>
      <c r="S1" s="402"/>
      <c r="T1" s="402"/>
      <c r="U1" s="402"/>
      <c r="V1" s="392"/>
      <c r="W1" s="415"/>
      <c r="X1" s="415"/>
      <c r="Y1" s="392"/>
      <c r="Z1" s="392"/>
    </row>
    <row r="2" spans="2:27" ht="15.75" customHeight="1" x14ac:dyDescent="0.3">
      <c r="B2" s="113"/>
      <c r="C2" s="113"/>
      <c r="D2" s="113"/>
      <c r="E2" s="25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31"/>
      <c r="R2" s="113"/>
      <c r="S2" s="113"/>
      <c r="T2" s="113"/>
      <c r="U2" s="113"/>
      <c r="V2" s="31"/>
      <c r="W2" s="31"/>
      <c r="X2" s="31"/>
      <c r="Y2" s="113"/>
      <c r="Z2" s="31"/>
    </row>
    <row r="3" spans="2:27" x14ac:dyDescent="0.3">
      <c r="C3" s="9"/>
      <c r="D3" s="15"/>
      <c r="E3" s="23"/>
      <c r="Q3" s="32"/>
      <c r="V3" s="32"/>
      <c r="Z3" s="32"/>
    </row>
    <row r="4" spans="2:27" ht="18.75" customHeight="1" x14ac:dyDescent="0.35">
      <c r="C4" s="9"/>
      <c r="D4" s="15"/>
      <c r="E4" s="4"/>
      <c r="L4" s="112"/>
      <c r="M4" s="173"/>
      <c r="N4" s="173"/>
      <c r="P4" s="4"/>
      <c r="Q4" s="4"/>
      <c r="R4" s="112"/>
      <c r="S4" s="112"/>
      <c r="T4" s="112"/>
      <c r="U4" s="112"/>
      <c r="V4" s="4"/>
      <c r="W4" s="4"/>
      <c r="X4" s="4"/>
      <c r="Y4" s="4"/>
      <c r="Z4" s="4"/>
      <c r="AA4" s="4"/>
    </row>
    <row r="5" spans="2:27" ht="18.75" customHeight="1" x14ac:dyDescent="0.35">
      <c r="C5" s="9"/>
      <c r="D5" s="15"/>
      <c r="E5" s="4"/>
      <c r="L5" s="112"/>
      <c r="M5" s="173"/>
      <c r="N5" s="173"/>
      <c r="P5" s="4"/>
      <c r="Q5" s="4"/>
      <c r="R5" s="112"/>
      <c r="S5" s="112"/>
      <c r="T5" s="112"/>
      <c r="U5" s="112"/>
      <c r="V5" s="4"/>
      <c r="W5" s="4"/>
      <c r="X5" s="4"/>
      <c r="Y5" s="4"/>
      <c r="Z5" s="4"/>
      <c r="AA5" s="4"/>
    </row>
    <row r="7" spans="2:27" x14ac:dyDescent="0.3">
      <c r="D7" s="208" t="s">
        <v>223</v>
      </c>
      <c r="E7" s="176" t="s">
        <v>223</v>
      </c>
      <c r="H7" s="209" t="s">
        <v>223</v>
      </c>
      <c r="I7" s="210" t="s">
        <v>223</v>
      </c>
      <c r="K7" s="208" t="s">
        <v>223</v>
      </c>
      <c r="L7" s="208" t="s">
        <v>223</v>
      </c>
    </row>
    <row r="8" spans="2:27" s="7" customFormat="1" ht="18.75" customHeight="1" x14ac:dyDescent="0.3">
      <c r="B8" s="10" t="s">
        <v>7</v>
      </c>
      <c r="C8" s="79" t="s">
        <v>205</v>
      </c>
      <c r="D8" s="12" t="s">
        <v>52</v>
      </c>
      <c r="E8" s="26" t="s">
        <v>11</v>
      </c>
      <c r="F8" s="48" t="s">
        <v>243</v>
      </c>
      <c r="G8" s="51" t="s">
        <v>61</v>
      </c>
      <c r="H8" s="48" t="s">
        <v>244</v>
      </c>
      <c r="I8" s="67" t="s">
        <v>245</v>
      </c>
      <c r="J8" s="12" t="s">
        <v>212</v>
      </c>
      <c r="K8" s="12" t="s">
        <v>213</v>
      </c>
      <c r="L8" s="12" t="s">
        <v>246</v>
      </c>
      <c r="M8" s="12" t="s">
        <v>214</v>
      </c>
      <c r="N8" s="12" t="s">
        <v>39</v>
      </c>
      <c r="O8" s="12" t="s">
        <v>215</v>
      </c>
      <c r="P8" s="12" t="s">
        <v>216</v>
      </c>
      <c r="Q8" s="12" t="s">
        <v>217</v>
      </c>
      <c r="R8" s="12" t="s">
        <v>168</v>
      </c>
      <c r="S8" s="12" t="s">
        <v>44</v>
      </c>
      <c r="T8" s="12" t="s">
        <v>45</v>
      </c>
      <c r="U8" s="12" t="s">
        <v>218</v>
      </c>
      <c r="V8" s="12" t="s">
        <v>41</v>
      </c>
      <c r="W8" s="33" t="s">
        <v>46</v>
      </c>
      <c r="X8" s="12" t="s">
        <v>263</v>
      </c>
    </row>
    <row r="9" spans="2:27" x14ac:dyDescent="0.3">
      <c r="B9" s="11">
        <v>1</v>
      </c>
      <c r="C9" s="151"/>
      <c r="E9" s="117"/>
      <c r="F9" s="45">
        <v>0</v>
      </c>
      <c r="G9" s="52">
        <v>0</v>
      </c>
      <c r="H9" s="45">
        <f t="shared" ref="H9:H29" si="0">F9-G9</f>
        <v>0</v>
      </c>
      <c r="I9" s="36"/>
      <c r="J9" s="29"/>
      <c r="K9" s="29"/>
      <c r="L9" s="145"/>
      <c r="M9" s="146"/>
      <c r="N9" s="29"/>
      <c r="O9" s="29"/>
      <c r="P9" s="36"/>
      <c r="Q9" s="36"/>
      <c r="R9" s="29"/>
      <c r="S9" s="29"/>
      <c r="T9" s="29"/>
      <c r="U9" s="147"/>
      <c r="V9" s="16"/>
      <c r="W9" s="36"/>
      <c r="X9" s="29"/>
    </row>
    <row r="10" spans="2:27" ht="15" customHeight="1" x14ac:dyDescent="0.3">
      <c r="B10" s="11">
        <v>2</v>
      </c>
      <c r="C10" s="151"/>
      <c r="D10" s="181"/>
      <c r="E10" s="117"/>
      <c r="F10" s="45">
        <v>0</v>
      </c>
      <c r="G10" s="52">
        <v>0</v>
      </c>
      <c r="H10" s="45">
        <f t="shared" si="0"/>
        <v>0</v>
      </c>
      <c r="I10" s="36"/>
      <c r="J10" s="29"/>
      <c r="K10" s="29"/>
      <c r="L10" s="145"/>
      <c r="M10" s="146"/>
      <c r="N10" s="29"/>
      <c r="O10" s="29"/>
      <c r="P10" s="36"/>
      <c r="Q10" s="36"/>
      <c r="R10" s="29"/>
      <c r="S10" s="29"/>
      <c r="T10" s="29"/>
      <c r="U10" s="147"/>
      <c r="V10" s="16"/>
      <c r="W10" s="36"/>
      <c r="X10" s="29"/>
    </row>
    <row r="11" spans="2:27" ht="15" customHeight="1" x14ac:dyDescent="0.3">
      <c r="B11" s="11">
        <v>3</v>
      </c>
      <c r="C11" s="151"/>
      <c r="D11" s="180"/>
      <c r="E11" s="117"/>
      <c r="F11" s="45">
        <v>0</v>
      </c>
      <c r="G11" s="52">
        <v>0</v>
      </c>
      <c r="H11" s="45">
        <f t="shared" si="0"/>
        <v>0</v>
      </c>
      <c r="I11" s="36"/>
      <c r="J11" s="29"/>
      <c r="K11" s="29"/>
      <c r="L11" s="145"/>
      <c r="M11" s="146"/>
      <c r="N11" s="29"/>
      <c r="O11" s="29"/>
      <c r="P11" s="36"/>
      <c r="Q11" s="36"/>
      <c r="R11" s="29"/>
      <c r="S11" s="29"/>
      <c r="T11" s="29"/>
      <c r="U11" s="147"/>
      <c r="V11" s="16"/>
      <c r="W11" s="36"/>
      <c r="X11" s="29"/>
    </row>
    <row r="12" spans="2:27" x14ac:dyDescent="0.3">
      <c r="B12" s="11">
        <v>4</v>
      </c>
      <c r="C12" s="151"/>
      <c r="D12" s="84"/>
      <c r="E12" s="117"/>
      <c r="F12" s="45">
        <v>0</v>
      </c>
      <c r="G12" s="52">
        <v>0</v>
      </c>
      <c r="H12" s="45">
        <f t="shared" si="0"/>
        <v>0</v>
      </c>
      <c r="I12" s="36"/>
      <c r="J12" s="29"/>
      <c r="K12" s="29"/>
      <c r="L12" s="145"/>
      <c r="M12" s="146"/>
      <c r="N12" s="29"/>
      <c r="O12" s="29"/>
      <c r="P12" s="36"/>
      <c r="Q12" s="36"/>
      <c r="R12" s="29"/>
      <c r="S12" s="29"/>
      <c r="T12" s="29"/>
      <c r="U12" s="147"/>
      <c r="V12" s="16"/>
      <c r="W12" s="36"/>
      <c r="X12" s="36"/>
    </row>
    <row r="13" spans="2:27" ht="15" customHeight="1" x14ac:dyDescent="0.3">
      <c r="B13" s="11">
        <v>5</v>
      </c>
      <c r="C13" s="151"/>
      <c r="D13" s="84"/>
      <c r="E13" s="117"/>
      <c r="F13" s="45">
        <v>0</v>
      </c>
      <c r="G13" s="52">
        <v>0</v>
      </c>
      <c r="H13" s="45">
        <f t="shared" si="0"/>
        <v>0</v>
      </c>
      <c r="I13" s="36"/>
      <c r="J13" s="29"/>
      <c r="K13" s="29"/>
      <c r="L13" s="145"/>
      <c r="M13" s="146"/>
      <c r="N13" s="29"/>
      <c r="O13" s="29"/>
      <c r="P13" s="36"/>
      <c r="Q13" s="36"/>
      <c r="R13" s="29"/>
      <c r="S13" s="29"/>
      <c r="T13" s="29"/>
      <c r="U13" s="147"/>
      <c r="V13" s="16"/>
      <c r="W13" s="36"/>
      <c r="X13" s="36"/>
    </row>
    <row r="14" spans="2:27" x14ac:dyDescent="0.3">
      <c r="B14" s="11">
        <v>6</v>
      </c>
      <c r="C14" s="151"/>
      <c r="D14" s="82"/>
      <c r="E14" s="117"/>
      <c r="F14" s="45">
        <v>0</v>
      </c>
      <c r="G14" s="52">
        <v>0</v>
      </c>
      <c r="H14" s="45">
        <f t="shared" si="0"/>
        <v>0</v>
      </c>
      <c r="I14" s="36"/>
      <c r="J14" s="29"/>
      <c r="K14" s="29"/>
      <c r="L14" s="145"/>
      <c r="M14" s="146"/>
      <c r="N14" s="29"/>
      <c r="O14" s="29"/>
      <c r="P14" s="36"/>
      <c r="Q14" s="36"/>
      <c r="R14" s="29"/>
      <c r="S14" s="29"/>
      <c r="T14" s="29"/>
      <c r="U14" s="147"/>
      <c r="V14" s="16"/>
      <c r="W14" s="36"/>
      <c r="X14" s="36"/>
    </row>
    <row r="15" spans="2:27" x14ac:dyDescent="0.3">
      <c r="B15" s="11">
        <v>7</v>
      </c>
      <c r="C15" s="151"/>
      <c r="D15" s="82"/>
      <c r="E15" s="117"/>
      <c r="F15" s="45">
        <v>0</v>
      </c>
      <c r="G15" s="52">
        <v>0</v>
      </c>
      <c r="H15" s="45">
        <f t="shared" si="0"/>
        <v>0</v>
      </c>
      <c r="I15" s="36"/>
      <c r="J15" s="29"/>
      <c r="K15" s="29"/>
      <c r="L15" s="145"/>
      <c r="M15" s="146"/>
      <c r="N15" s="29"/>
      <c r="O15" s="29"/>
      <c r="P15" s="36"/>
      <c r="Q15" s="36"/>
      <c r="R15" s="29"/>
      <c r="S15" s="29"/>
      <c r="T15" s="29"/>
      <c r="U15" s="147"/>
      <c r="V15" s="16"/>
      <c r="W15" s="36"/>
      <c r="X15" s="36"/>
    </row>
    <row r="16" spans="2:27" ht="15" customHeight="1" x14ac:dyDescent="0.3">
      <c r="B16" s="11">
        <v>8</v>
      </c>
      <c r="C16" s="151"/>
      <c r="D16" s="83"/>
      <c r="E16" s="117"/>
      <c r="F16" s="45">
        <v>0</v>
      </c>
      <c r="G16" s="52">
        <v>0</v>
      </c>
      <c r="H16" s="45">
        <f t="shared" si="0"/>
        <v>0</v>
      </c>
      <c r="I16" s="36"/>
      <c r="J16" s="29"/>
      <c r="K16" s="29"/>
      <c r="L16" s="145"/>
      <c r="M16" s="146"/>
      <c r="N16" s="29"/>
      <c r="O16" s="29"/>
      <c r="P16" s="36"/>
      <c r="Q16" s="36"/>
      <c r="R16" s="29"/>
      <c r="S16" s="29"/>
      <c r="T16" s="29"/>
      <c r="U16" s="147"/>
      <c r="V16" s="16"/>
      <c r="W16" s="36"/>
      <c r="X16" s="36"/>
    </row>
    <row r="17" spans="2:24" x14ac:dyDescent="0.3">
      <c r="B17" s="11">
        <v>9</v>
      </c>
      <c r="C17" s="151"/>
      <c r="D17" s="83"/>
      <c r="E17" s="117"/>
      <c r="F17" s="45">
        <v>0</v>
      </c>
      <c r="G17" s="52">
        <v>0</v>
      </c>
      <c r="H17" s="45">
        <f t="shared" si="0"/>
        <v>0</v>
      </c>
      <c r="I17" s="36"/>
      <c r="J17" s="29"/>
      <c r="K17" s="29"/>
      <c r="L17" s="145"/>
      <c r="M17" s="146"/>
      <c r="N17" s="29"/>
      <c r="O17" s="29"/>
      <c r="P17" s="36"/>
      <c r="Q17" s="36"/>
      <c r="R17" s="29"/>
      <c r="S17" s="29"/>
      <c r="T17" s="29"/>
      <c r="U17" s="147"/>
      <c r="V17" s="16"/>
      <c r="W17" s="36"/>
      <c r="X17" s="36"/>
    </row>
    <row r="18" spans="2:24" x14ac:dyDescent="0.3">
      <c r="B18" s="11">
        <v>10</v>
      </c>
      <c r="C18" s="151"/>
      <c r="D18" s="83"/>
      <c r="E18" s="117"/>
      <c r="F18" s="45">
        <v>0</v>
      </c>
      <c r="G18" s="52">
        <v>0</v>
      </c>
      <c r="H18" s="45">
        <f t="shared" si="0"/>
        <v>0</v>
      </c>
      <c r="I18" s="36"/>
      <c r="J18" s="29"/>
      <c r="K18" s="29"/>
      <c r="L18" s="145"/>
      <c r="M18" s="146"/>
      <c r="N18" s="29"/>
      <c r="O18" s="29"/>
      <c r="P18" s="36"/>
      <c r="Q18" s="36"/>
      <c r="R18" s="29"/>
      <c r="S18" s="29"/>
      <c r="T18" s="71"/>
      <c r="U18" s="147"/>
      <c r="V18" s="16"/>
      <c r="W18" s="36"/>
      <c r="X18" s="36"/>
    </row>
    <row r="19" spans="2:24" ht="15" customHeight="1" x14ac:dyDescent="0.3">
      <c r="B19" s="11">
        <v>11</v>
      </c>
      <c r="C19" s="151"/>
      <c r="D19" s="83"/>
      <c r="E19" s="117"/>
      <c r="F19" s="45">
        <v>0</v>
      </c>
      <c r="G19" s="52">
        <v>0</v>
      </c>
      <c r="H19" s="45">
        <f t="shared" si="0"/>
        <v>0</v>
      </c>
      <c r="I19" s="36"/>
      <c r="J19" s="29"/>
      <c r="K19" s="29"/>
      <c r="L19" s="145"/>
      <c r="M19" s="146"/>
      <c r="N19" s="29"/>
      <c r="O19" s="29"/>
      <c r="P19" s="36"/>
      <c r="Q19" s="36"/>
      <c r="R19" s="29"/>
      <c r="S19" s="29"/>
      <c r="T19" s="71"/>
      <c r="U19" s="147"/>
      <c r="V19" s="16"/>
      <c r="W19" s="36"/>
      <c r="X19" s="36"/>
    </row>
    <row r="20" spans="2:24" ht="15" customHeight="1" x14ac:dyDescent="0.3">
      <c r="B20" s="11">
        <v>12</v>
      </c>
      <c r="C20" s="151"/>
      <c r="D20" s="70"/>
      <c r="E20" s="117"/>
      <c r="F20" s="45">
        <v>0</v>
      </c>
      <c r="G20" s="52">
        <v>0</v>
      </c>
      <c r="H20" s="45">
        <f t="shared" si="0"/>
        <v>0</v>
      </c>
      <c r="I20" s="36"/>
      <c r="J20" s="29"/>
      <c r="K20" s="29"/>
      <c r="L20" s="145"/>
      <c r="M20" s="146"/>
      <c r="N20" s="29"/>
      <c r="O20" s="29"/>
      <c r="P20" s="36"/>
      <c r="Q20" s="36"/>
      <c r="R20" s="29"/>
      <c r="S20" s="29"/>
      <c r="T20" s="71"/>
      <c r="U20" s="147"/>
      <c r="V20" s="16"/>
      <c r="W20" s="36"/>
      <c r="X20" s="36"/>
    </row>
    <row r="21" spans="2:24" ht="15" customHeight="1" x14ac:dyDescent="0.3">
      <c r="B21" s="11">
        <v>13</v>
      </c>
      <c r="C21" s="151"/>
      <c r="D21" s="83"/>
      <c r="E21" s="117"/>
      <c r="F21" s="45">
        <v>0</v>
      </c>
      <c r="G21" s="52">
        <v>0</v>
      </c>
      <c r="H21" s="45">
        <f t="shared" si="0"/>
        <v>0</v>
      </c>
      <c r="I21" s="36"/>
      <c r="J21" s="29"/>
      <c r="K21" s="29"/>
      <c r="L21" s="145"/>
      <c r="M21" s="146"/>
      <c r="N21" s="29"/>
      <c r="O21" s="29"/>
      <c r="P21" s="36"/>
      <c r="Q21" s="36"/>
      <c r="R21" s="29"/>
      <c r="S21" s="29"/>
      <c r="T21" s="71"/>
      <c r="U21" s="147"/>
      <c r="V21" s="16"/>
      <c r="W21" s="36"/>
      <c r="X21" s="36"/>
    </row>
    <row r="22" spans="2:24" ht="15" customHeight="1" x14ac:dyDescent="0.3">
      <c r="B22" s="11">
        <v>14</v>
      </c>
      <c r="C22" s="151"/>
      <c r="D22" s="83"/>
      <c r="E22" s="117"/>
      <c r="F22" s="45">
        <v>0</v>
      </c>
      <c r="G22" s="52">
        <v>0</v>
      </c>
      <c r="H22" s="45">
        <f t="shared" si="0"/>
        <v>0</v>
      </c>
      <c r="I22" s="36"/>
      <c r="J22" s="29"/>
      <c r="K22" s="29"/>
      <c r="L22" s="145"/>
      <c r="M22" s="146"/>
      <c r="N22" s="29"/>
      <c r="O22" s="29"/>
      <c r="P22" s="36"/>
      <c r="Q22" s="36"/>
      <c r="R22" s="29"/>
      <c r="S22" s="29"/>
      <c r="T22" s="71"/>
      <c r="U22" s="147"/>
      <c r="V22" s="16"/>
      <c r="W22" s="36"/>
      <c r="X22" s="36"/>
    </row>
    <row r="23" spans="2:24" ht="15" customHeight="1" x14ac:dyDescent="0.3">
      <c r="B23" s="11">
        <v>15</v>
      </c>
      <c r="C23" s="151"/>
      <c r="D23" s="83"/>
      <c r="E23" s="117"/>
      <c r="F23" s="45">
        <v>0</v>
      </c>
      <c r="G23" s="52">
        <v>0</v>
      </c>
      <c r="H23" s="45">
        <f t="shared" si="0"/>
        <v>0</v>
      </c>
      <c r="I23" s="36"/>
      <c r="J23" s="29"/>
      <c r="K23" s="29"/>
      <c r="L23" s="145"/>
      <c r="M23" s="146"/>
      <c r="N23" s="29"/>
      <c r="O23" s="29"/>
      <c r="P23" s="36"/>
      <c r="Q23" s="36"/>
      <c r="R23" s="29"/>
      <c r="S23" s="29"/>
      <c r="T23" s="71"/>
      <c r="U23" s="147"/>
      <c r="V23" s="16"/>
      <c r="W23" s="36"/>
      <c r="X23" s="36"/>
    </row>
    <row r="24" spans="2:24" ht="15" customHeight="1" x14ac:dyDescent="0.3">
      <c r="B24" s="11">
        <v>16</v>
      </c>
      <c r="C24" s="151"/>
      <c r="D24" s="83"/>
      <c r="E24" s="117"/>
      <c r="F24" s="45">
        <v>0</v>
      </c>
      <c r="G24" s="52">
        <v>0</v>
      </c>
      <c r="H24" s="45">
        <f t="shared" si="0"/>
        <v>0</v>
      </c>
      <c r="I24" s="36"/>
      <c r="J24" s="29"/>
      <c r="K24" s="29"/>
      <c r="L24" s="145"/>
      <c r="M24" s="146"/>
      <c r="N24" s="29"/>
      <c r="O24" s="29"/>
      <c r="P24" s="36"/>
      <c r="Q24" s="36"/>
      <c r="R24" s="29"/>
      <c r="S24" s="29"/>
      <c r="T24" s="71"/>
      <c r="U24" s="147"/>
      <c r="V24" s="16"/>
      <c r="W24" s="36"/>
      <c r="X24" s="36"/>
    </row>
    <row r="25" spans="2:24" ht="15" customHeight="1" x14ac:dyDescent="0.3">
      <c r="B25" s="11">
        <v>17</v>
      </c>
      <c r="C25" s="151"/>
      <c r="D25" s="83"/>
      <c r="E25" s="117"/>
      <c r="F25" s="45">
        <v>0</v>
      </c>
      <c r="G25" s="52">
        <v>0</v>
      </c>
      <c r="H25" s="45">
        <f t="shared" si="0"/>
        <v>0</v>
      </c>
      <c r="I25" s="36"/>
      <c r="J25" s="29"/>
      <c r="K25" s="29"/>
      <c r="L25" s="145"/>
      <c r="M25" s="146"/>
      <c r="N25" s="29"/>
      <c r="O25" s="29"/>
      <c r="P25" s="36"/>
      <c r="Q25" s="36"/>
      <c r="R25" s="29"/>
      <c r="S25" s="29"/>
      <c r="T25" s="71"/>
      <c r="U25" s="147"/>
      <c r="V25" s="16"/>
      <c r="W25" s="36"/>
      <c r="X25" s="36"/>
    </row>
    <row r="26" spans="2:24" ht="15" customHeight="1" x14ac:dyDescent="0.3">
      <c r="B26" s="11">
        <v>18</v>
      </c>
      <c r="C26" s="151"/>
      <c r="D26" s="83"/>
      <c r="E26" s="117"/>
      <c r="F26" s="45">
        <v>0</v>
      </c>
      <c r="G26" s="52">
        <v>0</v>
      </c>
      <c r="H26" s="45">
        <f t="shared" si="0"/>
        <v>0</v>
      </c>
      <c r="I26" s="36"/>
      <c r="J26" s="29"/>
      <c r="K26" s="29"/>
      <c r="L26" s="145"/>
      <c r="M26" s="146"/>
      <c r="N26" s="29"/>
      <c r="O26" s="29"/>
      <c r="P26" s="36"/>
      <c r="Q26" s="36"/>
      <c r="R26" s="29"/>
      <c r="S26" s="29"/>
      <c r="T26" s="71"/>
      <c r="U26" s="147"/>
      <c r="V26" s="16"/>
      <c r="W26" s="36"/>
      <c r="X26" s="36"/>
    </row>
    <row r="27" spans="2:24" ht="15" customHeight="1" x14ac:dyDescent="0.3">
      <c r="B27" s="11">
        <v>19</v>
      </c>
      <c r="C27" s="151"/>
      <c r="D27" s="83"/>
      <c r="E27" s="117"/>
      <c r="F27" s="45">
        <v>0</v>
      </c>
      <c r="G27" s="52">
        <v>0</v>
      </c>
      <c r="H27" s="45">
        <f t="shared" si="0"/>
        <v>0</v>
      </c>
      <c r="I27" s="36"/>
      <c r="J27" s="29"/>
      <c r="K27" s="29"/>
      <c r="L27" s="145"/>
      <c r="M27" s="146"/>
      <c r="N27" s="29"/>
      <c r="O27" s="29"/>
      <c r="P27" s="36"/>
      <c r="Q27" s="36"/>
      <c r="R27" s="29"/>
      <c r="S27" s="29"/>
      <c r="T27" s="71"/>
      <c r="U27" s="147"/>
      <c r="V27" s="16"/>
      <c r="W27" s="36"/>
      <c r="X27" s="36"/>
    </row>
    <row r="28" spans="2:24" ht="15" customHeight="1" x14ac:dyDescent="0.3">
      <c r="B28" s="11">
        <v>20</v>
      </c>
      <c r="C28" s="151"/>
      <c r="D28" s="83"/>
      <c r="E28" s="117"/>
      <c r="F28" s="45">
        <v>0</v>
      </c>
      <c r="G28" s="52">
        <v>0</v>
      </c>
      <c r="H28" s="45">
        <f t="shared" si="0"/>
        <v>0</v>
      </c>
      <c r="I28" s="36"/>
      <c r="J28" s="29"/>
      <c r="K28" s="29"/>
      <c r="L28" s="145"/>
      <c r="M28" s="146"/>
      <c r="N28" s="29"/>
      <c r="O28" s="29"/>
      <c r="P28" s="36"/>
      <c r="Q28" s="36"/>
      <c r="R28" s="29"/>
      <c r="S28" s="29"/>
      <c r="T28" s="71"/>
      <c r="U28" s="147"/>
      <c r="V28" s="16"/>
      <c r="W28" s="36"/>
      <c r="X28" s="36"/>
    </row>
    <row r="29" spans="2:24" x14ac:dyDescent="0.3">
      <c r="B29" s="11"/>
      <c r="C29" s="106"/>
      <c r="D29" s="16"/>
      <c r="E29" s="117"/>
      <c r="F29" s="45">
        <v>0</v>
      </c>
      <c r="G29" s="52">
        <v>0</v>
      </c>
      <c r="H29" s="45">
        <f t="shared" si="0"/>
        <v>0</v>
      </c>
      <c r="I29" s="36"/>
      <c r="J29" s="29"/>
      <c r="K29" s="29"/>
      <c r="L29" s="29"/>
      <c r="M29" s="146"/>
      <c r="N29" s="29"/>
      <c r="O29" s="29"/>
      <c r="P29" s="36"/>
      <c r="Q29" s="36"/>
      <c r="R29" s="29"/>
      <c r="S29" s="29"/>
      <c r="T29" s="29"/>
      <c r="U29" s="147"/>
      <c r="V29" s="16"/>
      <c r="W29" s="36"/>
      <c r="X29" s="36"/>
    </row>
    <row r="30" spans="2:24" x14ac:dyDescent="0.3">
      <c r="C30" s="102"/>
      <c r="D30" s="59"/>
      <c r="E30" s="78"/>
      <c r="F30" s="77">
        <f>SUBTOTAL(9,F9:F29)</f>
        <v>0</v>
      </c>
      <c r="G30" s="49">
        <f>SUBTOTAL(9,G9:G29)</f>
        <v>0</v>
      </c>
      <c r="H30" s="49">
        <f>SUBTOTAL(9,H9:H29)</f>
        <v>0</v>
      </c>
      <c r="I30" s="68"/>
      <c r="J30" s="17"/>
      <c r="K30" s="30">
        <f>SUBTOTAL(2,K9:K29)</f>
        <v>0</v>
      </c>
      <c r="L30" s="19"/>
      <c r="M30" s="18"/>
      <c r="N30" s="19"/>
      <c r="O30" s="19"/>
      <c r="P30" s="34"/>
      <c r="Q30" s="19"/>
      <c r="R30" s="19"/>
      <c r="S30" s="19"/>
      <c r="T30" s="19"/>
      <c r="U30" s="19"/>
      <c r="V30" s="22"/>
      <c r="W30" s="37"/>
      <c r="X30" s="37"/>
    </row>
    <row r="31" spans="2:24" x14ac:dyDescent="0.3">
      <c r="F31" s="50"/>
      <c r="G31" s="50"/>
      <c r="H31" s="50"/>
    </row>
    <row r="32" spans="2:24" x14ac:dyDescent="0.3">
      <c r="F32" s="50"/>
      <c r="G32" s="50"/>
      <c r="H32" s="50"/>
    </row>
    <row r="33" spans="3:22" ht="15.75" customHeight="1" thickBot="1" x14ac:dyDescent="0.35">
      <c r="C33" s="103"/>
      <c r="D33" s="20"/>
      <c r="E33" s="28"/>
      <c r="F33" s="72">
        <f>SUM(F9:F29)</f>
        <v>0</v>
      </c>
      <c r="G33" s="72">
        <f>SUM(G9:G29)</f>
        <v>0</v>
      </c>
      <c r="H33" s="72">
        <f>SUM(H9:H29)</f>
        <v>0</v>
      </c>
      <c r="I33" s="73"/>
      <c r="J33" s="14"/>
      <c r="L33" s="14"/>
      <c r="M33" s="14"/>
      <c r="N33" s="14"/>
      <c r="O33" s="14"/>
      <c r="P33" s="35"/>
      <c r="Q33" s="14"/>
      <c r="R33" s="14"/>
      <c r="S33" s="14"/>
      <c r="T33" s="14"/>
      <c r="U33" s="14"/>
      <c r="V33" s="3"/>
    </row>
    <row r="34" spans="3:22" ht="15.75" customHeight="1" thickTop="1" x14ac:dyDescent="0.3">
      <c r="M34" s="14"/>
    </row>
    <row r="37" spans="3:22" x14ac:dyDescent="0.3">
      <c r="D37" s="403" t="s">
        <v>55</v>
      </c>
      <c r="E37" s="404"/>
      <c r="F37" s="405"/>
      <c r="G37" s="8"/>
      <c r="J37" s="403" t="s">
        <v>56</v>
      </c>
      <c r="K37" s="404"/>
      <c r="L37" s="405"/>
    </row>
    <row r="38" spans="3:22" x14ac:dyDescent="0.3">
      <c r="D38" s="16" t="s">
        <v>57</v>
      </c>
      <c r="E38" s="90" t="s">
        <v>58</v>
      </c>
      <c r="F38" s="91" t="s">
        <v>59</v>
      </c>
      <c r="G38" s="89"/>
      <c r="J38" s="16" t="s">
        <v>57</v>
      </c>
      <c r="K38" s="90" t="s">
        <v>58</v>
      </c>
      <c r="L38" s="91" t="s">
        <v>59</v>
      </c>
    </row>
    <row r="39" spans="3:22" x14ac:dyDescent="0.3">
      <c r="D39" s="92">
        <f>SUMIF($V$9:$V$29,D$38,$H$9:$H$29)</f>
        <v>0</v>
      </c>
      <c r="E39" s="92">
        <f>SUMIF($V$9:$V$29,E$38,$H$9:$H$29)</f>
        <v>0</v>
      </c>
      <c r="F39" s="92">
        <f>SUMIF($V$9:$V$29,F$38,$H$9:$H$29)</f>
        <v>0</v>
      </c>
      <c r="G39" s="93">
        <f>SUM(D39:F39)</f>
        <v>0</v>
      </c>
      <c r="J39" s="92">
        <f>SUMIF($V$9:$V$27,J$38,$G$9:$G$27)</f>
        <v>0</v>
      </c>
      <c r="K39" s="92">
        <f>SUMIF($V$9:$V$27,K$38,$G$9:$G$27)</f>
        <v>0</v>
      </c>
      <c r="L39" s="92">
        <f>SUMIF($V$9:$V$27,L$38,$G$9:$G$27)</f>
        <v>0</v>
      </c>
      <c r="M39" s="115">
        <f>SUM(J39:L39)</f>
        <v>0</v>
      </c>
    </row>
    <row r="40" spans="3:22" x14ac:dyDescent="0.3">
      <c r="G40" s="95">
        <f>H33-G39</f>
        <v>0</v>
      </c>
      <c r="J40" s="32"/>
      <c r="L40" s="142"/>
      <c r="M40" s="95">
        <f>G33-M39</f>
        <v>0</v>
      </c>
    </row>
    <row r="41" spans="3:22" x14ac:dyDescent="0.3">
      <c r="D41" s="46"/>
      <c r="E41" s="46"/>
      <c r="G41" s="66"/>
    </row>
    <row r="42" spans="3:22" x14ac:dyDescent="0.3">
      <c r="G42" s="119" t="s">
        <v>60</v>
      </c>
      <c r="H42" s="46">
        <f>F39</f>
        <v>0</v>
      </c>
      <c r="I42" s="46"/>
      <c r="J42" s="116"/>
    </row>
    <row r="43" spans="3:22" ht="15.75" customHeight="1" thickBot="1" x14ac:dyDescent="0.35">
      <c r="G43" s="120" t="s">
        <v>61</v>
      </c>
      <c r="H43" s="97">
        <f>D39+E39+J39+K39+L39</f>
        <v>0</v>
      </c>
      <c r="I43" s="46"/>
      <c r="J43" s="116"/>
    </row>
    <row r="44" spans="3:22" ht="15.75" customHeight="1" thickTop="1" x14ac:dyDescent="0.3">
      <c r="G44" s="119" t="s">
        <v>62</v>
      </c>
      <c r="H44" s="46">
        <f>SUM(H42:H43)</f>
        <v>0</v>
      </c>
      <c r="I44" s="46"/>
      <c r="J44" s="116"/>
    </row>
    <row r="45" spans="3:22" x14ac:dyDescent="0.3">
      <c r="H45" s="95">
        <f>F33-H44</f>
        <v>0</v>
      </c>
      <c r="I45" s="46"/>
    </row>
    <row r="46" spans="3:22" x14ac:dyDescent="0.3">
      <c r="H46" s="95"/>
      <c r="I46" s="46"/>
    </row>
    <row r="48" spans="3:22" x14ac:dyDescent="0.3">
      <c r="G48" s="162" t="s">
        <v>212</v>
      </c>
      <c r="H48" s="162" t="s">
        <v>32</v>
      </c>
      <c r="I48" s="211" t="s">
        <v>84</v>
      </c>
      <c r="J48" s="39" t="s">
        <v>6</v>
      </c>
    </row>
    <row r="49" spans="7:10" x14ac:dyDescent="0.3">
      <c r="G49" s="46" t="s">
        <v>248</v>
      </c>
      <c r="H49" s="46">
        <f>SUMIF($J$9:$J$29,G49,$F$9:$F$29)</f>
        <v>0</v>
      </c>
      <c r="I49" s="212">
        <f>SUMIFS($H$9:$H$29,$J$9:$J$29,G49,$V$9:$V$29,"YES")</f>
        <v>0</v>
      </c>
      <c r="J49" s="139">
        <f>H49-I49</f>
        <v>0</v>
      </c>
    </row>
    <row r="50" spans="7:10" x14ac:dyDescent="0.3">
      <c r="G50" s="46" t="s">
        <v>249</v>
      </c>
      <c r="H50" s="46">
        <f>SUMIF($J$9:$J$29,G50,$F$9:$F$29)</f>
        <v>0</v>
      </c>
      <c r="I50" s="212">
        <f>SUMIFS($H$9:$H$29,$J$9:$J$29,G50,$V$9:$V$29,"YES")</f>
        <v>0</v>
      </c>
      <c r="J50" s="139">
        <f>H50-I50</f>
        <v>0</v>
      </c>
    </row>
    <row r="51" spans="7:10" ht="15.75" customHeight="1" thickBot="1" x14ac:dyDescent="0.35">
      <c r="G51" s="97" t="s">
        <v>250</v>
      </c>
      <c r="H51" s="97">
        <f>SUMIF($J$9:$J$29,G51,$F$9:$F$29)</f>
        <v>0</v>
      </c>
      <c r="I51" s="213">
        <f>SUMIFS($H$9:$H$29,$J$9:$J$29,G51,$V$9:$V$29,"YES")</f>
        <v>0</v>
      </c>
      <c r="J51" s="214">
        <f>H51-I51</f>
        <v>0</v>
      </c>
    </row>
    <row r="52" spans="7:10" ht="15.75" customHeight="1" thickTop="1" x14ac:dyDescent="0.3">
      <c r="H52" s="46">
        <f>SUM(H49:H51)</f>
        <v>0</v>
      </c>
      <c r="I52" s="215">
        <f>SUM(I49:I51)</f>
        <v>0</v>
      </c>
      <c r="J52" s="46">
        <f>SUM(J49:J51)</f>
        <v>0</v>
      </c>
    </row>
    <row r="53" spans="7:10" x14ac:dyDescent="0.3">
      <c r="H53" s="94">
        <f>H52-H44</f>
        <v>0</v>
      </c>
      <c r="I53" s="94">
        <f>I52-H42</f>
        <v>0</v>
      </c>
      <c r="J53" s="94">
        <f>J52-H43</f>
        <v>0</v>
      </c>
    </row>
  </sheetData>
  <autoFilter ref="B8:X29" xr:uid="{00000000-0009-0000-0000-00000B000000}"/>
  <mergeCells count="3">
    <mergeCell ref="D37:F37"/>
    <mergeCell ref="B1:Z1"/>
    <mergeCell ref="J37:L37"/>
  </mergeCells>
  <conditionalFormatting sqref="D38">
    <cfRule type="cellIs" dxfId="13" priority="11" operator="equal">
      <formula>"NO-OOS"</formula>
    </cfRule>
    <cfRule type="cellIs" dxfId="12" priority="12" operator="equal">
      <formula>"NO-CO"</formula>
    </cfRule>
    <cfRule type="cellIs" dxfId="11" priority="13" operator="equal">
      <formula>"YES"</formula>
    </cfRule>
    <cfRule type="cellIs" dxfId="10" priority="14" operator="equal">
      <formula>"NO"</formula>
    </cfRule>
  </conditionalFormatting>
  <conditionalFormatting sqref="J38">
    <cfRule type="cellIs" dxfId="9" priority="7" operator="equal">
      <formula>"NO-OOS"</formula>
    </cfRule>
    <cfRule type="cellIs" dxfId="8" priority="8" operator="equal">
      <formula>"NO-CO"</formula>
    </cfRule>
    <cfRule type="cellIs" dxfId="7" priority="9" operator="equal">
      <formula>"YES"</formula>
    </cfRule>
    <cfRule type="cellIs" dxfId="6" priority="10" operator="equal">
      <formula>"NO"</formula>
    </cfRule>
  </conditionalFormatting>
  <conditionalFormatting sqref="M9:M29">
    <cfRule type="cellIs" dxfId="5" priority="4" operator="equal">
      <formula>"N/A"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V9:V29">
    <cfRule type="cellIs" dxfId="2" priority="1" operator="equal">
      <formula>"NO-OOS"</formula>
    </cfRule>
    <cfRule type="cellIs" dxfId="1" priority="2" operator="equal">
      <formula>"NO-TX"</formula>
    </cfRule>
    <cfRule type="cellIs" dxfId="0" priority="3" operator="equal">
      <formula>"YES"</formula>
    </cfRule>
  </conditionalFormatting>
  <hyperlinks>
    <hyperlink ref="F33" location="'Comm Summary'!A1" display="'Comm Summary'!A1" xr:uid="{00000000-0004-0000-0B00-000000000000}"/>
  </hyperlinks>
  <pageMargins left="0.45" right="0.45" top="0.75" bottom="0.75" header="0.3" footer="0.3"/>
  <pageSetup scale="2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AB12"/>
  <sheetViews>
    <sheetView workbookViewId="0">
      <selection activeCell="H3" sqref="H3"/>
    </sheetView>
  </sheetViews>
  <sheetFormatPr defaultRowHeight="14.4" x14ac:dyDescent="0.3"/>
  <cols>
    <col min="1" max="1" width="16" bestFit="1" customWidth="1"/>
    <col min="4" max="4" width="11.88671875" customWidth="1"/>
    <col min="7" max="7" width="20.33203125" customWidth="1"/>
    <col min="8" max="8" width="27.5546875" bestFit="1" customWidth="1"/>
    <col min="9" max="9" width="27.5546875" style="8" customWidth="1"/>
    <col min="22" max="22" width="28.6640625" bestFit="1" customWidth="1"/>
    <col min="28" max="28" width="16.6640625" customWidth="1"/>
  </cols>
  <sheetData>
    <row r="1" spans="1:28" s="21" customFormat="1" x14ac:dyDescent="0.3">
      <c r="A1" s="21" t="s">
        <v>264</v>
      </c>
      <c r="B1" s="21" t="s">
        <v>265</v>
      </c>
      <c r="C1" s="21" t="s">
        <v>266</v>
      </c>
      <c r="D1" s="21" t="s">
        <v>267</v>
      </c>
      <c r="E1" s="21" t="s">
        <v>268</v>
      </c>
      <c r="F1" s="21" t="s">
        <v>216</v>
      </c>
      <c r="G1" s="21" t="s">
        <v>269</v>
      </c>
      <c r="H1" s="21" t="s">
        <v>39</v>
      </c>
      <c r="I1" s="39" t="s">
        <v>226</v>
      </c>
      <c r="AB1" s="39" t="s">
        <v>270</v>
      </c>
    </row>
    <row r="2" spans="1:28" x14ac:dyDescent="0.3">
      <c r="A2" t="s">
        <v>248</v>
      </c>
      <c r="B2" t="s">
        <v>271</v>
      </c>
      <c r="C2" t="s">
        <v>59</v>
      </c>
      <c r="D2" t="s">
        <v>59</v>
      </c>
      <c r="E2" t="s">
        <v>59</v>
      </c>
      <c r="F2" t="s">
        <v>272</v>
      </c>
      <c r="G2" t="s">
        <v>273</v>
      </c>
      <c r="H2" s="32" t="s">
        <v>274</v>
      </c>
      <c r="I2" s="8" t="s">
        <v>275</v>
      </c>
      <c r="V2" s="8" t="s">
        <v>59</v>
      </c>
      <c r="AB2" s="8" t="s">
        <v>276</v>
      </c>
    </row>
    <row r="3" spans="1:28" x14ac:dyDescent="0.3">
      <c r="A3" t="s">
        <v>277</v>
      </c>
      <c r="B3" t="s">
        <v>278</v>
      </c>
      <c r="C3" t="s">
        <v>279</v>
      </c>
      <c r="D3" t="s">
        <v>279</v>
      </c>
      <c r="E3" t="s">
        <v>58</v>
      </c>
      <c r="F3" t="s">
        <v>280</v>
      </c>
      <c r="G3" t="s">
        <v>281</v>
      </c>
      <c r="H3">
        <f>Overview!C13</f>
        <v>0</v>
      </c>
      <c r="I3" s="8" t="s">
        <v>282</v>
      </c>
      <c r="V3" s="8" t="s">
        <v>279</v>
      </c>
      <c r="AB3" s="8" t="s">
        <v>283</v>
      </c>
    </row>
    <row r="4" spans="1:28" x14ac:dyDescent="0.3">
      <c r="A4" t="s">
        <v>249</v>
      </c>
      <c r="B4" t="s">
        <v>271</v>
      </c>
      <c r="C4" t="s">
        <v>284</v>
      </c>
      <c r="D4" t="s">
        <v>285</v>
      </c>
      <c r="E4" t="s">
        <v>57</v>
      </c>
      <c r="F4" t="s">
        <v>286</v>
      </c>
      <c r="G4" t="s">
        <v>287</v>
      </c>
      <c r="H4" s="32">
        <f>Overview!C16</f>
        <v>0</v>
      </c>
      <c r="I4" s="8" t="s">
        <v>288</v>
      </c>
      <c r="V4" s="8" t="s">
        <v>289</v>
      </c>
      <c r="AB4" s="8" t="s">
        <v>290</v>
      </c>
    </row>
    <row r="5" spans="1:28" x14ac:dyDescent="0.3">
      <c r="A5" t="s">
        <v>93</v>
      </c>
      <c r="D5" t="s">
        <v>291</v>
      </c>
      <c r="F5" t="s">
        <v>103</v>
      </c>
      <c r="G5" t="s">
        <v>292</v>
      </c>
      <c r="H5" s="32">
        <f>Overview!C17</f>
        <v>0</v>
      </c>
      <c r="I5" s="8">
        <v>0</v>
      </c>
      <c r="V5" s="8" t="s">
        <v>293</v>
      </c>
      <c r="AB5" s="8" t="s">
        <v>294</v>
      </c>
    </row>
    <row r="6" spans="1:28" x14ac:dyDescent="0.3">
      <c r="A6" t="s">
        <v>295</v>
      </c>
      <c r="H6" s="32">
        <f>Overview!C18</f>
        <v>0</v>
      </c>
      <c r="AB6" s="8" t="s">
        <v>296</v>
      </c>
    </row>
    <row r="7" spans="1:28" x14ac:dyDescent="0.3">
      <c r="A7" t="s">
        <v>297</v>
      </c>
      <c r="H7" s="32">
        <f>Overview!C19</f>
        <v>0</v>
      </c>
      <c r="AB7" s="8" t="s">
        <v>298</v>
      </c>
    </row>
    <row r="8" spans="1:28" x14ac:dyDescent="0.3">
      <c r="A8" t="s">
        <v>299</v>
      </c>
      <c r="H8" s="32">
        <f>Overview!C20</f>
        <v>0</v>
      </c>
      <c r="AB8" s="8" t="s">
        <v>300</v>
      </c>
    </row>
    <row r="9" spans="1:28" x14ac:dyDescent="0.3">
      <c r="A9" t="s">
        <v>250</v>
      </c>
      <c r="H9" s="32">
        <f>Overview!C21</f>
        <v>0</v>
      </c>
    </row>
    <row r="10" spans="1:28" x14ac:dyDescent="0.3">
      <c r="H10" s="32">
        <f>Overview!C22</f>
        <v>0</v>
      </c>
    </row>
    <row r="11" spans="1:28" x14ac:dyDescent="0.3">
      <c r="H11" s="32">
        <f>Overview!C23</f>
        <v>0</v>
      </c>
    </row>
    <row r="12" spans="1:28" x14ac:dyDescent="0.3">
      <c r="H12" s="3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A511723502843AC0584E68EC60535" ma:contentTypeVersion="11" ma:contentTypeDescription="Create a new document." ma:contentTypeScope="" ma:versionID="fbd80a4f17478eeb58df59f7f6ca8f1e">
  <xsd:schema xmlns:xsd="http://www.w3.org/2001/XMLSchema" xmlns:xs="http://www.w3.org/2001/XMLSchema" xmlns:p="http://schemas.microsoft.com/office/2006/metadata/properties" xmlns:ns2="f4e7d37e-1dcc-4436-a729-076bff741eab" xmlns:ns3="7ff3518b-2e3d-4dfb-a834-48e552d5b5bf" targetNamespace="http://schemas.microsoft.com/office/2006/metadata/properties" ma:root="true" ma:fieldsID="88c3fc8cee6a1370bae988e1d6c9e850" ns2:_="" ns3:_="">
    <xsd:import namespace="f4e7d37e-1dcc-4436-a729-076bff741eab"/>
    <xsd:import namespace="7ff3518b-2e3d-4dfb-a834-48e552d5b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7d37e-1dcc-4436-a729-076bff741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e8b6ea-d13c-4d71-97d6-b0474eec2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518b-2e3d-4dfb-a834-48e552d5b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8a67d3-72a2-4d67-a918-656f717b250f}" ma:internalName="TaxCatchAll" ma:showField="CatchAllData" ma:web="7ff3518b-2e3d-4dfb-a834-48e552d5b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e7d37e-1dcc-4436-a729-076bff741eab">
      <Terms xmlns="http://schemas.microsoft.com/office/infopath/2007/PartnerControls"/>
    </lcf76f155ced4ddcb4097134ff3c332f>
    <TaxCatchAll xmlns="7ff3518b-2e3d-4dfb-a834-48e552d5b5bf" xsi:nil="true"/>
  </documentManagement>
</p:properties>
</file>

<file path=customXml/itemProps1.xml><?xml version="1.0" encoding="utf-8"?>
<ds:datastoreItem xmlns:ds="http://schemas.openxmlformats.org/officeDocument/2006/customXml" ds:itemID="{7896FE09-375C-4B80-B12E-A86A22AFA9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00FA9-B915-4F5E-9F2F-389D7B15AA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7d37e-1dcc-4436-a729-076bff741eab"/>
    <ds:schemaRef ds:uri="7ff3518b-2e3d-4dfb-a834-48e552d5b5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B44F4C-5208-463C-B02B-93FE2A2E7C51}">
  <ds:schemaRefs>
    <ds:schemaRef ds:uri="http://schemas.microsoft.com/office/2006/metadata/properties"/>
    <ds:schemaRef ds:uri="http://schemas.microsoft.com/office/infopath/2007/PartnerControls"/>
    <ds:schemaRef ds:uri="f4e7d37e-1dcc-4436-a729-076bff741eab"/>
    <ds:schemaRef ds:uri="7ff3518b-2e3d-4dfb-a834-48e552d5b5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Checklist</vt:lpstr>
      <vt:lpstr>Locations</vt:lpstr>
      <vt:lpstr>Cast &amp; Crew List</vt:lpstr>
      <vt:lpstr>Crew Payroll</vt:lpstr>
      <vt:lpstr>Crew - Indepen. Contractors</vt:lpstr>
      <vt:lpstr>Talent Payroll</vt:lpstr>
      <vt:lpstr>Talent - Indep. Contract</vt:lpstr>
      <vt:lpstr>AP (POs + Reimbursement)</vt:lpstr>
      <vt:lpstr>Petty Cash</vt:lpstr>
      <vt:lpstr>Agency Vendor Exps</vt:lpstr>
      <vt:lpstr>Post Production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Dankova</dc:creator>
  <cp:lastModifiedBy>Steven Ward</cp:lastModifiedBy>
  <dcterms:created xsi:type="dcterms:W3CDTF">2013-07-17T19:19:18Z</dcterms:created>
  <dcterms:modified xsi:type="dcterms:W3CDTF">2026-09-25T22:00:23Z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0x010100504A511723502843AC0584E68EC60535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GUID">
    <vt:lpwstr>0d493ac3-61b0-4197-ba83-137a2f7459b8</vt:lpwstr>
  </property>
  <property fmtid="{D5CDD505-2E9C-101B-9397-08002B2CF9AE}" pid="10" name="xd_Signature">
    <vt:bool>false</vt:bool>
  </property>
  <property fmtid="{D5CDD505-2E9C-101B-9397-08002B2CF9AE}" pid="11" name="lcf76f155ced4ddcb4097134ff3c332f">
    <vt:lpwstr/>
  </property>
  <property fmtid="{D5CDD505-2E9C-101B-9397-08002B2CF9AE}" pid="12" name="TaxCatchAll">
    <vt:lpwstr/>
  </property>
</Properties>
</file>