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856" yWindow="12852" windowWidth="23256" windowHeight="13896" tabRatio="851" firstSheet="0" activeTab="4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Locations" sheetId="3" state="visible" r:id="rId3"/>
    <sheet xmlns:r="http://schemas.openxmlformats.org/officeDocument/2006/relationships" name="Cast &amp; Crew List" sheetId="4" state="visible" r:id="rId4"/>
    <sheet xmlns:r="http://schemas.openxmlformats.org/officeDocument/2006/relationships" name="Crew Payroll" sheetId="5" state="visible" r:id="rId5"/>
    <sheet xmlns:r="http://schemas.openxmlformats.org/officeDocument/2006/relationships" name="Crew - Indepen. Contractors" sheetId="6" state="visible" r:id="rId6"/>
    <sheet xmlns:r="http://schemas.openxmlformats.org/officeDocument/2006/relationships" name="Talent Payroll" sheetId="7" state="visible" r:id="rId7"/>
    <sheet xmlns:r="http://schemas.openxmlformats.org/officeDocument/2006/relationships" name="Talent - Indep. Contract" sheetId="8" state="visible" r:id="rId8"/>
    <sheet xmlns:r="http://schemas.openxmlformats.org/officeDocument/2006/relationships" name="AP (POs + Reimbursement)" sheetId="9" state="visible" r:id="rId9"/>
    <sheet xmlns:r="http://schemas.openxmlformats.org/officeDocument/2006/relationships" name="Petty Cash" sheetId="10" state="visible" r:id="rId10"/>
    <sheet xmlns:r="http://schemas.openxmlformats.org/officeDocument/2006/relationships" name="Agency Vendor Exps" sheetId="11" state="visible" r:id="rId11"/>
    <sheet xmlns:r="http://schemas.openxmlformats.org/officeDocument/2006/relationships" name="Post Production" sheetId="12" state="visible" r:id="rId12"/>
    <sheet xmlns:r="http://schemas.openxmlformats.org/officeDocument/2006/relationships" name="Legend" sheetId="13" state="visible" r:id="rId13"/>
  </sheets>
  <definedNames>
    <definedName name="OLE_LINK1">#REF!</definedName>
    <definedName name="Z_064F1E00_4E44_40D8_9D84_C13C3FC17883_.wvu.Cols" localSheetId="4" hidden="1">'Crew Payroll'!#REF!</definedName>
    <definedName name="Z_064F1E00_4E44_40D8_9D84_C13C3FC17883_.wvu.FilterData" localSheetId="4" hidden="1">'Crew Payroll'!$B$8:$AO$56</definedName>
    <definedName name="Z_14C8854E_48EC_4FF0_8495_678A66A79974_.wvu.Cols" localSheetId="4" hidden="1">'Crew Payroll'!#REF!</definedName>
    <definedName name="Z_14C8854E_48EC_4FF0_8495_678A66A79974_.wvu.FilterData" localSheetId="4" hidden="1">'Crew Payroll'!$B$8:$AO$56</definedName>
    <definedName name="Z_064F1E00_4E44_40D8_9D84_C13C3FC17883_.wvu.FilterData" localSheetId="5" hidden="1">'Crew - Indepen. Contractors'!$B$8:$AB$34</definedName>
    <definedName name="Z_14C8854E_48EC_4FF0_8495_678A66A79974_.wvu.FilterData" localSheetId="5" hidden="1">'Crew - Indepen. Contractors'!$B$8:$AB$34</definedName>
    <definedName name="Z_064F1E00_4E44_40D8_9D84_C13C3FC17883_.wvu.FilterData" localSheetId="6" hidden="1">'Talent Payroll'!$B$8:$AG$39</definedName>
    <definedName name="Z_14C8854E_48EC_4FF0_8495_678A66A79974_.wvu.FilterData" localSheetId="6" hidden="1">'Talent Payroll'!$B$8:$AG$39</definedName>
    <definedName name="_xlnm._FilterDatabase" localSheetId="6" hidden="1">'Talent Payroll'!$B$8:$AG$41</definedName>
    <definedName name="Z_064F1E00_4E44_40D8_9D84_C13C3FC17883_.wvu.FilterData" localSheetId="7" hidden="1">'Talent - Indep. Contract'!$B$7:$AB$33</definedName>
    <definedName name="Z_14C8854E_48EC_4FF0_8495_678A66A79974_.wvu.FilterData" localSheetId="7" hidden="1">'Talent - Indep. Contract'!$B$7:$AB$33</definedName>
    <definedName name="_xlnm._FilterDatabase" localSheetId="7" hidden="1">'Talent - Indep. Contract'!$B$7:$AB$38</definedName>
    <definedName name="Z_064F1E00_4E44_40D8_9D84_C13C3FC17883_.wvu.FilterData" localSheetId="8" hidden="1">'AP (POs + Reimbursement)'!$B$8:$W$43</definedName>
    <definedName name="Z_14C8854E_48EC_4FF0_8495_678A66A79974_.wvu.FilterData" localSheetId="8" hidden="1">'AP (POs + Reimbursement)'!$B$8:$W$43</definedName>
    <definedName name="_xlnm._FilterDatabase" localSheetId="8" hidden="1">'AP (POs + Reimbursement)'!$C$6:$W$58</definedName>
    <definedName name="Z_064F1E00_4E44_40D8_9D84_C13C3FC17883_.wvu.Cols" localSheetId="9" hidden="1">'Petty Cash'!#REF!,'Petty Cash'!#REF!</definedName>
    <definedName name="Z_064F1E00_4E44_40D8_9D84_C13C3FC17883_.wvu.FilterData" localSheetId="9" hidden="1">'Petty Cash'!$B$6:$V$106</definedName>
    <definedName name="Z_14C8854E_48EC_4FF0_8495_678A66A79974_.wvu.Cols" localSheetId="9" hidden="1">'Petty Cash'!#REF!,'Petty Cash'!#REF!</definedName>
    <definedName name="Z_14C8854E_48EC_4FF0_8495_678A66A79974_.wvu.FilterData" localSheetId="9" hidden="1">'Petty Cash'!$B$6:$V$106</definedName>
    <definedName name="_xlnm._FilterDatabase" localSheetId="9" hidden="1">'Petty Cash'!$B$6:$V$439</definedName>
    <definedName name="Z_064F1E00_4E44_40D8_9D84_C13C3FC17883_.wvu.FilterData" localSheetId="10" hidden="1">'Agency Vendor Exps'!$B$8:$W$27</definedName>
    <definedName name="Z_14C8854E_48EC_4FF0_8495_678A66A79974_.wvu.FilterData" localSheetId="10" hidden="1">'Agency Vendor Exps'!$B$8:$W$27</definedName>
    <definedName name="_xlnm._FilterDatabase" localSheetId="10" hidden="1">'Agency Vendor Exps'!$B$8:$X$29</definedName>
    <definedName name="Z_064F1E00_4E44_40D8_9D84_C13C3FC17883_.wvu.FilterData" localSheetId="11" hidden="1">'Post Production'!$B$8:$W$27</definedName>
    <definedName name="Z_14C8854E_48EC_4FF0_8495_678A66A79974_.wvu.FilterData" localSheetId="11" hidden="1">'Post Production'!$B$8:$W$27</definedName>
    <definedName name="_xlnm._FilterDatabase" localSheetId="11" hidden="1">'Post Production'!$B$8:$X$29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_(&quot;$&quot;* #,##0.00_);_(&quot;$&quot;* \(#,##0.00\);_(&quot;$&quot;* &quot;-&quot;??_);_(@_)"/>
    <numFmt numFmtId="165" formatCode="&quot;$&quot;#,##0.00_);[Red]\(&quot;$&quot;#,##0.00\)"/>
    <numFmt numFmtId="166" formatCode="[&lt;=9999999]###\-####;\(###\)\ ###\-####"/>
    <numFmt numFmtId="167" formatCode="0000"/>
    <numFmt numFmtId="168" formatCode="m/dd/yy"/>
    <numFmt numFmtId="169" formatCode="m/d/yy;@"/>
    <numFmt numFmtId="170" formatCode="0.000%"/>
    <numFmt numFmtId="171" formatCode="00000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color rgb="FFFF0000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rgb="FF0000FF"/>
      <sz val="11"/>
      <u val="singleAccounting"/>
      <scheme val="minor"/>
    </font>
    <font>
      <name val="Calibri"/>
      <family val="2"/>
      <sz val="8"/>
      <scheme val="minor"/>
    </font>
    <font>
      <name val="Calibri"/>
      <family val="2"/>
      <color theme="1"/>
      <sz val="26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26"/>
      <scheme val="minor"/>
    </font>
  </fonts>
  <fills count="20">
    <fill>
      <patternFill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21" fillId="0" borderId="0"/>
    <xf numFmtId="43" fontId="21" fillId="0" borderId="0"/>
    <xf numFmtId="44" fontId="21" fillId="0" borderId="0"/>
    <xf numFmtId="0" fontId="8" fillId="0" borderId="0"/>
    <xf numFmtId="0" fontId="10" fillId="0" borderId="0"/>
    <xf numFmtId="44" fontId="10" fillId="0" borderId="0"/>
    <xf numFmtId="9" fontId="21" fillId="0" borderId="0"/>
    <xf numFmtId="44" fontId="10" fillId="0" borderId="0"/>
    <xf numFmtId="0" fontId="8" fillId="0" borderId="0"/>
    <xf numFmtId="43" fontId="21" fillId="0" borderId="0"/>
    <xf numFmtId="0" fontId="21" fillId="0" borderId="0"/>
  </cellStyleXfs>
  <cellXfs count="572">
    <xf numFmtId="0" fontId="0" fillId="0" borderId="0" pivotButton="0" quotePrefix="0" xfId="0"/>
    <xf numFmtId="0" fontId="0" fillId="0" borderId="1" pivotButton="0" quotePrefix="0" xfId="0"/>
    <xf numFmtId="164" fontId="1" fillId="0" borderId="1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1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1" fillId="2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1" fontId="0" fillId="0" borderId="1" applyAlignment="1" pivotButton="0" quotePrefix="0" xfId="1">
      <alignment horizontal="center"/>
    </xf>
    <xf numFmtId="164" fontId="1" fillId="0" borderId="3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165" fontId="1" fillId="0" borderId="0" applyAlignment="1" pivotButton="0" quotePrefix="0" xfId="0">
      <alignment horizontal="right"/>
    </xf>
    <xf numFmtId="0" fontId="1" fillId="0" borderId="6" pivotButton="0" quotePrefix="0" xfId="0"/>
    <xf numFmtId="164" fontId="1" fillId="0" borderId="4" pivotButton="0" quotePrefix="0" xfId="0"/>
    <xf numFmtId="0" fontId="8" fillId="0" borderId="0" applyAlignment="1" pivotButton="0" quotePrefix="0" xfId="3">
      <alignment horizontal="left"/>
    </xf>
    <xf numFmtId="164" fontId="8" fillId="0" borderId="5" pivotButton="0" quotePrefix="0" xfId="3"/>
    <xf numFmtId="14" fontId="5" fillId="0" borderId="0" applyAlignment="1" pivotButton="0" quotePrefix="0" xfId="0">
      <alignment horizontal="center"/>
    </xf>
    <xf numFmtId="14" fontId="1" fillId="2" borderId="1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" fontId="5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164" fontId="1" fillId="0" borderId="4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1" fillId="0" borderId="4" applyAlignment="1" pivotButton="0" quotePrefix="0" xfId="0">
      <alignment horizontal="left"/>
    </xf>
    <xf numFmtId="164" fontId="1" fillId="0" borderId="0" pivotButton="0" quotePrefix="0" xfId="0"/>
    <xf numFmtId="0" fontId="1" fillId="0" borderId="6" applyAlignment="1" pivotButton="0" quotePrefix="0" xfId="0">
      <alignment horizontal="center"/>
    </xf>
    <xf numFmtId="166" fontId="0" fillId="0" borderId="1" applyAlignment="1" pivotButton="0" quotePrefix="0" xfId="0">
      <alignment horizontal="left"/>
    </xf>
    <xf numFmtId="14" fontId="0" fillId="0" borderId="0" applyAlignment="1" pivotButton="0" quotePrefix="0" xfId="1">
      <alignment horizontal="center"/>
    </xf>
    <xf numFmtId="164" fontId="0" fillId="0" borderId="0" pivotButton="0" quotePrefix="0" xfId="0"/>
    <xf numFmtId="1" fontId="0" fillId="0" borderId="1" applyAlignment="1" pivotButton="0" quotePrefix="0" xfId="1">
      <alignment horizontal="center"/>
    </xf>
    <xf numFmtId="1" fontId="0" fillId="0" borderId="0" applyAlignment="1" pivotButton="0" quotePrefix="0" xfId="1">
      <alignment horizontal="center"/>
    </xf>
    <xf numFmtId="164" fontId="1" fillId="2" borderId="1" applyAlignment="1" pivotButton="0" quotePrefix="0" xfId="0">
      <alignment horizontal="center"/>
    </xf>
    <xf numFmtId="164" fontId="0" fillId="0" borderId="1" pivotButton="0" quotePrefix="0" xfId="1"/>
    <xf numFmtId="164" fontId="0" fillId="0" borderId="0" pivotButton="0" quotePrefix="0" xfId="1"/>
    <xf numFmtId="164" fontId="0" fillId="0" borderId="0" pivotButton="0" quotePrefix="0" xfId="1"/>
    <xf numFmtId="14" fontId="1" fillId="0" borderId="0" applyAlignment="1" pivotButton="0" quotePrefix="0" xfId="0">
      <alignment horizontal="center"/>
    </xf>
    <xf numFmtId="164" fontId="1" fillId="2" borderId="1" applyAlignment="1" pivotButton="0" quotePrefix="0" xfId="1">
      <alignment horizontal="center"/>
    </xf>
    <xf numFmtId="164" fontId="1" fillId="0" borderId="1" pivotButton="0" quotePrefix="0" xfId="2"/>
    <xf numFmtId="164" fontId="0" fillId="0" borderId="0" pivotButton="0" quotePrefix="0" xfId="2"/>
    <xf numFmtId="164" fontId="15" fillId="2" borderId="1" applyAlignment="1" pivotButton="0" quotePrefix="0" xfId="1">
      <alignment horizontal="center"/>
    </xf>
    <xf numFmtId="164" fontId="12" fillId="0" borderId="1" pivotButton="0" quotePrefix="0" xfId="1"/>
    <xf numFmtId="164" fontId="1" fillId="0" borderId="8" pivotButton="0" quotePrefix="0" xfId="1"/>
    <xf numFmtId="164" fontId="0" fillId="0" borderId="1" pivotButton="0" quotePrefix="0" xfId="0"/>
    <xf numFmtId="164" fontId="0" fillId="0" borderId="4" pivotButton="0" quotePrefix="0" xfId="0"/>
    <xf numFmtId="1" fontId="0" fillId="0" borderId="4" applyAlignment="1" pivotButton="0" quotePrefix="0" xfId="1">
      <alignment horizontal="center"/>
    </xf>
    <xf numFmtId="0" fontId="0" fillId="0" borderId="4" pivotButton="0" quotePrefix="0" xfId="0"/>
    <xf numFmtId="1" fontId="0" fillId="0" borderId="4" applyAlignment="1" pivotButton="0" quotePrefix="0" xfId="0">
      <alignment horizontal="center"/>
    </xf>
    <xf numFmtId="1" fontId="1" fillId="0" borderId="4" applyAlignment="1" pivotButton="0" quotePrefix="0" xfId="0">
      <alignment horizontal="right"/>
    </xf>
    <xf numFmtId="1" fontId="2" fillId="0" borderId="1" applyAlignment="1" pivotButton="0" quotePrefix="0" xfId="3">
      <alignment horizontal="center"/>
    </xf>
    <xf numFmtId="0" fontId="2" fillId="0" borderId="0" pivotButton="0" quotePrefix="0" xfId="0"/>
    <xf numFmtId="49" fontId="2" fillId="0" borderId="1" applyAlignment="1" pivotButton="0" quotePrefix="0" xfId="3">
      <alignment horizontal="center"/>
    </xf>
    <xf numFmtId="0" fontId="0" fillId="0" borderId="4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2" fillId="0" borderId="1" applyAlignment="1" pivotButton="0" quotePrefix="0" xfId="1">
      <alignment horizontal="center"/>
    </xf>
    <xf numFmtId="2" fontId="0" fillId="0" borderId="0" pivotButton="0" quotePrefix="0" xfId="0"/>
    <xf numFmtId="2" fontId="1" fillId="2" borderId="1" pivotButton="0" quotePrefix="0" xfId="0"/>
    <xf numFmtId="2" fontId="1" fillId="0" borderId="2" applyAlignment="1" pivotButton="0" quotePrefix="0" xfId="0">
      <alignment horizontal="center"/>
    </xf>
    <xf numFmtId="0" fontId="12" fillId="0" borderId="0" pivotButton="0" quotePrefix="0" xfId="0"/>
    <xf numFmtId="0" fontId="2" fillId="0" borderId="0" applyAlignment="1" pivotButton="0" quotePrefix="0" xfId="3">
      <alignment horizontal="center"/>
    </xf>
    <xf numFmtId="0" fontId="0" fillId="0" borderId="1" applyAlignment="1" pivotButton="0" quotePrefix="1" xfId="0">
      <alignment horizontal="center"/>
    </xf>
    <xf numFmtId="164" fontId="17" fillId="0" borderId="5" pivotButton="0" quotePrefix="0" xfId="2"/>
    <xf numFmtId="2" fontId="17" fillId="0" borderId="0" pivotButton="0" quotePrefix="0" xfId="0"/>
    <xf numFmtId="164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center"/>
    </xf>
    <xf numFmtId="165" fontId="18" fillId="0" borderId="0" pivotButton="0" quotePrefix="0" xfId="0"/>
    <xf numFmtId="164" fontId="1" fillId="0" borderId="11" pivotButton="0" quotePrefix="0" xfId="2"/>
    <xf numFmtId="14" fontId="1" fillId="0" borderId="4" applyAlignment="1" pivotButton="0" quotePrefix="0" xfId="0">
      <alignment horizontal="right"/>
    </xf>
    <xf numFmtId="0" fontId="14" fillId="2" borderId="1" applyAlignment="1" pivotButton="0" quotePrefix="0" xfId="0">
      <alignment horizontal="center"/>
    </xf>
    <xf numFmtId="1" fontId="2" fillId="0" borderId="4" applyAlignment="1" pivotButton="0" quotePrefix="0" xfId="1">
      <alignment horizontal="center"/>
    </xf>
    <xf numFmtId="43" fontId="12" fillId="0" borderId="0" pivotButton="0" quotePrefix="0" xfId="0"/>
    <xf numFmtId="1" fontId="2" fillId="0" borderId="11" applyAlignment="1" pivotButton="0" quotePrefix="0" xfId="3">
      <alignment horizontal="center"/>
    </xf>
    <xf numFmtId="0" fontId="2" fillId="0" borderId="11" applyAlignment="1" pivotButton="0" quotePrefix="0" xfId="3">
      <alignment horizontal="center"/>
    </xf>
    <xf numFmtId="1" fontId="2" fillId="0" borderId="11" applyAlignment="1" pivotButton="0" quotePrefix="1" xfId="3">
      <alignment horizontal="center"/>
    </xf>
    <xf numFmtId="167" fontId="2" fillId="0" borderId="11" applyAlignment="1" pivotButton="0" quotePrefix="0" xfId="0">
      <alignment horizontal="center"/>
    </xf>
    <xf numFmtId="0" fontId="15" fillId="2" borderId="1" applyAlignment="1" pivotButton="0" quotePrefix="0" xfId="0">
      <alignment horizontal="center"/>
    </xf>
    <xf numFmtId="164" fontId="12" fillId="0" borderId="1" pivotButton="0" quotePrefix="0" xfId="0"/>
    <xf numFmtId="14" fontId="1" fillId="0" borderId="4" applyAlignment="1" pivotButton="0" quotePrefix="0" xfId="0">
      <alignment horizontal="center"/>
    </xf>
    <xf numFmtId="164" fontId="0" fillId="0" borderId="0" applyAlignment="1" pivotButton="0" quotePrefix="0" xfId="2">
      <alignment horizontal="center"/>
    </xf>
    <xf numFmtId="0" fontId="0" fillId="4" borderId="1" applyAlignment="1" pivotButton="0" quotePrefix="0" xfId="0">
      <alignment horizontal="center"/>
    </xf>
    <xf numFmtId="0" fontId="0" fillId="5" borderId="11" applyAlignment="1" pivotButton="0" quotePrefix="0" xfId="0">
      <alignment horizontal="center"/>
    </xf>
    <xf numFmtId="164" fontId="0" fillId="0" borderId="13" applyAlignment="1" pivotButton="0" quotePrefix="0" xfId="2">
      <alignment horizontal="center"/>
    </xf>
    <xf numFmtId="164" fontId="1" fillId="0" borderId="0" pivotButton="0" quotePrefix="0" xfId="1"/>
    <xf numFmtId="43" fontId="12" fillId="0" borderId="0" applyAlignment="1" pivotButton="0" quotePrefix="0" xfId="2">
      <alignment horizontal="center"/>
    </xf>
    <xf numFmtId="43" fontId="12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left"/>
    </xf>
    <xf numFmtId="164" fontId="0" fillId="0" borderId="14" pivotButton="0" quotePrefix="0" xfId="1"/>
    <xf numFmtId="0" fontId="0" fillId="5" borderId="1" applyAlignment="1" pivotButton="0" quotePrefix="0" xfId="0">
      <alignment horizontal="center"/>
    </xf>
    <xf numFmtId="43" fontId="17" fillId="0" borderId="5" pivotButton="0" quotePrefix="0" xfId="1"/>
    <xf numFmtId="164" fontId="19" fillId="0" borderId="5" pivotButton="0" quotePrefix="0" xfId="0"/>
    <xf numFmtId="0" fontId="2" fillId="0" borderId="0" applyAlignment="1" pivotButton="0" quotePrefix="0" xfId="0">
      <alignment horizontal="center"/>
    </xf>
    <xf numFmtId="1" fontId="14" fillId="0" borderId="4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2" fillId="0" borderId="1" applyAlignment="1" pivotButton="0" quotePrefix="0" xfId="3">
      <alignment horizontal="center"/>
    </xf>
    <xf numFmtId="0" fontId="2" fillId="0" borderId="0" applyAlignment="1" pivotButton="0" quotePrefix="0" xfId="1">
      <alignment horizontal="center"/>
    </xf>
    <xf numFmtId="1" fontId="14" fillId="0" borderId="1" applyAlignment="1" pivotButton="0" quotePrefix="0" xfId="1">
      <alignment horizontal="center"/>
    </xf>
    <xf numFmtId="0" fontId="14" fillId="0" borderId="0" applyAlignment="1" pivotButton="0" quotePrefix="0" xfId="0">
      <alignment horizontal="center"/>
    </xf>
    <xf numFmtId="0" fontId="2" fillId="0" borderId="1" applyAlignment="1" pivotButton="0" quotePrefix="0" xfId="3">
      <alignment horizontal="center"/>
    </xf>
    <xf numFmtId="1" fontId="14" fillId="0" borderId="4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164" fontId="2" fillId="0" borderId="13" applyAlignment="1" pivotButton="0" quotePrefix="0" xfId="2">
      <alignment horizontal="center"/>
    </xf>
    <xf numFmtId="164" fontId="2" fillId="0" borderId="0" pivotButton="0" quotePrefix="0" xfId="1"/>
    <xf numFmtId="0" fontId="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1" fillId="0" borderId="0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168" fontId="0" fillId="0" borderId="1" applyAlignment="1" pivotButton="0" quotePrefix="0" xfId="1">
      <alignment horizontal="center"/>
    </xf>
    <xf numFmtId="168" fontId="0" fillId="0" borderId="1" applyAlignment="1" pivotButton="0" quotePrefix="0" xfId="1">
      <alignment horizontal="center"/>
    </xf>
    <xf numFmtId="168" fontId="0" fillId="0" borderId="1" applyAlignment="1" pivotButton="0" quotePrefix="0" xfId="0">
      <alignment horizontal="center"/>
    </xf>
    <xf numFmtId="164" fontId="0" fillId="0" borderId="0" applyAlignment="1" pivotButton="0" quotePrefix="0" xfId="1">
      <alignment horizontal="center"/>
    </xf>
    <xf numFmtId="164" fontId="0" fillId="0" borderId="14" applyAlignment="1" pivotButton="0" quotePrefix="0" xfId="1">
      <alignment horizontal="center"/>
    </xf>
    <xf numFmtId="0" fontId="20" fillId="0" borderId="0" pivotButton="0" quotePrefix="0" xfId="0"/>
    <xf numFmtId="0" fontId="21" fillId="0" borderId="0" pivotButton="0" quotePrefix="0" xfId="0"/>
    <xf numFmtId="43" fontId="22" fillId="0" borderId="0" applyProtection="1" pivotButton="0" quotePrefix="0" xfId="1">
      <protection locked="0" hidden="0"/>
    </xf>
    <xf numFmtId="43" fontId="22" fillId="0" borderId="0" pivotButton="0" quotePrefix="0" xfId="1"/>
    <xf numFmtId="43" fontId="22" fillId="0" borderId="0" pivotButton="0" quotePrefix="0" xfId="1"/>
    <xf numFmtId="43" fontId="22" fillId="0" borderId="0" applyProtection="1" pivotButton="0" quotePrefix="0" xfId="1">
      <protection locked="0" hidden="0"/>
    </xf>
    <xf numFmtId="164" fontId="4" fillId="0" borderId="0" applyAlignment="1" pivotButton="0" quotePrefix="0" xfId="2">
      <alignment horizontal="center"/>
    </xf>
    <xf numFmtId="10" fontId="4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" pivotButton="0" quotePrefix="0" xfId="1"/>
    <xf numFmtId="0" fontId="19" fillId="0" borderId="0" applyAlignment="1" pivotButton="0" quotePrefix="0" xfId="3">
      <alignment horizontal="left"/>
    </xf>
    <xf numFmtId="0" fontId="19" fillId="0" borderId="0" applyAlignment="1" pivotButton="0" quotePrefix="0" xfId="0">
      <alignment horizontal="left"/>
    </xf>
    <xf numFmtId="164" fontId="2" fillId="0" borderId="1" pivotButton="0" quotePrefix="0" xfId="1"/>
    <xf numFmtId="164" fontId="15" fillId="0" borderId="1" pivotButton="0" quotePrefix="0" xfId="0"/>
    <xf numFmtId="0" fontId="0" fillId="0" borderId="0" applyAlignment="1" pivotButton="0" quotePrefix="0" xfId="0">
      <alignment horizontal="right"/>
    </xf>
    <xf numFmtId="0" fontId="0" fillId="3" borderId="0" applyProtection="1" pivotButton="0" quotePrefix="0" xfId="0">
      <protection locked="0" hidden="0"/>
    </xf>
    <xf numFmtId="164" fontId="19" fillId="0" borderId="0" pivotButton="0" quotePrefix="0" xfId="0"/>
    <xf numFmtId="9" fontId="2" fillId="0" borderId="1" applyAlignment="1" pivotButton="0" quotePrefix="0" xfId="6">
      <alignment horizontal="center"/>
    </xf>
    <xf numFmtId="164" fontId="1" fillId="0" borderId="0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2" fontId="1" fillId="0" borderId="4" applyAlignment="1" pivotButton="0" quotePrefix="0" xfId="0">
      <alignment horizontal="center"/>
    </xf>
    <xf numFmtId="2" fontId="17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0" fontId="8" fillId="0" borderId="0" pivotButton="0" quotePrefix="0" xfId="3"/>
    <xf numFmtId="0" fontId="5" fillId="3" borderId="0" applyAlignment="1" applyProtection="1" pivotButton="0" quotePrefix="1" xfId="0">
      <alignment horizontal="left"/>
      <protection locked="0" hidden="0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1">
      <alignment horizontal="center"/>
    </xf>
    <xf numFmtId="166" fontId="0" fillId="0" borderId="1" applyAlignment="1" pivotButton="0" quotePrefix="0" xfId="0">
      <alignment horizontal="center"/>
    </xf>
    <xf numFmtId="167" fontId="2" fillId="0" borderId="11" applyAlignment="1" pivotButton="0" quotePrefix="1" xfId="0">
      <alignment horizontal="center"/>
    </xf>
    <xf numFmtId="14" fontId="2" fillId="0" borderId="1" applyAlignment="1" pivotButton="0" quotePrefix="0" xfId="0">
      <alignment horizontal="center"/>
    </xf>
    <xf numFmtId="0" fontId="2" fillId="0" borderId="11" applyAlignment="1" pivotButton="0" quotePrefix="1" xfId="3">
      <alignment horizontal="center"/>
    </xf>
    <xf numFmtId="0" fontId="8" fillId="0" borderId="1" applyAlignment="1" pivotButton="0" quotePrefix="0" xfId="3">
      <alignment horizontal="center"/>
    </xf>
    <xf numFmtId="164" fontId="0" fillId="0" borderId="6" pivotButton="0" quotePrefix="0" xfId="0"/>
    <xf numFmtId="14" fontId="2" fillId="0" borderId="1" applyAlignment="1" pivotButton="0" quotePrefix="0" xfId="3">
      <alignment horizontal="center"/>
    </xf>
    <xf numFmtId="168" fontId="0" fillId="0" borderId="0" pivotButton="0" quotePrefix="0" xfId="1"/>
    <xf numFmtId="164" fontId="1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14" fillId="0" borderId="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68" fontId="0" fillId="0" borderId="1" pivotButton="0" quotePrefix="0" xfId="1"/>
    <xf numFmtId="0" fontId="13" fillId="0" borderId="1" applyAlignment="1" applyProtection="1" pivotButton="0" quotePrefix="0" xfId="0">
      <alignment horizontal="left" vertical="top"/>
      <protection locked="0" hidden="0"/>
    </xf>
    <xf numFmtId="14" fontId="1" fillId="0" borderId="6" applyAlignment="1" pivotButton="0" quotePrefix="0" xfId="0">
      <alignment horizontal="center"/>
    </xf>
    <xf numFmtId="164" fontId="1" fillId="0" borderId="6" applyAlignment="1" pivotButton="0" quotePrefix="0" xfId="1">
      <alignment horizontal="center"/>
    </xf>
    <xf numFmtId="0" fontId="1" fillId="7" borderId="6" applyAlignment="1" pivotButton="0" quotePrefix="0" xfId="0">
      <alignment horizontal="center"/>
    </xf>
    <xf numFmtId="164" fontId="0" fillId="7" borderId="0" pivotButton="0" quotePrefix="0" xfId="0"/>
    <xf numFmtId="0" fontId="0" fillId="0" borderId="14" applyAlignment="1" pivotButton="0" quotePrefix="0" xfId="0">
      <alignment horizontal="center"/>
    </xf>
    <xf numFmtId="164" fontId="0" fillId="0" borderId="14" pivotButton="0" quotePrefix="0" xfId="0"/>
    <xf numFmtId="0" fontId="14" fillId="0" borderId="6" applyAlignment="1" pivotButton="0" quotePrefix="0" xfId="0">
      <alignment horizontal="center"/>
    </xf>
    <xf numFmtId="164" fontId="0" fillId="7" borderId="4" pivotButton="0" quotePrefix="0" xfId="2"/>
    <xf numFmtId="164" fontId="0" fillId="7" borderId="0" pivotButton="0" quotePrefix="0" xfId="2"/>
    <xf numFmtId="164" fontId="0" fillId="0" borderId="14" pivotButton="0" quotePrefix="0" xfId="2"/>
    <xf numFmtId="164" fontId="0" fillId="7" borderId="14" pivotButton="0" quotePrefix="0" xfId="2"/>
    <xf numFmtId="0" fontId="0" fillId="0" borderId="14" pivotButton="0" quotePrefix="0" xfId="0"/>
    <xf numFmtId="1" fontId="2" fillId="0" borderId="1" applyAlignment="1" pivotButton="0" quotePrefix="0" xfId="3">
      <alignment horizontal="center"/>
    </xf>
    <xf numFmtId="0" fontId="3" fillId="0" borderId="0" applyAlignment="1" pivotButton="0" quotePrefix="0" xfId="0">
      <alignment horizontal="center"/>
    </xf>
    <xf numFmtId="0" fontId="3" fillId="8" borderId="0" pivotButton="0" quotePrefix="0" xfId="0"/>
    <xf numFmtId="0" fontId="1" fillId="8" borderId="0" pivotButton="0" quotePrefix="0" xfId="0"/>
    <xf numFmtId="14" fontId="1" fillId="6" borderId="0" applyAlignment="1" pivotButton="0" quotePrefix="0" xfId="0">
      <alignment horizontal="center"/>
    </xf>
    <xf numFmtId="49" fontId="8" fillId="0" borderId="1" applyAlignment="1" pivotButton="0" quotePrefix="0" xfId="3">
      <alignment horizontal="center"/>
    </xf>
    <xf numFmtId="1" fontId="2" fillId="0" borderId="1" applyAlignment="1" pivotButton="0" quotePrefix="0" xfId="1">
      <alignment horizontal="center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8" fillId="0" borderId="11" applyAlignment="1" pivotButton="0" quotePrefix="0" xfId="3">
      <alignment horizontal="center"/>
    </xf>
    <xf numFmtId="1" fontId="8" fillId="0" borderId="11" applyAlignment="1" pivotButton="0" quotePrefix="0" xfId="3">
      <alignment horizontal="center"/>
    </xf>
    <xf numFmtId="164" fontId="0" fillId="0" borderId="0" applyAlignment="1" pivotButton="0" quotePrefix="0" xfId="0">
      <alignment horizontal="left"/>
    </xf>
    <xf numFmtId="14" fontId="0" fillId="0" borderId="4" applyAlignment="1" pivotButton="0" quotePrefix="0" xfId="1">
      <alignment horizontal="center"/>
    </xf>
    <xf numFmtId="164" fontId="14" fillId="0" borderId="0" pivotButton="0" quotePrefix="0" xfId="0"/>
    <xf numFmtId="165" fontId="2" fillId="0" borderId="0" pivotButton="0" quotePrefix="0" xfId="0"/>
    <xf numFmtId="164" fontId="0" fillId="0" borderId="0" applyAlignment="1" pivotButton="0" quotePrefix="0" xfId="2">
      <alignment horizontal="center"/>
    </xf>
    <xf numFmtId="164" fontId="4" fillId="7" borderId="0" applyAlignment="1" pivotButton="0" quotePrefix="0" xfId="2">
      <alignment horizontal="center"/>
    </xf>
    <xf numFmtId="0" fontId="0" fillId="0" borderId="9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4" fillId="9" borderId="0" applyAlignment="1" pivotButton="0" quotePrefix="0" xfId="2">
      <alignment horizontal="center"/>
    </xf>
    <xf numFmtId="164" fontId="0" fillId="0" borderId="1" applyAlignment="1" pivotButton="0" quotePrefix="0" xfId="1">
      <alignment horizontal="center"/>
    </xf>
    <xf numFmtId="0" fontId="0" fillId="5" borderId="10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4" fontId="0" fillId="0" borderId="1" applyAlignment="1" pivotButton="0" quotePrefix="0" xfId="2">
      <alignment horizontal="center"/>
    </xf>
    <xf numFmtId="0" fontId="2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center"/>
    </xf>
    <xf numFmtId="1" fontId="2" fillId="0" borderId="0" applyAlignment="1" pivotButton="0" quotePrefix="0" xfId="3">
      <alignment horizontal="center"/>
    </xf>
    <xf numFmtId="1" fontId="0" fillId="0" borderId="0" applyAlignment="1" pivotButton="0" quotePrefix="0" xfId="1">
      <alignment horizontal="center"/>
    </xf>
    <xf numFmtId="0" fontId="2" fillId="0" borderId="14" applyAlignment="1" pivotButton="0" quotePrefix="0" xfId="0">
      <alignment horizontal="center"/>
    </xf>
    <xf numFmtId="164" fontId="0" fillId="0" borderId="14" applyAlignment="1" pivotButton="0" quotePrefix="0" xfId="2">
      <alignment horizontal="center"/>
    </xf>
    <xf numFmtId="164" fontId="4" fillId="7" borderId="14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164" fontId="4" fillId="10" borderId="0" applyAlignment="1" pivotButton="0" quotePrefix="0" xfId="2">
      <alignment horizontal="center"/>
    </xf>
    <xf numFmtId="167" fontId="8" fillId="0" borderId="11" applyAlignment="1" pivotButton="0" quotePrefix="0" xfId="3">
      <alignment horizontal="center"/>
    </xf>
    <xf numFmtId="1" fontId="5" fillId="0" borderId="0" pivotButton="0" quotePrefix="0" xfId="0"/>
    <xf numFmtId="1" fontId="5" fillId="0" borderId="0" applyAlignment="1" pivotButton="0" quotePrefix="0" xfId="0">
      <alignment horizontal="center" wrapText="1"/>
    </xf>
    <xf numFmtId="2" fontId="1" fillId="2" borderId="1" applyAlignment="1" pivotButton="0" quotePrefix="0" xfId="0">
      <alignment horizontal="center"/>
    </xf>
    <xf numFmtId="169" fontId="0" fillId="0" borderId="1" applyAlignment="1" pivotButton="0" quotePrefix="0" xfId="0">
      <alignment horizontal="center"/>
    </xf>
    <xf numFmtId="1" fontId="8" fillId="0" borderId="11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1" fillId="6" borderId="0" applyAlignment="1" pivotButton="0" quotePrefix="0" xfId="0">
      <alignment horizontal="center"/>
    </xf>
    <xf numFmtId="164" fontId="1" fillId="6" borderId="0" pivotButton="0" quotePrefix="0" xfId="1"/>
    <xf numFmtId="2" fontId="1" fillId="6" borderId="0" pivotButton="0" quotePrefix="0" xfId="0"/>
    <xf numFmtId="2" fontId="1" fillId="7" borderId="6" applyAlignment="1" pivotButton="0" quotePrefix="0" xfId="0">
      <alignment horizontal="center"/>
    </xf>
    <xf numFmtId="164" fontId="0" fillId="7" borderId="0" applyAlignment="1" pivotButton="0" quotePrefix="0" xfId="2">
      <alignment horizontal="center"/>
    </xf>
    <xf numFmtId="164" fontId="0" fillId="7" borderId="14" applyAlignment="1" pivotButton="0" quotePrefix="0" xfId="2">
      <alignment horizontal="center"/>
    </xf>
    <xf numFmtId="164" fontId="0" fillId="0" borderId="14" applyAlignment="1" pivotButton="0" quotePrefix="0" xfId="0">
      <alignment horizontal="center"/>
    </xf>
    <xf numFmtId="164" fontId="0" fillId="7" borderId="0" pivotButton="0" quotePrefix="0" xfId="1"/>
    <xf numFmtId="0" fontId="10" fillId="0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4" fontId="0" fillId="0" borderId="1" applyAlignment="1" pivotButton="0" quotePrefix="1" xfId="0">
      <alignment horizontal="center"/>
    </xf>
    <xf numFmtId="0" fontId="4" fillId="0" borderId="1" applyAlignment="1" pivotButton="0" quotePrefix="0" xfId="10">
      <alignment horizontal="left"/>
    </xf>
    <xf numFmtId="0" fontId="0" fillId="0" borderId="1" applyAlignment="1" pivotButton="0" quotePrefix="0" xfId="0">
      <alignment vertical="center"/>
    </xf>
    <xf numFmtId="170" fontId="0" fillId="0" borderId="0" pivotButton="0" quotePrefix="0" xfId="6"/>
    <xf numFmtId="164" fontId="2" fillId="0" borderId="0" applyAlignment="1" pivotButton="0" quotePrefix="0" xfId="2">
      <alignment horizontal="center"/>
    </xf>
    <xf numFmtId="43" fontId="12" fillId="0" borderId="0" applyAlignment="1" pivotButton="0" quotePrefix="0" xfId="1">
      <alignment horizontal="center"/>
    </xf>
    <xf numFmtId="168" fontId="0" fillId="0" borderId="1" applyAlignment="1" pivotButton="0" quotePrefix="1" xfId="1">
      <alignment horizontal="center"/>
    </xf>
    <xf numFmtId="0" fontId="0" fillId="0" borderId="1" applyAlignment="1" pivotButton="0" quotePrefix="0" xfId="1">
      <alignment horizontal="left"/>
    </xf>
    <xf numFmtId="0" fontId="13" fillId="0" borderId="1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pivotButton="0" quotePrefix="0" xfId="0">
      <alignment horizontal="right"/>
    </xf>
    <xf numFmtId="0" fontId="4" fillId="0" borderId="0" pivotButton="0" quotePrefix="0" xfId="0"/>
    <xf numFmtId="164" fontId="0" fillId="0" borderId="8" pivotButton="0" quotePrefix="0" xfId="0"/>
    <xf numFmtId="164" fontId="0" fillId="0" borderId="8" pivotButton="0" quotePrefix="0" xfId="5"/>
    <xf numFmtId="43" fontId="9" fillId="0" borderId="0" pivotButton="0" quotePrefix="0" xfId="1"/>
    <xf numFmtId="43" fontId="4" fillId="0" borderId="0" pivotButton="0" quotePrefix="0" xfId="0"/>
    <xf numFmtId="0" fontId="11" fillId="0" borderId="0" applyAlignment="1" pivotButton="0" quotePrefix="0" xfId="0">
      <alignment horizontal="right"/>
    </xf>
    <xf numFmtId="164" fontId="11" fillId="12" borderId="8" pivotButton="0" quotePrefix="0" xfId="5"/>
    <xf numFmtId="43" fontId="9" fillId="0" borderId="0" applyProtection="1" pivotButton="0" quotePrefix="0" xfId="1">
      <protection locked="0" hidden="0"/>
    </xf>
    <xf numFmtId="43" fontId="9" fillId="0" borderId="0" applyProtection="1" pivotButton="0" quotePrefix="0" xfId="1">
      <protection locked="0" hidden="0"/>
    </xf>
    <xf numFmtId="43" fontId="4" fillId="0" borderId="0" applyProtection="1" pivotButton="0" quotePrefix="0" xfId="1">
      <protection locked="0" hidden="0"/>
    </xf>
    <xf numFmtId="0" fontId="10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164" fontId="0" fillId="11" borderId="0" pivotButton="0" quotePrefix="0" xfId="5"/>
    <xf numFmtId="43" fontId="4" fillId="0" borderId="0" pivotButton="0" quotePrefix="0" xfId="1"/>
    <xf numFmtId="10" fontId="0" fillId="11" borderId="0" pivotButton="0" quotePrefix="0" xfId="0"/>
    <xf numFmtId="43" fontId="12" fillId="0" borderId="0" pivotButton="0" quotePrefix="0" xfId="1"/>
    <xf numFmtId="0" fontId="11" fillId="11" borderId="0" pivotButton="0" quotePrefix="0" xfId="0"/>
    <xf numFmtId="0" fontId="1" fillId="11" borderId="0" pivotButton="0" quotePrefix="0" xfId="0"/>
    <xf numFmtId="164" fontId="1" fillId="11" borderId="0" pivotButton="0" quotePrefix="0" xfId="0"/>
    <xf numFmtId="0" fontId="1" fillId="0" borderId="0" pivotButton="0" quotePrefix="1" xfId="0"/>
    <xf numFmtId="0" fontId="1" fillId="3" borderId="15" pivotButton="0" quotePrefix="0" xfId="0"/>
    <xf numFmtId="165" fontId="1" fillId="3" borderId="16" pivotButton="0" quotePrefix="0" xfId="0"/>
    <xf numFmtId="0" fontId="12" fillId="0" borderId="0" applyAlignment="1" pivotButton="0" quotePrefix="0" xfId="0">
      <alignment horizontal="center"/>
    </xf>
    <xf numFmtId="168" fontId="4" fillId="0" borderId="0" applyAlignment="1" pivotButton="0" quotePrefix="0" xfId="0">
      <alignment horizontal="center"/>
    </xf>
    <xf numFmtId="0" fontId="8" fillId="0" borderId="1" applyAlignment="1" pivotButton="0" quotePrefix="0" xfId="3">
      <alignment horizontal="left"/>
    </xf>
    <xf numFmtId="1" fontId="1" fillId="2" borderId="1" applyAlignment="1" pivotButton="0" quotePrefix="0" xfId="4">
      <alignment horizontal="center"/>
    </xf>
    <xf numFmtId="0" fontId="0" fillId="0" borderId="1" applyAlignment="1" pivotButton="0" quotePrefix="0" xfId="1">
      <alignment horizontal="center"/>
    </xf>
    <xf numFmtId="0" fontId="8" fillId="0" borderId="1" pivotButton="0" quotePrefix="0" xfId="3"/>
    <xf numFmtId="1" fontId="1" fillId="0" borderId="1" applyAlignment="1" pivotButton="0" quotePrefix="0" xfId="0">
      <alignment horizontal="center"/>
    </xf>
    <xf numFmtId="1" fontId="14" fillId="0" borderId="1" applyAlignment="1" pivotButton="0" quotePrefix="0" xfId="0">
      <alignment horizontal="center"/>
    </xf>
    <xf numFmtId="0" fontId="0" fillId="0" borderId="12" applyAlignment="1" pivotButton="0" quotePrefix="0" xfId="0">
      <alignment horizontal="left"/>
    </xf>
    <xf numFmtId="164" fontId="0" fillId="0" borderId="12" pivotButton="0" quotePrefix="0" xfId="0"/>
    <xf numFmtId="0" fontId="0" fillId="0" borderId="12" pivotButton="0" quotePrefix="0" xfId="0"/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" fontId="0" fillId="0" borderId="12" applyAlignment="1" pivotButton="0" quotePrefix="0" xfId="1">
      <alignment horizontal="center"/>
    </xf>
    <xf numFmtId="164" fontId="0" fillId="0" borderId="0" pivotButton="0" quotePrefix="0" xfId="2"/>
    <xf numFmtId="0" fontId="2" fillId="0" borderId="6" applyAlignment="1" pivotButton="0" quotePrefix="0" xfId="0">
      <alignment horizontal="center"/>
    </xf>
    <xf numFmtId="14" fontId="0" fillId="0" borderId="6" applyAlignment="1" pivotButton="0" quotePrefix="0" xfId="0">
      <alignment horizontal="center"/>
    </xf>
    <xf numFmtId="164" fontId="0" fillId="0" borderId="6" pivotButton="0" quotePrefix="0" xfId="2"/>
    <xf numFmtId="164" fontId="2" fillId="0" borderId="0" applyAlignment="1" pivotButton="0" quotePrefix="0" xfId="2">
      <alignment horizontal="center"/>
    </xf>
    <xf numFmtId="164" fontId="0" fillId="0" borderId="0" pivotButton="0" quotePrefix="0" xfId="2"/>
    <xf numFmtId="164" fontId="2" fillId="0" borderId="14" applyAlignment="1" pivotButton="0" quotePrefix="0" xfId="2">
      <alignment horizontal="center"/>
    </xf>
    <xf numFmtId="164" fontId="0" fillId="0" borderId="14" pivotButton="0" quotePrefix="0" xfId="2"/>
    <xf numFmtId="49" fontId="2" fillId="0" borderId="1" applyAlignment="1" pivotButton="0" quotePrefix="0" xfId="3">
      <alignment horizontal="center"/>
    </xf>
    <xf numFmtId="0" fontId="2" fillId="0" borderId="1" applyAlignment="1" pivotButton="0" quotePrefix="0" xfId="3">
      <alignment horizontal="center"/>
    </xf>
    <xf numFmtId="164" fontId="0" fillId="0" borderId="14" pivotButton="0" quotePrefix="0" xfId="1"/>
    <xf numFmtId="0" fontId="4" fillId="0" borderId="0" applyAlignment="1" pivotButton="0" quotePrefix="0" xfId="0">
      <alignment horizontal="center"/>
    </xf>
    <xf numFmtId="0" fontId="0" fillId="0" borderId="14" applyAlignment="1" pivotButton="0" quotePrefix="0" xfId="0">
      <alignment horizontal="right"/>
    </xf>
    <xf numFmtId="0" fontId="1" fillId="0" borderId="4" applyAlignment="1" pivotButton="0" quotePrefix="0" xfId="0">
      <alignment horizontal="center"/>
    </xf>
    <xf numFmtId="1" fontId="1" fillId="1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14" fontId="1" fillId="14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164" fontId="1" fillId="14" borderId="1" applyAlignment="1" pivotButton="0" quotePrefix="0" xfId="0">
      <alignment horizontal="center"/>
    </xf>
    <xf numFmtId="0" fontId="1" fillId="14" borderId="1" pivotButton="0" quotePrefix="0" xfId="0"/>
    <xf numFmtId="0" fontId="14" fillId="4" borderId="1" applyAlignment="1" pivotButton="0" quotePrefix="0" xfId="0">
      <alignment horizontal="center"/>
    </xf>
    <xf numFmtId="14" fontId="1" fillId="4" borderId="1" applyAlignment="1" pivotButton="0" quotePrefix="0" xfId="0">
      <alignment horizontal="center"/>
    </xf>
    <xf numFmtId="14" fontId="1" fillId="3" borderId="1" applyAlignment="1" pivotButton="0" quotePrefix="0" xfId="0">
      <alignment horizontal="center"/>
    </xf>
    <xf numFmtId="164" fontId="1" fillId="14" borderId="13" applyAlignment="1" pivotButton="0" quotePrefix="0" xfId="0">
      <alignment horizontal="center"/>
    </xf>
    <xf numFmtId="164" fontId="1" fillId="0" borderId="6" applyAlignment="1" pivotButton="0" quotePrefix="0" xfId="0">
      <alignment horizontal="center"/>
    </xf>
    <xf numFmtId="0" fontId="26" fillId="4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1" fontId="1" fillId="15" borderId="1" applyAlignment="1" pivotButton="0" quotePrefix="0" xfId="0">
      <alignment horizontal="center"/>
    </xf>
    <xf numFmtId="0" fontId="1" fillId="15" borderId="1" applyAlignment="1" pivotButton="0" quotePrefix="0" xfId="0">
      <alignment horizontal="center"/>
    </xf>
    <xf numFmtId="14" fontId="1" fillId="15" borderId="1" applyAlignment="1" pivotButton="0" quotePrefix="0" xfId="0">
      <alignment horizontal="center"/>
    </xf>
    <xf numFmtId="164" fontId="1" fillId="15" borderId="1" applyAlignment="1" pivotButton="0" quotePrefix="0" xfId="1">
      <alignment horizontal="center"/>
    </xf>
    <xf numFmtId="164" fontId="26" fillId="4" borderId="1" applyAlignment="1" pivotButton="0" quotePrefix="0" xfId="1">
      <alignment horizontal="center"/>
    </xf>
    <xf numFmtId="2" fontId="1" fillId="15" borderId="1" applyAlignment="1" pivotButton="0" quotePrefix="0" xfId="0">
      <alignment horizontal="center"/>
    </xf>
    <xf numFmtId="164" fontId="17" fillId="0" borderId="0" pivotButton="0" quotePrefix="0" xfId="2"/>
    <xf numFmtId="164" fontId="1" fillId="14" borderId="1" applyAlignment="1" pivotButton="0" quotePrefix="0" xfId="1">
      <alignment horizontal="center"/>
    </xf>
    <xf numFmtId="2" fontId="1" fillId="14" borderId="1" pivotButton="0" quotePrefix="0" xfId="0"/>
    <xf numFmtId="0" fontId="1" fillId="14" borderId="1" applyAlignment="1" pivotButton="0" quotePrefix="0" xfId="0">
      <alignment horizontal="left"/>
    </xf>
    <xf numFmtId="164" fontId="19" fillId="0" borderId="0" pivotButton="0" quotePrefix="0" xfId="2"/>
    <xf numFmtId="0" fontId="8" fillId="0" borderId="1" pivotButton="0" quotePrefix="0" xfId="3"/>
    <xf numFmtId="164" fontId="12" fillId="0" borderId="12" pivotButton="0" quotePrefix="0" xfId="0"/>
    <xf numFmtId="164" fontId="1" fillId="0" borderId="6" pivotButton="0" quotePrefix="0" xfId="0"/>
    <xf numFmtId="43" fontId="17" fillId="0" borderId="0" pivotButton="0" quotePrefix="0" xfId="1"/>
    <xf numFmtId="10" fontId="0" fillId="0" borderId="0" pivotButton="0" quotePrefix="0" xfId="6"/>
    <xf numFmtId="0" fontId="5" fillId="3" borderId="0" pivotButton="0" quotePrefix="0" xfId="0"/>
    <xf numFmtId="14" fontId="4" fillId="3" borderId="0" applyAlignment="1" pivotButton="0" quotePrefix="0" xfId="0">
      <alignment horizontal="left"/>
    </xf>
    <xf numFmtId="0" fontId="4" fillId="3" borderId="0" applyProtection="1" pivotButton="0" quotePrefix="0" xfId="0">
      <protection locked="0" hidden="0"/>
    </xf>
    <xf numFmtId="0" fontId="4" fillId="3" borderId="0" pivotButton="0" quotePrefix="0" xfId="0"/>
    <xf numFmtId="43" fontId="4" fillId="3" borderId="0" applyProtection="1" pivotButton="0" quotePrefix="0" xfId="1">
      <protection locked="0" hidden="0"/>
    </xf>
    <xf numFmtId="43" fontId="4" fillId="3" borderId="0" pivotButton="0" quotePrefix="0" xfId="1"/>
    <xf numFmtId="164" fontId="4" fillId="0" borderId="0" pivotButton="0" quotePrefix="0" xfId="2"/>
    <xf numFmtId="0" fontId="4" fillId="0" borderId="0" applyProtection="1" pivotButton="0" quotePrefix="0" xfId="0">
      <protection locked="0" hidden="0"/>
    </xf>
    <xf numFmtId="43" fontId="1" fillId="0" borderId="5" pivotButton="0" quotePrefix="0" xfId="1"/>
    <xf numFmtId="43" fontId="4" fillId="0" borderId="5" pivotButton="0" quotePrefix="0" xfId="1"/>
    <xf numFmtId="0" fontId="4" fillId="0" borderId="0" applyAlignment="1" applyProtection="1" pivotButton="0" quotePrefix="0" xfId="0">
      <alignment horizontal="right"/>
      <protection locked="0" hidden="0"/>
    </xf>
    <xf numFmtId="0" fontId="17" fillId="0" borderId="0" pivotButton="0" quotePrefix="0" xfId="0"/>
    <xf numFmtId="43" fontId="4" fillId="0" borderId="0" pivotButton="0" quotePrefix="0" xfId="1"/>
    <xf numFmtId="43" fontId="4" fillId="0" borderId="0" pivotButton="0" quotePrefix="0" xfId="1"/>
    <xf numFmtId="43" fontId="4" fillId="0" borderId="0" pivotButton="0" quotePrefix="0" xfId="1"/>
    <xf numFmtId="43" fontId="9" fillId="0" borderId="0" applyProtection="1" pivotButton="0" quotePrefix="0" xfId="1">
      <protection locked="0" hidden="0"/>
    </xf>
    <xf numFmtId="43" fontId="4" fillId="0" borderId="0" applyProtection="1" pivotButton="0" quotePrefix="0" xfId="1">
      <protection locked="0" hidden="0"/>
    </xf>
    <xf numFmtId="164" fontId="1" fillId="0" borderId="5" pivotButton="0" quotePrefix="0" xfId="2"/>
    <xf numFmtId="43" fontId="9" fillId="0" borderId="5" pivotButton="0" quotePrefix="0" xfId="1"/>
    <xf numFmtId="171" fontId="4" fillId="0" borderId="0" pivotButton="0" quotePrefix="0" xfId="0"/>
    <xf numFmtId="0" fontId="1" fillId="16" borderId="1" applyAlignment="1" pivotButton="0" quotePrefix="0" xfId="0">
      <alignment horizontal="center"/>
    </xf>
    <xf numFmtId="0" fontId="1" fillId="16" borderId="1" pivotButton="0" quotePrefix="0" xfId="0"/>
    <xf numFmtId="0" fontId="1" fillId="16" borderId="1" applyAlignment="1" pivotButton="0" quotePrefix="0" xfId="0">
      <alignment horizontal="left"/>
    </xf>
    <xf numFmtId="0" fontId="5" fillId="17" borderId="0" pivotButton="0" quotePrefix="0" xfId="0"/>
    <xf numFmtId="0" fontId="27" fillId="17" borderId="0" pivotButton="0" quotePrefix="0" xfId="0"/>
    <xf numFmtId="0" fontId="21" fillId="0" borderId="20" pivotButton="0" quotePrefix="0" xfId="0"/>
    <xf numFmtId="0" fontId="21" fillId="0" borderId="22" pivotButton="0" quotePrefix="0" xfId="0"/>
    <xf numFmtId="0" fontId="4" fillId="0" borderId="19" pivotButton="0" quotePrefix="0" xfId="0"/>
    <xf numFmtId="0" fontId="4" fillId="0" borderId="20" pivotButton="0" quotePrefix="0" xfId="0"/>
    <xf numFmtId="0" fontId="4" fillId="0" borderId="20" applyAlignment="1" pivotButton="0" quotePrefix="0" xfId="0">
      <alignment horizontal="center"/>
    </xf>
    <xf numFmtId="0" fontId="4" fillId="0" borderId="24" pivotButton="0" quotePrefix="0" xfId="0"/>
    <xf numFmtId="0" fontId="4" fillId="0" borderId="25" applyAlignment="1" pivotButton="0" quotePrefix="0" xfId="0">
      <alignment horizontal="center"/>
    </xf>
    <xf numFmtId="10" fontId="4" fillId="0" borderId="20" applyAlignment="1" pivotButton="0" quotePrefix="0" xfId="6">
      <alignment horizontal="center"/>
    </xf>
    <xf numFmtId="0" fontId="1" fillId="0" borderId="14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0" fillId="0" borderId="0" pivotButton="0" quotePrefix="0" xfId="0"/>
    <xf numFmtId="0" fontId="14" fillId="17" borderId="17" pivotButton="0" quotePrefix="0" xfId="0"/>
    <xf numFmtId="14" fontId="1" fillId="0" borderId="18" applyAlignment="1" pivotButton="0" quotePrefix="0" xfId="0">
      <alignment horizontal="center"/>
    </xf>
    <xf numFmtId="0" fontId="1" fillId="17" borderId="21" pivotButton="0" quotePrefix="0" xfId="0"/>
    <xf numFmtId="14" fontId="1" fillId="0" borderId="22" applyAlignment="1" pivotButton="0" quotePrefix="0" xfId="0">
      <alignment horizontal="center"/>
    </xf>
    <xf numFmtId="0" fontId="0" fillId="0" borderId="17" pivotButton="0" quotePrefix="0" xfId="0"/>
    <xf numFmtId="0" fontId="0" fillId="0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applyAlignment="1" pivotButton="0" quotePrefix="0" xfId="0">
      <alignment horizontal="center"/>
    </xf>
    <xf numFmtId="0" fontId="1" fillId="0" borderId="7" pivotButton="0" quotePrefix="0" xfId="0"/>
    <xf numFmtId="9" fontId="1" fillId="0" borderId="27" applyAlignment="1" pivotButton="0" quotePrefix="0" xfId="6">
      <alignment horizontal="center"/>
    </xf>
    <xf numFmtId="1" fontId="5" fillId="3" borderId="0" applyAlignment="1" pivotButton="0" quotePrefix="0" xfId="0">
      <alignment horizontal="center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2" fillId="3" borderId="0" pivotButton="0" quotePrefix="0" xfId="0"/>
    <xf numFmtId="0" fontId="15" fillId="3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164" fontId="11" fillId="3" borderId="1" applyAlignment="1" pivotButton="0" quotePrefix="0" xfId="5">
      <alignment horizontal="center" wrapText="1"/>
    </xf>
    <xf numFmtId="164" fontId="11" fillId="3" borderId="1" applyAlignment="1" pivotButton="0" quotePrefix="0" xfId="5">
      <alignment horizontal="center"/>
    </xf>
    <xf numFmtId="0" fontId="11" fillId="3" borderId="1" applyAlignment="1" pivotButton="0" quotePrefix="0" xfId="0">
      <alignment horizontal="center"/>
    </xf>
    <xf numFmtId="0" fontId="15" fillId="3" borderId="0" pivotButton="0" quotePrefix="0" xfId="0"/>
    <xf numFmtId="0" fontId="1" fillId="3" borderId="0" pivotButton="0" quotePrefix="0" xfId="0"/>
    <xf numFmtId="0" fontId="2" fillId="3" borderId="1" applyAlignment="1" pivotButton="0" quotePrefix="0" xfId="3">
      <alignment horizontal="center"/>
    </xf>
    <xf numFmtId="0" fontId="0" fillId="3" borderId="1" applyAlignment="1" pivotButton="0" quotePrefix="0" xfId="0">
      <alignment horizontal="center"/>
    </xf>
    <xf numFmtId="164" fontId="0" fillId="3" borderId="1" pivotButton="0" quotePrefix="0" xfId="0"/>
    <xf numFmtId="43" fontId="12" fillId="3" borderId="0" pivotButton="0" quotePrefix="0" xfId="0"/>
    <xf numFmtId="164" fontId="12" fillId="3" borderId="0" pivotButton="0" quotePrefix="0" xfId="0"/>
    <xf numFmtId="43" fontId="0" fillId="3" borderId="0" pivotButton="0" quotePrefix="0" xfId="0"/>
    <xf numFmtId="164" fontId="1" fillId="3" borderId="8" pivotButton="0" quotePrefix="0" xfId="1"/>
    <xf numFmtId="164" fontId="19" fillId="3" borderId="5" pivotButton="0" quotePrefix="0" xfId="0"/>
    <xf numFmtId="164" fontId="0" fillId="3" borderId="0" pivotButton="0" quotePrefix="0" xfId="0"/>
    <xf numFmtId="164" fontId="17" fillId="3" borderId="0" pivotButton="0" quotePrefix="0" xfId="0"/>
    <xf numFmtId="1" fontId="5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164" fontId="11" fillId="3" borderId="1" applyAlignment="1" pivotButton="0" quotePrefix="0" xfId="7">
      <alignment horizontal="center"/>
    </xf>
    <xf numFmtId="164" fontId="1" fillId="3" borderId="1" pivotButton="0" quotePrefix="0" xfId="0"/>
    <xf numFmtId="164" fontId="15" fillId="3" borderId="5" pivotButton="0" quotePrefix="0" xfId="0"/>
    <xf numFmtId="164" fontId="26" fillId="14" borderId="1" applyAlignment="1" pivotButton="0" quotePrefix="0" xfId="1">
      <alignment horizontal="center"/>
    </xf>
    <xf numFmtId="0" fontId="1" fillId="14" borderId="0" pivotButton="0" quotePrefix="0" xfId="0"/>
    <xf numFmtId="0" fontId="1" fillId="13" borderId="17" applyAlignment="1" pivotButton="0" quotePrefix="0" xfId="0">
      <alignment horizontal="center"/>
    </xf>
    <xf numFmtId="0" fontId="1" fillId="13" borderId="23" applyAlignment="1" pivotButton="0" quotePrefix="0" xfId="0">
      <alignment horizontal="center"/>
    </xf>
    <xf numFmtId="0" fontId="1" fillId="13" borderId="18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23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1" fillId="18" borderId="17" applyAlignment="1" pivotButton="0" quotePrefix="0" xfId="0">
      <alignment horizontal="center"/>
    </xf>
    <xf numFmtId="0" fontId="1" fillId="18" borderId="23" applyAlignment="1" pivotButton="0" quotePrefix="0" xfId="0">
      <alignment horizontal="center"/>
    </xf>
    <xf numFmtId="0" fontId="1" fillId="18" borderId="18" applyAlignment="1" pivotButton="0" quotePrefix="0" xfId="0">
      <alignment horizontal="center"/>
    </xf>
    <xf numFmtId="0" fontId="1" fillId="18" borderId="7" applyAlignment="1" pivotButton="0" quotePrefix="0" xfId="0">
      <alignment horizontal="center"/>
    </xf>
    <xf numFmtId="0" fontId="1" fillId="18" borderId="26" applyAlignment="1" pivotButton="0" quotePrefix="0" xfId="0">
      <alignment horizontal="center"/>
    </xf>
    <xf numFmtId="0" fontId="1" fillId="18" borderId="27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26" applyAlignment="1" pivotButton="0" quotePrefix="0" xfId="0">
      <alignment horizontal="center"/>
    </xf>
    <xf numFmtId="0" fontId="1" fillId="13" borderId="27" applyAlignment="1" pivotButton="0" quotePrefix="0" xfId="0">
      <alignment horizontal="center"/>
    </xf>
    <xf numFmtId="2" fontId="1" fillId="14" borderId="1" applyAlignment="1" pivotButton="0" quotePrefix="0" xfId="0">
      <alignment horizontal="center"/>
    </xf>
    <xf numFmtId="0" fontId="5" fillId="19" borderId="0" applyAlignment="1" applyProtection="1" pivotButton="0" quotePrefix="1" xfId="0">
      <alignment horizontal="left"/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14" fontId="5" fillId="3" borderId="0" applyAlignment="1" applyProtection="1" pivotButton="0" quotePrefix="1" xfId="0">
      <alignment horizontal="left"/>
      <protection locked="0" hidden="0"/>
    </xf>
    <xf numFmtId="0" fontId="28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1" fillId="3" borderId="10" applyAlignment="1" pivotButton="0" quotePrefix="0" xfId="0">
      <alignment horizontal="center"/>
    </xf>
    <xf numFmtId="0" fontId="1" fillId="3" borderId="8" applyAlignment="1" pivotButton="0" quotePrefix="0" xfId="0">
      <alignment horizontal="center"/>
    </xf>
    <xf numFmtId="0" fontId="1" fillId="3" borderId="11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0" borderId="10" applyAlignment="1" pivotButton="0" quotePrefix="0" xfId="0">
      <alignment horizontal="center" wrapText="1"/>
    </xf>
    <xf numFmtId="0" fontId="0" fillId="0" borderId="8" applyAlignment="1" pivotButton="0" quotePrefix="0" xfId="0">
      <alignment horizontal="center" wrapText="1"/>
    </xf>
    <xf numFmtId="0" fontId="0" fillId="0" borderId="11" applyAlignment="1" pivotButton="0" quotePrefix="0" xfId="0">
      <alignment horizontal="center" wrapText="1"/>
    </xf>
    <xf numFmtId="0" fontId="3" fillId="13" borderId="0" applyAlignment="1" pivotButton="0" quotePrefix="0" xfId="0">
      <alignment horizontal="center"/>
    </xf>
    <xf numFmtId="164" fontId="1" fillId="0" borderId="0" pivotButton="0" quotePrefix="0" xfId="1"/>
    <xf numFmtId="164" fontId="19" fillId="0" borderId="0" pivotButton="0" quotePrefix="0" xfId="0"/>
    <xf numFmtId="0" fontId="0" fillId="4" borderId="11" applyAlignment="1" pivotButton="0" quotePrefix="0" xfId="0">
      <alignment horizontal="center"/>
    </xf>
    <xf numFmtId="164" fontId="4" fillId="0" borderId="0" pivotButton="0" quotePrefix="0" xfId="2"/>
    <xf numFmtId="164" fontId="1" fillId="0" borderId="5" pivotButton="0" quotePrefix="0" xfId="2"/>
    <xf numFmtId="164" fontId="0" fillId="0" borderId="6" pivotButton="0" quotePrefix="0" xfId="0"/>
    <xf numFmtId="164" fontId="0" fillId="0" borderId="8" pivotButton="0" quotePrefix="0" xfId="0"/>
    <xf numFmtId="164" fontId="0" fillId="0" borderId="8" pivotButton="0" quotePrefix="0" xfId="5"/>
    <xf numFmtId="164" fontId="11" fillId="12" borderId="8" pivotButton="0" quotePrefix="0" xfId="5"/>
    <xf numFmtId="164" fontId="4" fillId="0" borderId="0" applyAlignment="1" pivotButton="0" quotePrefix="0" xfId="2">
      <alignment horizontal="center"/>
    </xf>
    <xf numFmtId="171" fontId="4" fillId="0" borderId="0" pivotButton="0" quotePrefix="0" xfId="0"/>
    <xf numFmtId="164" fontId="0" fillId="11" borderId="0" pivotButton="0" quotePrefix="0" xfId="0"/>
    <xf numFmtId="164" fontId="0" fillId="11" borderId="0" pivotButton="0" quotePrefix="0" xfId="5"/>
    <xf numFmtId="168" fontId="4" fillId="0" borderId="0" applyAlignment="1" pivotButton="0" quotePrefix="0" xfId="0">
      <alignment horizontal="center"/>
    </xf>
    <xf numFmtId="164" fontId="1" fillId="11" borderId="0" pivotButton="0" quotePrefix="0" xfId="0"/>
    <xf numFmtId="165" fontId="1" fillId="3" borderId="16" pivotButton="0" quotePrefix="0" xfId="0"/>
    <xf numFmtId="0" fontId="0" fillId="0" borderId="28" pivotButton="0" quotePrefix="0" xfId="0"/>
    <xf numFmtId="168" fontId="0" fillId="0" borderId="1" applyAlignment="1" pivotButton="0" quotePrefix="0" xfId="1">
      <alignment horizontal="center"/>
    </xf>
    <xf numFmtId="168" fontId="0" fillId="0" borderId="1" pivotButton="0" quotePrefix="0" xfId="1"/>
    <xf numFmtId="164" fontId="0" fillId="0" borderId="0" pivotButton="0" quotePrefix="0" xfId="0"/>
    <xf numFmtId="164" fontId="1" fillId="0" borderId="6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8" pivotButton="0" quotePrefix="0" xfId="0"/>
    <xf numFmtId="0" fontId="0" fillId="0" borderId="11" pivotButton="0" quotePrefix="0" xfId="0"/>
    <xf numFmtId="164" fontId="1" fillId="14" borderId="1" applyAlignment="1" pivotButton="0" quotePrefix="0" xfId="0">
      <alignment horizontal="center"/>
    </xf>
    <xf numFmtId="164" fontId="1" fillId="14" borderId="13" applyAlignment="1" pivotButton="0" quotePrefix="0" xfId="0">
      <alignment horizontal="center"/>
    </xf>
    <xf numFmtId="164" fontId="11" fillId="3" borderId="1" applyAlignment="1" pivotButton="0" quotePrefix="0" xfId="5">
      <alignment horizontal="center" wrapText="1"/>
    </xf>
    <xf numFmtId="164" fontId="11" fillId="3" borderId="1" applyAlignment="1" pivotButton="0" quotePrefix="0" xfId="5">
      <alignment horizontal="center"/>
    </xf>
    <xf numFmtId="168" fontId="0" fillId="0" borderId="1" applyAlignment="1" pivotButton="0" quotePrefix="1" xfId="1">
      <alignment horizontal="center"/>
    </xf>
    <xf numFmtId="164" fontId="0" fillId="0" borderId="1" pivotButton="0" quotePrefix="0" xfId="1"/>
    <xf numFmtId="164" fontId="12" fillId="0" borderId="1" pivotButton="0" quotePrefix="0" xfId="1"/>
    <xf numFmtId="164" fontId="2" fillId="0" borderId="1" pivotButton="0" quotePrefix="0" xfId="1"/>
    <xf numFmtId="164" fontId="0" fillId="3" borderId="1" pivotButton="0" quotePrefix="0" xfId="0"/>
    <xf numFmtId="164" fontId="12" fillId="3" borderId="0" pivotButton="0" quotePrefix="0" xfId="0"/>
    <xf numFmtId="168" fontId="0" fillId="0" borderId="0" pivotButton="0" quotePrefix="0" xfId="1"/>
    <xf numFmtId="165" fontId="4" fillId="0" borderId="0" applyAlignment="1" pivotButton="0" quotePrefix="0" xfId="0">
      <alignment horizontal="center"/>
    </xf>
    <xf numFmtId="164" fontId="1" fillId="0" borderId="8" pivotButton="0" quotePrefix="0" xfId="1"/>
    <xf numFmtId="164" fontId="1" fillId="0" borderId="0" pivotButton="0" quotePrefix="0" xfId="1"/>
    <xf numFmtId="164" fontId="1" fillId="0" borderId="0" applyAlignment="1" pivotButton="0" quotePrefix="0" xfId="1">
      <alignment horizontal="center"/>
    </xf>
    <xf numFmtId="165" fontId="0" fillId="0" borderId="0" pivotButton="0" quotePrefix="0" xfId="0"/>
    <xf numFmtId="165" fontId="0" fillId="0" borderId="0" applyAlignment="1" pivotButton="0" quotePrefix="0" xfId="0">
      <alignment horizontal="center"/>
    </xf>
    <xf numFmtId="164" fontId="1" fillId="3" borderId="8" pivotButton="0" quotePrefix="0" xfId="1"/>
    <xf numFmtId="164" fontId="0" fillId="0" borderId="0" pivotButton="0" quotePrefix="0" xfId="1"/>
    <xf numFmtId="164" fontId="0" fillId="0" borderId="0" applyAlignment="1" pivotButton="0" quotePrefix="0" xfId="1">
      <alignment horizontal="center"/>
    </xf>
    <xf numFmtId="164" fontId="19" fillId="3" borderId="5" pivotButton="0" quotePrefix="0" xfId="0"/>
    <xf numFmtId="164" fontId="0" fillId="0" borderId="0" pivotButton="0" quotePrefix="0" xfId="2"/>
    <xf numFmtId="164" fontId="19" fillId="0" borderId="5" pivotButton="0" quotePrefix="0" xfId="0"/>
    <xf numFmtId="164" fontId="19" fillId="0" borderId="0" pivotButton="0" quotePrefix="0" xfId="0"/>
    <xf numFmtId="164" fontId="0" fillId="0" borderId="6" pivotButton="0" quotePrefix="0" xfId="2"/>
    <xf numFmtId="164" fontId="2" fillId="0" borderId="0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164" fontId="2" fillId="0" borderId="14" applyAlignment="1" pivotButton="0" quotePrefix="0" xfId="2">
      <alignment horizontal="center"/>
    </xf>
    <xf numFmtId="164" fontId="0" fillId="0" borderId="14" applyAlignment="1" pivotButton="0" quotePrefix="0" xfId="2">
      <alignment horizontal="center"/>
    </xf>
    <xf numFmtId="164" fontId="0" fillId="0" borderId="14" pivotButton="0" quotePrefix="0" xfId="2"/>
    <xf numFmtId="164" fontId="2" fillId="0" borderId="0" applyAlignment="1" pivotButton="0" quotePrefix="0" xfId="0">
      <alignment horizontal="center"/>
    </xf>
    <xf numFmtId="164" fontId="0" fillId="0" borderId="13" applyAlignment="1" pivotButton="0" quotePrefix="0" xfId="2">
      <alignment horizontal="center"/>
    </xf>
    <xf numFmtId="164" fontId="12" fillId="0" borderId="0" applyAlignment="1" pivotButton="0" quotePrefix="0" xfId="0">
      <alignment horizontal="left"/>
    </xf>
    <xf numFmtId="164" fontId="0" fillId="0" borderId="14" pivotButton="0" quotePrefix="0" xfId="1"/>
    <xf numFmtId="164" fontId="0" fillId="3" borderId="0" pivotButton="0" quotePrefix="0" xfId="0"/>
    <xf numFmtId="164" fontId="17" fillId="3" borderId="0" pivotButton="0" quotePrefix="0" xfId="0"/>
    <xf numFmtId="164" fontId="1" fillId="15" borderId="1" applyAlignment="1" pivotButton="0" quotePrefix="0" xfId="1">
      <alignment horizontal="center"/>
    </xf>
    <xf numFmtId="164" fontId="26" fillId="4" borderId="1" applyAlignment="1" pivotButton="0" quotePrefix="0" xfId="1">
      <alignment horizontal="center"/>
    </xf>
    <xf numFmtId="166" fontId="0" fillId="0" borderId="1" applyAlignment="1" pivotButton="0" quotePrefix="0" xfId="0">
      <alignment horizontal="left"/>
    </xf>
    <xf numFmtId="167" fontId="2" fillId="0" borderId="11" applyAlignment="1" pivotButton="0" quotePrefix="0" xfId="0">
      <alignment horizontal="center"/>
    </xf>
    <xf numFmtId="164" fontId="1" fillId="0" borderId="11" pivotButton="0" quotePrefix="0" xfId="2"/>
    <xf numFmtId="164" fontId="1" fillId="0" borderId="3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left"/>
    </xf>
    <xf numFmtId="164" fontId="1" fillId="0" borderId="4" pivotButton="0" quotePrefix="0" xfId="0"/>
    <xf numFmtId="165" fontId="1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64" fontId="17" fillId="0" borderId="0" pivotButton="0" quotePrefix="0" xfId="2"/>
    <xf numFmtId="164" fontId="17" fillId="0" borderId="5" pivotButton="0" quotePrefix="0" xfId="2"/>
    <xf numFmtId="165" fontId="0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center"/>
    </xf>
    <xf numFmtId="164" fontId="0" fillId="0" borderId="14" applyAlignment="1" pivotButton="0" quotePrefix="0" xfId="1">
      <alignment horizontal="center"/>
    </xf>
    <xf numFmtId="170" fontId="0" fillId="0" borderId="0" pivotButton="0" quotePrefix="0" xfId="6"/>
    <xf numFmtId="164" fontId="1" fillId="2" borderId="1" applyAlignment="1" pivotButton="0" quotePrefix="0" xfId="0">
      <alignment horizontal="center"/>
    </xf>
    <xf numFmtId="164" fontId="1" fillId="2" borderId="1" applyAlignment="1" pivotButton="0" quotePrefix="0" xfId="1">
      <alignment horizontal="center"/>
    </xf>
    <xf numFmtId="164" fontId="11" fillId="3" borderId="1" applyAlignment="1" pivotButton="0" quotePrefix="0" xfId="7">
      <alignment horizontal="center"/>
    </xf>
    <xf numFmtId="164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164" fontId="1" fillId="0" borderId="1" pivotButton="0" quotePrefix="0" xfId="0"/>
    <xf numFmtId="164" fontId="15" fillId="0" borderId="1" pivotButton="0" quotePrefix="0" xfId="0"/>
    <xf numFmtId="164" fontId="1" fillId="3" borderId="1" pivotButton="0" quotePrefix="0" xfId="0"/>
    <xf numFmtId="164" fontId="0" fillId="0" borderId="4" pivotButton="0" quotePrefix="0" xfId="0"/>
    <xf numFmtId="164" fontId="14" fillId="0" borderId="0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center"/>
    </xf>
    <xf numFmtId="164" fontId="8" fillId="0" borderId="5" pivotButton="0" quotePrefix="0" xfId="3"/>
    <xf numFmtId="164" fontId="15" fillId="3" borderId="5" pivotButton="0" quotePrefix="0" xfId="0"/>
    <xf numFmtId="165" fontId="2" fillId="0" borderId="0" pivotButton="0" quotePrefix="0" xfId="0"/>
    <xf numFmtId="164" fontId="4" fillId="7" borderId="0" applyAlignment="1" pivotButton="0" quotePrefix="0" xfId="2">
      <alignment horizontal="center"/>
    </xf>
    <xf numFmtId="0" fontId="0" fillId="0" borderId="1" applyAlignment="1" pivotButton="0" quotePrefix="0" xfId="0">
      <alignment horizontal="center" wrapText="1"/>
    </xf>
    <xf numFmtId="164" fontId="4" fillId="9" borderId="0" applyAlignment="1" pivotButton="0" quotePrefix="0" xfId="2">
      <alignment horizontal="center"/>
    </xf>
    <xf numFmtId="164" fontId="0" fillId="0" borderId="1" applyAlignment="1" pivotButton="0" quotePrefix="0" xfId="1">
      <alignment horizontal="center"/>
    </xf>
    <xf numFmtId="164" fontId="0" fillId="0" borderId="1" applyAlignment="1" pivotButton="0" quotePrefix="0" xfId="2">
      <alignment horizontal="center"/>
    </xf>
    <xf numFmtId="164" fontId="16" fillId="0" borderId="0" applyAlignment="1" pivotButton="0" quotePrefix="0" xfId="0">
      <alignment horizontal="center"/>
    </xf>
    <xf numFmtId="164" fontId="4" fillId="7" borderId="14" applyAlignment="1" pivotButton="0" quotePrefix="0" xfId="2">
      <alignment horizontal="center"/>
    </xf>
    <xf numFmtId="164" fontId="4" fillId="10" borderId="0" applyAlignment="1" pivotButton="0" quotePrefix="0" xfId="2">
      <alignment horizontal="center"/>
    </xf>
    <xf numFmtId="164" fontId="15" fillId="2" borderId="1" applyAlignment="1" pivotButton="0" quotePrefix="0" xfId="1">
      <alignment horizontal="center"/>
    </xf>
    <xf numFmtId="169" fontId="0" fillId="0" borderId="1" applyAlignment="1" pivotButton="0" quotePrefix="0" xfId="0">
      <alignment horizontal="center"/>
    </xf>
    <xf numFmtId="167" fontId="8" fillId="0" borderId="11" applyAlignment="1" pivotButton="0" quotePrefix="0" xfId="3">
      <alignment horizontal="center"/>
    </xf>
    <xf numFmtId="164" fontId="1" fillId="14" borderId="1" applyAlignment="1" pivotButton="0" quotePrefix="0" xfId="1">
      <alignment horizontal="center"/>
    </xf>
    <xf numFmtId="164" fontId="26" fillId="14" borderId="1" applyAlignment="1" pivotButton="0" quotePrefix="0" xfId="1">
      <alignment horizontal="center"/>
    </xf>
    <xf numFmtId="166" fontId="0" fillId="0" borderId="1" applyAlignment="1" pivotButton="0" quotePrefix="0" xfId="0">
      <alignment horizontal="center"/>
    </xf>
    <xf numFmtId="167" fontId="2" fillId="0" borderId="11" applyAlignment="1" pivotButton="0" quotePrefix="1" xfId="0">
      <alignment horizontal="center"/>
    </xf>
    <xf numFmtId="164" fontId="1" fillId="0" borderId="1" pivotButton="0" quotePrefix="0" xfId="2"/>
    <xf numFmtId="164" fontId="19" fillId="0" borderId="0" pivotButton="0" quotePrefix="0" xfId="2"/>
    <xf numFmtId="164" fontId="1" fillId="0" borderId="6" applyAlignment="1" pivotButton="0" quotePrefix="0" xfId="1">
      <alignment horizontal="center"/>
    </xf>
    <xf numFmtId="164" fontId="0" fillId="7" borderId="0" applyAlignment="1" pivotButton="0" quotePrefix="0" xfId="2">
      <alignment horizontal="center"/>
    </xf>
    <xf numFmtId="164" fontId="0" fillId="7" borderId="14" applyAlignment="1" pivotButton="0" quotePrefix="0" xfId="2">
      <alignment horizontal="center"/>
    </xf>
    <xf numFmtId="164" fontId="0" fillId="0" borderId="14" applyAlignment="1" pivotButton="0" quotePrefix="0" xfId="0">
      <alignment horizontal="center"/>
    </xf>
    <xf numFmtId="164" fontId="0" fillId="7" borderId="0" pivotButton="0" quotePrefix="0" xfId="1"/>
    <xf numFmtId="164" fontId="14" fillId="0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164" fontId="0" fillId="0" borderId="1" pivotButton="0" quotePrefix="0" xfId="0"/>
    <xf numFmtId="164" fontId="12" fillId="0" borderId="1" pivotButton="0" quotePrefix="0" xfId="0"/>
    <xf numFmtId="164" fontId="12" fillId="0" borderId="12" pivotButton="0" quotePrefix="0" xfId="0"/>
    <xf numFmtId="164" fontId="0" fillId="0" borderId="12" pivotButton="0" quotePrefix="0" xfId="0"/>
    <xf numFmtId="166" fontId="0" fillId="0" borderId="12" applyAlignment="1" pivotButton="0" quotePrefix="0" xfId="0">
      <alignment horizontal="center"/>
    </xf>
    <xf numFmtId="164" fontId="1" fillId="0" borderId="6" pivotButton="0" quotePrefix="0" xfId="0"/>
    <xf numFmtId="164" fontId="0" fillId="0" borderId="4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5" fontId="14" fillId="0" borderId="0" applyAlignment="1" pivotButton="0" quotePrefix="0" xfId="0">
      <alignment horizontal="center"/>
    </xf>
    <xf numFmtId="165" fontId="18" fillId="0" borderId="0" pivotButton="0" quotePrefix="0" xfId="0"/>
    <xf numFmtId="164" fontId="2" fillId="0" borderId="13" applyAlignment="1" pivotButton="0" quotePrefix="0" xfId="2">
      <alignment horizontal="center"/>
    </xf>
    <xf numFmtId="164" fontId="2" fillId="0" borderId="0" pivotButton="0" quotePrefix="0" xfId="1"/>
    <xf numFmtId="164" fontId="0" fillId="7" borderId="4" pivotButton="0" quotePrefix="0" xfId="2"/>
    <xf numFmtId="164" fontId="0" fillId="7" borderId="0" pivotButton="0" quotePrefix="0" xfId="2"/>
    <xf numFmtId="164" fontId="0" fillId="7" borderId="14" pivotButton="0" quotePrefix="0" xfId="2"/>
    <xf numFmtId="164" fontId="0" fillId="0" borderId="14" pivotButton="0" quotePrefix="0" xfId="0"/>
    <xf numFmtId="164" fontId="0" fillId="7" borderId="0" pivotButton="0" quotePrefix="0" xfId="0"/>
    <xf numFmtId="164" fontId="1" fillId="6" borderId="0" pivotButton="0" quotePrefix="0" xfId="1"/>
  </cellXfs>
  <cellStyles count="11">
    <cellStyle name="Normal" xfId="0" builtinId="0"/>
    <cellStyle name="Comma" xfId="1" builtinId="3"/>
    <cellStyle name="Currency" xfId="2" builtinId="4"/>
    <cellStyle name="Hyperlink" xfId="3" builtinId="8"/>
    <cellStyle name="Normal 2" xfId="4"/>
    <cellStyle name="Currency 2" xfId="5"/>
    <cellStyle name="Percent" xfId="6" builtinId="5"/>
    <cellStyle name="Currency 4" xfId="7"/>
    <cellStyle name="Hyperlink 2" xfId="8"/>
    <cellStyle name="Comma 3" xfId="9"/>
    <cellStyle name="Normal 4" xfId="10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worksheet" Target="/xl/worksheets/sheet13.xml"/><Relationship Id="rId1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worksheet" Target="/xl/worksheets/sheet12.xml"/><Relationship Id="rId1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theme" Target="theme/theme1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styles" Target="styles.xml"/></Relationships>
</file>

<file path=xl/comments/comment1.xml><?xml version="1.0" encoding="utf-8"?>
<comments xmlns="http://schemas.openxmlformats.org/spreadsheetml/2006/main">
  <authors>
    <author>John Ryan</author>
  </authors>
  <commentList>
    <comment ref="H10" authorId="0" shapeId="0">
      <text>
        <t xml:space="preserve">"Intent to Film"
</t>
      </text>
    </comment>
    <comment ref="G15" authorId="0" shapeId="0">
      <text>
        <t xml:space="preserve">CPA/ State
</t>
      </text>
    </comment>
  </commentList>
</comments>
</file>

<file path=xl/comments/comment2.xml><?xml version="1.0" encoding="utf-8"?>
<comments xmlns="http://schemas.openxmlformats.org/spreadsheetml/2006/main">
  <authors>
    <author>Zscient Tharra D. Paraiso</author>
    <author>Admin User</author>
  </authors>
  <commentList>
    <comment ref="H8" authorId="0" shapeId="0">
      <text>
        <t>Zscient Tharra D. Paraiso:
Pay date from payroll report, check number, last 4 digits of Social Security Number</t>
      </text>
    </comment>
    <comment ref="AF8" authorId="0" shapeId="0">
      <text>
        <t>Zscient Tharra D. Paraiso:
If applicable, should be placed before Submitted Amount Column</t>
      </text>
    </comment>
    <comment ref="AT8" authorId="1" shapeId="0">
      <text>
        <t>Admin User:
Includes Taxable, Non-Taxable &amp; Corp -- Vac/Holiday Pay is included as a benefit</t>
      </text>
    </comment>
    <comment ref="AU8" authorId="1" shapeId="0">
      <text>
        <t>Admin User:
includes, FICA, Medi, FUI, SUI &amp; PH&amp;W &amp; Hoiday/Vacation Pay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O66"/>
  <sheetViews>
    <sheetView topLeftCell="A21" zoomScaleNormal="100" workbookViewId="0">
      <selection activeCell="C31" sqref="C31:C40"/>
    </sheetView>
  </sheetViews>
  <sheetFormatPr baseColWidth="8" defaultColWidth="9.140625" defaultRowHeight="15"/>
  <cols>
    <col width="2.85546875" customWidth="1" style="126" min="1" max="1"/>
    <col width="27.140625" customWidth="1" style="126" min="2" max="2"/>
    <col width="47" customWidth="1" style="126" min="3" max="3"/>
    <col width="12.5703125" bestFit="1" customWidth="1" style="126" min="4" max="6"/>
    <col width="12.140625" bestFit="1" customWidth="1" style="126" min="7" max="7"/>
    <col width="12.5703125" bestFit="1" customWidth="1" style="126" min="8" max="8"/>
    <col width="12.42578125" customWidth="1" style="126" min="9" max="9"/>
    <col width="20.85546875" bestFit="1" customWidth="1" style="126" min="10" max="10"/>
    <col width="13.85546875" bestFit="1" customWidth="1" style="126" min="11" max="11"/>
    <col width="1.28515625" customWidth="1" style="126" min="12" max="12"/>
    <col width="13.85546875" customWidth="1" style="126" min="13" max="13"/>
    <col width="14.28515625" bestFit="1" customWidth="1" style="126" min="14" max="14"/>
    <col width="11.140625" bestFit="1" customWidth="1" style="126" min="15" max="15"/>
    <col width="9.140625" customWidth="1" style="126" min="16" max="16384"/>
  </cols>
  <sheetData>
    <row r="1" ht="18.75" customFormat="1" customHeight="1" s="125">
      <c r="A1" s="419" t="inlineStr">
        <is>
          <t>TPC</t>
        </is>
      </c>
    </row>
    <row r="2" ht="18.75" customFormat="1" customHeight="1" s="125">
      <c r="A2" s="419" t="inlineStr">
        <is>
          <t>Commercial Project Summary</t>
        </is>
      </c>
    </row>
    <row r="4" ht="18.75" customHeight="1" s="358">
      <c r="A4" s="241" t="n"/>
      <c r="B4" s="240" t="inlineStr">
        <is>
          <t>Project Description</t>
        </is>
      </c>
      <c r="C4" s="322" t="n"/>
      <c r="D4" s="241" t="n"/>
      <c r="E4" s="241" t="n"/>
      <c r="F4" s="356" t="inlineStr">
        <is>
          <t>State:</t>
        </is>
      </c>
      <c r="G4" s="357" t="inlineStr">
        <is>
          <t>TX</t>
        </is>
      </c>
      <c r="H4" s="241" t="n"/>
      <c r="I4" s="241" t="n"/>
      <c r="J4" s="241" t="n"/>
      <c r="K4" s="241" t="n"/>
      <c r="L4" s="241" t="n"/>
      <c r="M4" s="241" t="n"/>
      <c r="N4" s="241" t="n"/>
    </row>
    <row r="5" ht="15.75" customHeight="1" s="358">
      <c r="A5" s="241" t="n"/>
      <c r="B5" s="240" t="inlineStr">
        <is>
          <t>Project Title:</t>
        </is>
      </c>
      <c r="C5" s="151" t="n"/>
      <c r="D5" s="241" t="n"/>
      <c r="E5" s="241" t="n"/>
      <c r="F5" s="241" t="n"/>
      <c r="G5" s="241" t="n"/>
      <c r="J5" s="241" t="n"/>
      <c r="K5" s="241" t="n"/>
      <c r="L5" s="241" t="n"/>
      <c r="M5" s="241" t="n"/>
      <c r="N5" s="241" t="n"/>
    </row>
    <row r="6" ht="15.75" customHeight="1" s="358">
      <c r="A6" s="241" t="n"/>
      <c r="B6" s="240" t="n"/>
      <c r="C6" s="415" t="n"/>
      <c r="D6" s="241" t="n"/>
      <c r="E6" s="241" t="n"/>
      <c r="J6" s="241" t="n"/>
      <c r="K6" s="241" t="n"/>
      <c r="L6" s="241" t="n"/>
      <c r="M6" s="241" t="n"/>
      <c r="N6" s="241" t="n"/>
    </row>
    <row r="7" ht="15.75" customHeight="1" s="358">
      <c r="A7" s="241" t="n"/>
      <c r="B7" s="240" t="inlineStr">
        <is>
          <t>Award Date</t>
        </is>
      </c>
      <c r="C7" s="151" t="n"/>
      <c r="D7" s="241" t="n"/>
      <c r="E7" s="241" t="n"/>
      <c r="J7" s="241" t="n"/>
      <c r="K7" s="241" t="n"/>
      <c r="L7" s="241" t="n"/>
      <c r="M7" s="241" t="n"/>
      <c r="N7" s="241" t="n"/>
    </row>
    <row r="8" ht="15.75" customHeight="1" s="358">
      <c r="A8" s="241" t="n"/>
      <c r="B8" s="240" t="inlineStr">
        <is>
          <t>Pre Pro Date</t>
        </is>
      </c>
      <c r="C8" s="151" t="n"/>
      <c r="D8" s="241" t="n"/>
      <c r="E8" s="241" t="n"/>
      <c r="L8" s="241" t="n"/>
      <c r="M8" s="71" t="n"/>
      <c r="N8" s="241" t="n"/>
    </row>
    <row r="9" ht="15.75" customHeight="1" s="358">
      <c r="A9" s="241" t="n"/>
      <c r="B9" s="240" t="inlineStr">
        <is>
          <t>Shoot Date</t>
        </is>
      </c>
      <c r="C9" s="417" t="n">
        <v>46068</v>
      </c>
      <c r="D9" s="241" t="n"/>
      <c r="E9" s="241" t="n"/>
      <c r="G9" s="420" t="inlineStr">
        <is>
          <t>Estimated Production Budget</t>
        </is>
      </c>
      <c r="K9" s="241" t="n"/>
      <c r="L9" s="241" t="n"/>
      <c r="M9" s="241" t="n"/>
      <c r="N9" s="241" t="n"/>
    </row>
    <row r="10" ht="18.75" customHeight="1" s="358">
      <c r="A10" s="241" t="n"/>
      <c r="B10" s="240" t="inlineStr">
        <is>
          <t>Production Wrap Date</t>
        </is>
      </c>
      <c r="C10" s="416" t="n"/>
      <c r="D10" s="241" t="n"/>
      <c r="E10" s="241" t="n"/>
      <c r="G10" s="241" t="n"/>
      <c r="H10" s="420" t="inlineStr">
        <is>
          <t xml:space="preserve"> In-State:</t>
        </is>
      </c>
      <c r="I10" s="420" t="inlineStr">
        <is>
          <t>Out of State</t>
        </is>
      </c>
      <c r="J10" s="420" t="inlineStr">
        <is>
          <t>Total</t>
        </is>
      </c>
      <c r="K10" s="241" t="n"/>
      <c r="L10" s="241" t="n"/>
      <c r="M10" s="241" t="n"/>
      <c r="N10" s="241" t="n"/>
      <c r="O10" s="241" t="n"/>
    </row>
    <row r="11">
      <c r="A11" s="241" t="n"/>
      <c r="B11" s="240" t="inlineStr">
        <is>
          <t>Post Production Date</t>
        </is>
      </c>
      <c r="C11" s="323" t="n"/>
      <c r="D11" s="241" t="n"/>
      <c r="E11" s="241" t="n"/>
      <c r="G11" s="240" t="n"/>
      <c r="H11" s="326" t="n"/>
      <c r="I11" s="327" t="n"/>
      <c r="J11" s="440" t="n">
        <v>0</v>
      </c>
      <c r="K11" s="241" t="inlineStr">
        <is>
          <t>Estimated Total</t>
        </is>
      </c>
      <c r="L11" s="241" t="n"/>
      <c r="M11" s="241" t="n"/>
      <c r="N11" s="241" t="n"/>
      <c r="O11" s="241" t="n"/>
    </row>
    <row r="12">
      <c r="A12" s="241" t="n"/>
      <c r="B12" s="240" t="n"/>
      <c r="C12" s="241" t="n"/>
      <c r="D12" s="241" t="n"/>
      <c r="E12" s="241" t="n"/>
      <c r="G12" s="329" t="n"/>
      <c r="H12" s="326" t="n"/>
      <c r="I12" s="327" t="n"/>
      <c r="J12" s="440" t="n">
        <v>0</v>
      </c>
      <c r="K12" s="241" t="inlineStr">
        <is>
          <t>Prodco direct costs</t>
        </is>
      </c>
      <c r="L12" s="241" t="n"/>
      <c r="M12" s="241" t="n"/>
      <c r="N12" s="241" t="n"/>
      <c r="O12" s="241" t="n"/>
    </row>
    <row r="13" ht="15.75" customHeight="1" s="358" thickBot="1">
      <c r="A13" s="241" t="n"/>
      <c r="B13" s="240" t="inlineStr">
        <is>
          <t>Client:</t>
        </is>
      </c>
      <c r="C13" s="142" t="n"/>
      <c r="D13" s="241" t="n"/>
      <c r="E13" s="241" t="n"/>
      <c r="G13" s="240" t="inlineStr">
        <is>
          <t>Total:</t>
        </is>
      </c>
      <c r="H13" s="330">
        <f>SUM(H11:H12)</f>
        <v/>
      </c>
      <c r="I13" s="331">
        <f>SUM(I11:I12)</f>
        <v/>
      </c>
      <c r="J13" s="331" t="n"/>
      <c r="K13" s="241" t="n"/>
      <c r="L13" s="241" t="n"/>
      <c r="M13" s="241" t="n"/>
      <c r="N13" s="241" t="n"/>
      <c r="O13" s="241" t="n"/>
    </row>
    <row r="14" ht="15.75" customHeight="1" s="358" thickTop="1">
      <c r="A14" s="241" t="n"/>
      <c r="B14" s="240" t="inlineStr">
        <is>
          <t>Client Brand:</t>
        </is>
      </c>
      <c r="C14" s="324" t="n"/>
      <c r="D14" s="241" t="n"/>
      <c r="E14" s="241" t="n"/>
      <c r="F14" s="241" t="n"/>
      <c r="G14" s="241" t="n"/>
      <c r="H14" s="241" t="n"/>
      <c r="I14" s="241" t="n"/>
      <c r="J14" s="241" t="n"/>
      <c r="K14" s="241" t="n"/>
      <c r="L14" s="241" t="n"/>
      <c r="M14" s="241" t="n"/>
      <c r="N14" s="241" t="n"/>
      <c r="O14" s="241" t="n"/>
    </row>
    <row r="15">
      <c r="A15" s="241" t="n"/>
      <c r="B15" s="240" t="inlineStr">
        <is>
          <t>Product:</t>
        </is>
      </c>
      <c r="C15" s="325" t="n"/>
      <c r="D15" s="241" t="n"/>
      <c r="E15" s="241" t="n"/>
      <c r="F15" s="241" t="n"/>
      <c r="G15" s="15" t="inlineStr">
        <is>
          <t>Submitted:</t>
        </is>
      </c>
      <c r="H15" s="241" t="n"/>
      <c r="I15" s="241" t="n"/>
      <c r="J15" s="15" t="inlineStr">
        <is>
          <t>Qualified</t>
        </is>
      </c>
      <c r="K15" s="333" t="n"/>
      <c r="L15" s="241" t="n"/>
      <c r="M15" s="420" t="inlineStr">
        <is>
          <t>DNQ</t>
        </is>
      </c>
      <c r="N15" s="241" t="n"/>
      <c r="O15" s="83" t="n"/>
    </row>
    <row r="16" ht="17.25" customHeight="1" s="358">
      <c r="A16" s="241" t="n"/>
      <c r="B16" s="240" t="inlineStr">
        <is>
          <t>Agency:</t>
        </is>
      </c>
      <c r="C16" s="142" t="n"/>
      <c r="D16" t="inlineStr">
        <is>
          <t>OOS Agency</t>
        </is>
      </c>
      <c r="E16" s="241" t="n"/>
      <c r="F16" s="241" t="n"/>
      <c r="G16" s="240" t="inlineStr">
        <is>
          <t>Production</t>
        </is>
      </c>
      <c r="H16" s="130">
        <f>'AP (POs + Reimbursement)'!F92</f>
        <v/>
      </c>
      <c r="I16" s="241" t="n"/>
      <c r="J16" s="240" t="inlineStr">
        <is>
          <t>Production</t>
        </is>
      </c>
      <c r="K16" s="129">
        <f>'AP (POs + Reimbursement)'!H101</f>
        <v/>
      </c>
      <c r="L16" s="336" t="n"/>
      <c r="M16" s="336">
        <f>K16-H16</f>
        <v/>
      </c>
      <c r="N16" s="241" t="n"/>
      <c r="O16" s="83" t="n"/>
    </row>
    <row r="17" ht="17.25" customHeight="1" s="358">
      <c r="B17" s="240" t="inlineStr">
        <is>
          <t>Production Company:</t>
        </is>
      </c>
      <c r="C17" s="142" t="n"/>
      <c r="D17" t="inlineStr">
        <is>
          <t>OOS ProdCo</t>
        </is>
      </c>
      <c r="E17" s="241" t="n"/>
      <c r="F17" s="241" t="n"/>
      <c r="G17" s="141" t="inlineStr">
        <is>
          <t>Prod. Crew Reimb.</t>
        </is>
      </c>
      <c r="H17" s="130">
        <f>#REF!+#REF!</f>
        <v/>
      </c>
      <c r="I17" s="241" t="n"/>
      <c r="J17" s="141" t="inlineStr">
        <is>
          <t>Prod. Crew Reimb.</t>
        </is>
      </c>
      <c r="K17" s="129">
        <f>#REF!+#REF!</f>
        <v/>
      </c>
      <c r="L17" s="241" t="n"/>
      <c r="M17" s="336">
        <f>K17-H17</f>
        <v/>
      </c>
      <c r="N17" s="241" t="n"/>
      <c r="O17" s="241" t="n"/>
    </row>
    <row r="18" ht="17.25" customHeight="1" s="358">
      <c r="B18" s="240" t="inlineStr">
        <is>
          <t>Crew Payroll Company:</t>
        </is>
      </c>
      <c r="C18" s="142" t="n"/>
      <c r="D18" s="241" t="n"/>
      <c r="E18" s="241" t="n"/>
      <c r="F18" s="241" t="n"/>
      <c r="G18" s="141" t="inlineStr">
        <is>
          <t>Petty Cash</t>
        </is>
      </c>
      <c r="H18" s="130">
        <f>'Petty Cash'!G111</f>
        <v/>
      </c>
      <c r="I18" s="241" t="n"/>
      <c r="J18" s="141" t="inlineStr">
        <is>
          <t>Petty Cash</t>
        </is>
      </c>
      <c r="K18" s="129">
        <f>'Petty Cash'!I120</f>
        <v/>
      </c>
      <c r="L18" s="336" t="n"/>
      <c r="M18" s="336">
        <f>K18-H18</f>
        <v/>
      </c>
      <c r="N18" s="241" t="n"/>
      <c r="O18" s="241" t="n"/>
    </row>
    <row r="19" ht="17.25" customHeight="1" s="358">
      <c r="B19" s="240" t="inlineStr">
        <is>
          <t>Celebrity Payroll Company:</t>
        </is>
      </c>
      <c r="C19" s="324" t="n"/>
      <c r="D19" s="241" t="n"/>
      <c r="E19" s="241" t="n"/>
      <c r="F19" s="241" t="n"/>
      <c r="G19" s="141" t="inlineStr">
        <is>
          <t>Crew Payroll (3rd Party)</t>
        </is>
      </c>
      <c r="H19" s="130">
        <f>'Crew Payroll'!AA58</f>
        <v/>
      </c>
      <c r="I19" s="241" t="n"/>
      <c r="J19" s="141" t="inlineStr">
        <is>
          <t>Crew Payroll (3rd Party)</t>
        </is>
      </c>
      <c r="K19" s="129">
        <f>'Crew Payroll'!AA67</f>
        <v/>
      </c>
      <c r="L19" s="336" t="n"/>
      <c r="M19" s="336">
        <f>K19-H19</f>
        <v/>
      </c>
      <c r="N19" s="241" t="n"/>
      <c r="O19" s="241" t="n"/>
    </row>
    <row r="20" ht="17.25" customHeight="1" s="358">
      <c r="B20" s="240" t="inlineStr">
        <is>
          <t>Talent Payroll Company:</t>
        </is>
      </c>
      <c r="C20" s="142" t="n"/>
      <c r="D20" s="241" t="n"/>
      <c r="E20" s="241" t="n"/>
      <c r="F20" s="241" t="n"/>
      <c r="G20" s="141" t="inlineStr">
        <is>
          <t>Crew Payroll (Independent Contractors)</t>
        </is>
      </c>
      <c r="H20" s="130">
        <f>'Crew - Indepen. Contractors'!I54</f>
        <v/>
      </c>
      <c r="I20" s="241" t="n"/>
      <c r="J20" s="141" t="inlineStr">
        <is>
          <t>Crew Payroll (Independent Contractors)</t>
        </is>
      </c>
      <c r="K20" s="129">
        <f>'Crew - Indepen. Contractors'!I52</f>
        <v/>
      </c>
      <c r="L20" s="241" t="n"/>
      <c r="M20" s="336">
        <f>K20-H20</f>
        <v/>
      </c>
      <c r="N20" s="241" t="n"/>
      <c r="O20" s="241" t="n"/>
    </row>
    <row r="21" ht="17.25" customHeight="1" s="358">
      <c r="B21" s="332" t="inlineStr">
        <is>
          <t>Production Insurance:</t>
        </is>
      </c>
      <c r="C21" s="324" t="n"/>
      <c r="D21" s="241" t="n"/>
      <c r="E21" s="241" t="n"/>
      <c r="F21" s="241" t="n"/>
      <c r="G21" s="240" t="inlineStr">
        <is>
          <t>Talent Payroll</t>
        </is>
      </c>
      <c r="H21" s="130">
        <f>'Talent Payroll'!S43</f>
        <v/>
      </c>
      <c r="I21" s="241" t="n"/>
      <c r="J21" s="240" t="inlineStr">
        <is>
          <t>Talent Payroll</t>
        </is>
      </c>
      <c r="K21" s="130">
        <f>'Talent Payroll'!Q52</f>
        <v/>
      </c>
      <c r="L21" s="337" t="n"/>
      <c r="M21" s="336">
        <f>K21-H21</f>
        <v/>
      </c>
      <c r="N21" s="241" t="n"/>
      <c r="O21" s="241" t="n"/>
    </row>
    <row r="22" ht="17.25" customHeight="1" s="358">
      <c r="B22" s="332" t="inlineStr">
        <is>
          <t>Other Payor 2:</t>
        </is>
      </c>
      <c r="C22" s="324" t="n"/>
      <c r="D22" s="241" t="n"/>
      <c r="E22" s="241" t="n"/>
      <c r="F22" s="241" t="n"/>
      <c r="G22" s="141" t="inlineStr">
        <is>
          <t>Agency</t>
        </is>
      </c>
      <c r="H22" s="130">
        <f>'Agency Vendor Exps'!H33</f>
        <v/>
      </c>
      <c r="I22" s="241" t="n"/>
      <c r="J22" s="141" t="inlineStr">
        <is>
          <t>Agency</t>
        </is>
      </c>
      <c r="K22" s="130">
        <f>'Agency Vendor Exps'!H42</f>
        <v/>
      </c>
      <c r="L22" s="337" t="n"/>
      <c r="M22" s="336">
        <f>K22-H22</f>
        <v/>
      </c>
      <c r="N22" s="241" t="n"/>
      <c r="O22" s="241" t="n"/>
    </row>
    <row r="23" ht="17.25" customHeight="1" s="358">
      <c r="B23" s="332" t="inlineStr">
        <is>
          <t xml:space="preserve">Other Payor 3: </t>
        </is>
      </c>
      <c r="C23" s="324" t="n"/>
      <c r="D23" s="241" t="n"/>
      <c r="E23" s="241" t="n"/>
      <c r="F23" s="241" t="n"/>
      <c r="G23" s="240" t="inlineStr">
        <is>
          <t>Other</t>
        </is>
      </c>
      <c r="H23" s="130" t="n">
        <v>0</v>
      </c>
      <c r="I23" s="241" t="n"/>
      <c r="J23" s="240" t="inlineStr">
        <is>
          <t>Other</t>
        </is>
      </c>
      <c r="K23" s="130">
        <f>H23</f>
        <v/>
      </c>
      <c r="L23" s="337" t="n"/>
      <c r="M23" s="336">
        <f>K23-H23</f>
        <v/>
      </c>
      <c r="N23" s="241" t="n"/>
      <c r="O23" s="241" t="n"/>
    </row>
    <row r="24">
      <c r="B24" s="332" t="n"/>
      <c r="C24" s="329" t="n"/>
      <c r="D24" s="241" t="n"/>
      <c r="E24" s="241" t="n"/>
      <c r="F24" s="241" t="n"/>
      <c r="G24" s="240" t="n"/>
      <c r="H24" s="338" t="n"/>
      <c r="I24" s="241" t="n"/>
      <c r="J24" s="240" t="n"/>
      <c r="K24" s="337" t="n"/>
      <c r="L24" s="337" t="n"/>
      <c r="M24" s="337" t="n"/>
      <c r="N24" s="241" t="n"/>
      <c r="O24" s="241" t="n"/>
    </row>
    <row r="25" ht="15.75" customHeight="1" s="358" thickBot="1">
      <c r="B25" s="240" t="inlineStr">
        <is>
          <t>Celebrity Name(s):</t>
        </is>
      </c>
      <c r="C25" s="324" t="n"/>
      <c r="D25" s="241" t="n"/>
      <c r="E25" s="241" t="n"/>
      <c r="F25" s="241" t="n"/>
      <c r="G25" s="240" t="inlineStr">
        <is>
          <t>Total Submitted costs:</t>
        </is>
      </c>
      <c r="H25" s="441">
        <f>SUM(H16:H24)</f>
        <v/>
      </c>
      <c r="I25" s="241" t="n"/>
      <c r="J25" s="240" t="inlineStr">
        <is>
          <t>Total Submitted costs:</t>
        </is>
      </c>
      <c r="K25" s="340">
        <f>SUM(K16:K24)</f>
        <v/>
      </c>
      <c r="L25" s="337" t="n"/>
      <c r="M25" s="340">
        <f>SUM(M16:M24)</f>
        <v/>
      </c>
      <c r="N25" s="241" t="n"/>
      <c r="O25" s="241" t="n"/>
    </row>
    <row r="26" ht="15.75" customHeight="1" s="358" thickTop="1">
      <c r="B26" s="329" t="n"/>
      <c r="C26" s="329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</row>
    <row r="27">
      <c r="B27" s="240" t="inlineStr">
        <is>
          <t>Job Description:</t>
        </is>
      </c>
      <c r="C27" s="324" t="n"/>
      <c r="D27" s="241" t="n"/>
      <c r="E27" s="241" t="n"/>
      <c r="F27" s="241" t="n"/>
      <c r="G27" s="241" t="n"/>
      <c r="H27" s="241" t="n"/>
      <c r="I27" s="241" t="n"/>
      <c r="J27" s="228" t="inlineStr">
        <is>
          <t>Submitted Payroll Expenditures:</t>
        </is>
      </c>
      <c r="K27" s="442">
        <f>K19+K20+K21</f>
        <v/>
      </c>
      <c r="L27" s="241" t="n"/>
      <c r="M27" s="241" t="n"/>
      <c r="N27" s="241" t="n"/>
    </row>
    <row r="28">
      <c r="B28" s="240" t="inlineStr">
        <is>
          <t>Agency Job Name:</t>
        </is>
      </c>
      <c r="C28" s="142" t="n"/>
      <c r="D28" s="289" t="n"/>
      <c r="E28" s="241" t="n"/>
      <c r="F28" s="241" t="n"/>
      <c r="G28" s="241" t="n"/>
      <c r="H28" s="241" t="n"/>
      <c r="I28" s="241" t="n"/>
      <c r="J28" s="228" t="inlineStr">
        <is>
          <t>Submitted AP Expenditures:</t>
        </is>
      </c>
      <c r="K28" s="443">
        <f>#REF!+#REF!+K22</f>
        <v/>
      </c>
      <c r="L28" s="241" t="n"/>
      <c r="M28" s="241" t="n"/>
      <c r="N28" s="241" t="n"/>
    </row>
    <row r="29">
      <c r="B29" s="240" t="inlineStr">
        <is>
          <t>Agency Job Number:</t>
        </is>
      </c>
      <c r="C29" s="142" t="n"/>
      <c r="D29" s="289" t="n"/>
      <c r="E29" s="241" t="n"/>
      <c r="F29" s="241" t="n"/>
      <c r="G29" s="241" t="n"/>
      <c r="H29" s="241" t="n"/>
      <c r="I29" s="241" t="n"/>
      <c r="J29" s="228" t="inlineStr">
        <is>
          <t>Submitted PC/CC Expenditures:</t>
        </is>
      </c>
      <c r="K29" s="444">
        <f>K18+#REF!+#REF!</f>
        <v/>
      </c>
      <c r="L29" s="241" t="n"/>
      <c r="M29" s="244" t="n"/>
    </row>
    <row r="30">
      <c r="B30" s="241" t="n"/>
      <c r="C30" s="241" t="n"/>
      <c r="D30" s="289" t="n"/>
      <c r="E30" s="241" t="n"/>
      <c r="F30" s="241" t="n"/>
      <c r="G30" s="241" t="n"/>
      <c r="H30" s="241" t="n"/>
      <c r="I30" s="241" t="n"/>
      <c r="J30" s="246" t="inlineStr">
        <is>
          <t>Total Submitted Expenditures:</t>
        </is>
      </c>
      <c r="K30" s="445">
        <f>SUM(K27:K29)</f>
        <v/>
      </c>
      <c r="L30" s="241" t="n"/>
      <c r="M30" s="337" t="n"/>
      <c r="N30" s="241" t="n"/>
    </row>
    <row r="31">
      <c r="B31" s="241" t="n"/>
      <c r="C31" t="inlineStr">
        <is>
          <t>AICP Bid</t>
        </is>
      </c>
      <c r="D31" s="446" t="n"/>
      <c r="E31" s="241" t="n"/>
      <c r="F31" s="241" t="n"/>
      <c r="G31" s="241" t="n"/>
      <c r="H31" s="7" t="n"/>
      <c r="I31" s="241" t="n"/>
      <c r="J31" s="241" t="n"/>
      <c r="K31" s="337" t="n"/>
      <c r="L31" s="337" t="n"/>
      <c r="M31" s="337" t="n"/>
      <c r="N31" s="245" t="n"/>
    </row>
    <row r="32">
      <c r="B32" s="241" t="n"/>
      <c r="C32" t="inlineStr">
        <is>
          <t>AICP Bid TX Only</t>
        </is>
      </c>
      <c r="D32" s="446" t="n"/>
      <c r="E32" s="241" t="n"/>
      <c r="F32" s="241" t="n"/>
      <c r="G32" s="241" t="n"/>
      <c r="H32" s="241" t="n"/>
      <c r="I32" s="241" t="n"/>
      <c r="J32" s="241" t="n"/>
      <c r="K32" t="inlineStr">
        <is>
          <t>Actuals</t>
        </is>
      </c>
      <c r="L32" s="241" t="n"/>
      <c r="M32" t="inlineStr">
        <is>
          <t>Maximum Allowed</t>
        </is>
      </c>
      <c r="N32" s="241" t="n"/>
    </row>
    <row r="33">
      <c r="B33" s="241" t="n"/>
      <c r="C33" t="inlineStr">
        <is>
          <t>Award Letter</t>
        </is>
      </c>
      <c r="D33" s="241" t="n"/>
      <c r="E33" s="241" t="n"/>
      <c r="F33" s="241" t="n"/>
      <c r="G33" s="241" t="n"/>
      <c r="H33" s="447" t="n"/>
      <c r="I33" s="251" t="inlineStr">
        <is>
          <t>Qualifying Spending:</t>
        </is>
      </c>
      <c r="J33" s="252" t="n"/>
      <c r="K33" s="448">
        <f>K30</f>
        <v/>
      </c>
      <c r="L33" s="252" t="n"/>
      <c r="M33" s="449" t="n">
        <v>229533.3333333333</v>
      </c>
      <c r="N33" s="241" t="n"/>
    </row>
    <row r="34">
      <c r="B34" s="241" t="n"/>
      <c r="C34" t="inlineStr">
        <is>
          <t>Grant Agreement</t>
        </is>
      </c>
      <c r="D34" s="264" t="n"/>
      <c r="E34" s="241" t="n"/>
      <c r="F34" s="241" t="n"/>
      <c r="G34" s="241" t="n"/>
      <c r="H34" s="241" t="n"/>
      <c r="I34" s="251" t="inlineStr">
        <is>
          <t>Anticipated Grant Pct:</t>
        </is>
      </c>
      <c r="J34" s="252" t="n"/>
      <c r="K34" s="256" t="n">
        <v>0.05</v>
      </c>
      <c r="L34" s="252" t="n"/>
      <c r="M34" s="256" t="n">
        <v>0.075</v>
      </c>
      <c r="N34" s="241" t="n"/>
    </row>
    <row r="35">
      <c r="B35" s="241" t="n"/>
      <c r="C35" t="inlineStr">
        <is>
          <t>Call Sheet</t>
        </is>
      </c>
      <c r="D35" s="450" t="n"/>
      <c r="E35" s="241" t="n"/>
      <c r="F35" s="241" t="n"/>
      <c r="H35" s="241" t="n"/>
      <c r="I35" s="258" t="inlineStr">
        <is>
          <t>Estimated Grant Amount:</t>
        </is>
      </c>
      <c r="J35" s="259" t="n"/>
      <c r="K35" s="451">
        <f>K33*K34</f>
        <v/>
      </c>
      <c r="L35" s="259" t="n"/>
      <c r="M35" s="451">
        <f>M33*M34</f>
        <v/>
      </c>
      <c r="N35" s="245" t="n"/>
    </row>
    <row r="36" ht="15.75" customHeight="1" s="358" thickBot="1">
      <c r="B36" s="241" t="n"/>
      <c r="C36" t="inlineStr">
        <is>
          <t>Production Contract</t>
        </is>
      </c>
      <c r="D36" s="132" t="n"/>
      <c r="E36" s="241" t="n"/>
      <c r="F36" s="241" t="n"/>
      <c r="H36" s="241" t="n"/>
      <c r="I36" s="241" t="n"/>
      <c r="J36" s="241" t="n"/>
      <c r="K36" s="336" t="n"/>
      <c r="L36" s="336" t="n"/>
      <c r="M36" s="336" t="n"/>
      <c r="N36" s="241" t="n"/>
    </row>
    <row r="37" ht="15.75" customHeight="1" s="358" thickBot="1">
      <c r="B37" s="241" t="n"/>
      <c r="C37" s="241" t="n"/>
      <c r="D37" s="241" t="n"/>
      <c r="E37" s="241" t="n"/>
      <c r="F37" s="241" t="n"/>
      <c r="H37" s="241" t="n"/>
      <c r="I37" s="261" t="n"/>
      <c r="J37" s="262" t="inlineStr">
        <is>
          <t>Amount Issued</t>
        </is>
      </c>
      <c r="K37" s="452" t="n"/>
      <c r="L37" s="7" t="n"/>
      <c r="M37" t="inlineStr">
        <is>
          <t>Per Michelle Habecker on X/XX/21</t>
        </is>
      </c>
      <c r="N37" s="241" t="n"/>
    </row>
    <row r="38">
      <c r="B38" s="241" t="n"/>
      <c r="C38" t="inlineStr">
        <is>
          <t>Application</t>
        </is>
      </c>
      <c r="D38" s="446" t="n"/>
      <c r="E38" s="241" t="n"/>
      <c r="F38" s="241" t="n"/>
      <c r="H38" s="241" t="n"/>
      <c r="I38" s="241" t="n"/>
      <c r="J38" s="241" t="n"/>
      <c r="K38" s="241" t="n"/>
      <c r="L38" s="241" t="n"/>
      <c r="M38" s="241" t="n"/>
      <c r="N38" s="338" t="n"/>
    </row>
    <row r="39">
      <c r="B39" s="289" t="n"/>
      <c r="C39" t="inlineStr">
        <is>
          <t>Agency Estimate</t>
        </is>
      </c>
      <c r="D39" s="446" t="n"/>
      <c r="E39" s="241" t="n"/>
      <c r="F39" s="241" t="n"/>
      <c r="H39" s="241" t="n"/>
      <c r="I39" s="241" t="n"/>
      <c r="J39" s="241" t="n"/>
      <c r="K39" s="241" t="n"/>
      <c r="L39" s="241" t="n"/>
      <c r="M39" s="241" t="n"/>
      <c r="N39" s="336" t="n"/>
    </row>
    <row r="40" ht="18.75" customHeight="1" s="358">
      <c r="B40" s="289" t="n"/>
      <c r="C40" t="inlineStr">
        <is>
          <t>Pre-Production Book</t>
        </is>
      </c>
      <c r="D40" s="450" t="n"/>
      <c r="E40" s="241" t="n"/>
      <c r="F40" s="357" t="n"/>
      <c r="H40" s="241" t="n"/>
      <c r="L40" s="241" t="n"/>
      <c r="M40" s="241" t="n"/>
      <c r="N40" s="257" t="n"/>
    </row>
    <row r="41">
      <c r="B41" s="15" t="inlineStr">
        <is>
          <t>Spots:</t>
        </is>
      </c>
      <c r="C41" s="150" t="n"/>
      <c r="D41" s="289" t="n"/>
      <c r="E41" s="241" t="n"/>
      <c r="H41" s="241" t="n"/>
      <c r="L41" s="241" t="n"/>
      <c r="M41" s="15" t="n"/>
      <c r="N41" s="257" t="n"/>
    </row>
    <row r="42" ht="15.75" customHeight="1" s="358" thickBot="1">
      <c r="B42" s="241" t="n"/>
      <c r="C42" s="150" t="n"/>
      <c r="D42" s="241" t="n"/>
      <c r="E42" s="241" t="n"/>
      <c r="H42" s="241" t="n"/>
      <c r="L42" s="241" t="n"/>
      <c r="M42" s="241" t="n"/>
      <c r="N42" s="245" t="n"/>
    </row>
    <row r="43" ht="18.75" customHeight="1" s="358">
      <c r="B43" s="241" t="n"/>
      <c r="C43" s="402" t="inlineStr">
        <is>
          <t>UPLIFTS FOR THIS JOB</t>
        </is>
      </c>
      <c r="D43" s="403" t="n"/>
      <c r="E43" s="404" t="n"/>
      <c r="H43" s="241" t="n"/>
      <c r="L43" s="241" t="n"/>
      <c r="M43" s="241" t="n"/>
      <c r="N43" s="241" t="n"/>
    </row>
    <row r="44">
      <c r="C44" s="421" t="inlineStr">
        <is>
          <t>Rural Area (2.5%</t>
        </is>
      </c>
      <c r="E44" s="347" t="b">
        <v>0</v>
      </c>
      <c r="H44" s="241" t="n"/>
      <c r="L44" s="241" t="n"/>
      <c r="M44" s="241" t="n"/>
      <c r="N44" s="241" t="n"/>
    </row>
    <row r="45">
      <c r="C45" s="421" t="inlineStr">
        <is>
          <t>Post Production (1%)</t>
        </is>
      </c>
      <c r="E45" s="347" t="b">
        <v>0</v>
      </c>
      <c r="H45" s="241" t="n"/>
      <c r="L45" s="241" t="n"/>
      <c r="M45" s="241" t="n"/>
      <c r="N45" s="241" t="n"/>
    </row>
    <row r="46">
      <c r="C46" s="421" t="inlineStr">
        <is>
          <t>Veteran Percentage (2.5%)</t>
        </is>
      </c>
      <c r="E46" s="347" t="b">
        <v>0</v>
      </c>
      <c r="H46" s="241" t="n"/>
      <c r="L46" s="241" t="n"/>
      <c r="M46" s="241" t="n"/>
      <c r="N46" s="241" t="n"/>
    </row>
    <row r="47">
      <c r="C47" s="421" t="inlineStr">
        <is>
          <t>Texas Historic Site (2.5%)</t>
        </is>
      </c>
      <c r="E47" s="347" t="b">
        <v>0</v>
      </c>
      <c r="H47" s="241" t="n"/>
      <c r="L47" s="241" t="n"/>
      <c r="M47" s="241" t="n"/>
      <c r="N47" s="241" t="n"/>
    </row>
    <row r="48">
      <c r="C48" s="421" t="inlineStr">
        <is>
          <t>Workforce Development (2.5%)</t>
        </is>
      </c>
      <c r="E48" s="347" t="b">
        <v>0</v>
      </c>
      <c r="H48" s="241" t="n"/>
      <c r="L48" s="241" t="n"/>
      <c r="M48" s="241" t="n"/>
      <c r="N48" s="241" t="n"/>
    </row>
    <row r="49">
      <c r="C49" s="421" t="inlineStr">
        <is>
          <t>Texas Heritage (2.5%)</t>
        </is>
      </c>
      <c r="E49" s="347" t="b">
        <v>0</v>
      </c>
      <c r="H49" s="289" t="n"/>
      <c r="L49" s="241" t="n"/>
      <c r="M49" s="241" t="n"/>
    </row>
    <row r="50" ht="15.75" customHeight="1" s="358" thickBot="1">
      <c r="C50" s="423" t="inlineStr">
        <is>
          <t>Faith-Based (2.5%)</t>
        </is>
      </c>
      <c r="D50" s="453" t="n"/>
      <c r="E50" s="348" t="b">
        <v>0</v>
      </c>
      <c r="H50" s="241" t="n"/>
      <c r="L50" s="241" t="n"/>
      <c r="M50" s="241" t="n"/>
    </row>
    <row r="51" ht="15.75" customHeight="1" s="358" thickBot="1">
      <c r="H51" s="241" t="n"/>
      <c r="L51" s="241" t="n"/>
      <c r="M51" s="241" t="n"/>
    </row>
    <row r="52">
      <c r="C52" s="399" t="inlineStr">
        <is>
          <t>TEXAS PRODUCTION DAYS VERIFICATION</t>
        </is>
      </c>
      <c r="D52" s="400" t="n"/>
      <c r="E52" s="401" t="n"/>
      <c r="H52" s="241" t="n"/>
      <c r="L52" s="241" t="n"/>
      <c r="M52" s="241" t="n"/>
    </row>
    <row r="53">
      <c r="C53" s="349" t="n"/>
      <c r="D53" s="241" t="n"/>
      <c r="E53" s="350" t="n"/>
    </row>
    <row r="54">
      <c r="C54" s="349" t="n"/>
      <c r="D54" s="141" t="inlineStr">
        <is>
          <t>Total Production (Shoot) Days:</t>
        </is>
      </c>
      <c r="E54" s="351">
        <f>1</f>
        <v/>
      </c>
    </row>
    <row r="55" ht="15.75" customHeight="1" s="358" thickBot="1">
      <c r="C55" s="352" t="n"/>
      <c r="D55" s="290" t="inlineStr">
        <is>
          <t>Texas Production (Shoot) Days:</t>
        </is>
      </c>
      <c r="E55" s="353">
        <f>1</f>
        <v/>
      </c>
    </row>
    <row r="56" ht="15.75" customHeight="1" s="358" thickTop="1">
      <c r="C56" s="349" t="n"/>
      <c r="D56" s="141" t="inlineStr">
        <is>
          <t>Texas Production Shoot Days Pct:</t>
        </is>
      </c>
      <c r="E56" s="354">
        <f>E54/E55</f>
        <v/>
      </c>
    </row>
    <row r="57">
      <c r="C57" s="349" t="n"/>
      <c r="D57" s="241" t="n"/>
      <c r="E57" s="350" t="n"/>
    </row>
    <row r="58" ht="15.75" customHeight="1" s="358" thickBot="1">
      <c r="C58" s="411" t="inlineStr">
        <is>
          <t>60% of total production days must be completed in TX</t>
        </is>
      </c>
      <c r="D58" s="412" t="n"/>
      <c r="E58" s="413" t="n"/>
    </row>
    <row r="59" ht="15.75" customHeight="1" s="358" thickBot="1">
      <c r="C59" s="241" t="n"/>
      <c r="D59" s="241" t="n"/>
      <c r="E59" s="241" t="n"/>
    </row>
    <row r="60">
      <c r="C60" s="405" t="inlineStr">
        <is>
          <t>TEXAS CREW AND CAST VERIFICATION</t>
        </is>
      </c>
      <c r="D60" s="406" t="n"/>
      <c r="E60" s="407" t="n"/>
    </row>
    <row r="61">
      <c r="C61" s="349" t="n"/>
      <c r="D61" s="241" t="n"/>
      <c r="E61" s="350" t="n"/>
    </row>
    <row r="62">
      <c r="C62" s="349" t="n"/>
      <c r="D62" s="15" t="inlineStr">
        <is>
          <t>Total Cast &amp; Crew</t>
        </is>
      </c>
      <c r="E62" s="351">
        <f>'Cast &amp; Crew List'!K8</f>
        <v/>
      </c>
    </row>
    <row r="63" ht="15.75" customHeight="1" s="358" thickBot="1">
      <c r="C63" s="352" t="n"/>
      <c r="D63" s="355" t="inlineStr">
        <is>
          <t>Total TEXAS Cast &amp; Crew</t>
        </is>
      </c>
      <c r="E63" s="353">
        <f>'Cast &amp; Crew List'!K7</f>
        <v/>
      </c>
    </row>
    <row r="64" ht="15.75" customHeight="1" s="358" thickTop="1">
      <c r="C64" s="349" t="n"/>
      <c r="D64" s="15" t="inlineStr">
        <is>
          <t>TX ONLY %</t>
        </is>
      </c>
      <c r="E64" s="354">
        <f>E63/E62</f>
        <v/>
      </c>
    </row>
    <row r="65">
      <c r="C65" s="349" t="n"/>
      <c r="D65" s="241" t="n"/>
      <c r="E65" s="350" t="n"/>
    </row>
    <row r="66" ht="15.75" customHeight="1" s="358" thickBot="1">
      <c r="C66" s="408" t="inlineStr">
        <is>
          <t>35% of Cast &amp; Crew Must be Texas Residents</t>
        </is>
      </c>
      <c r="D66" s="409" t="n"/>
      <c r="E66" s="410" t="n"/>
    </row>
  </sheetData>
  <mergeCells count="10">
    <mergeCell ref="G9:J9"/>
    <mergeCell ref="C46:D46"/>
    <mergeCell ref="C47:D47"/>
    <mergeCell ref="A2:N2"/>
    <mergeCell ref="C50:D50"/>
    <mergeCell ref="C45:D45"/>
    <mergeCell ref="C44:D44"/>
    <mergeCell ref="C48:D48"/>
    <mergeCell ref="C49:D49"/>
    <mergeCell ref="A1:N1"/>
  </mergeCells>
  <pageMargins left="0.7" right="0.7" top="0.75" bottom="0.75" header="0.3" footer="0.3"/>
  <pageSetup orientation="landscape" scale="51"/>
  <headerFooter>
    <oddHeader/>
    <oddFooter>&amp;R&amp;A_x000a_&amp;Z&amp;F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/>
  </sheetPr>
  <dimension ref="A2:B15"/>
  <sheetViews>
    <sheetView workbookViewId="0">
      <selection activeCell="C22" sqref="C22"/>
    </sheetView>
  </sheetViews>
  <sheetFormatPr baseColWidth="8" defaultRowHeight="15"/>
  <cols>
    <col width="61.42578125" bestFit="1" customWidth="1" style="358" min="1" max="1"/>
  </cols>
  <sheetData>
    <row r="2">
      <c r="A2" s="7" t="n"/>
    </row>
    <row r="3">
      <c r="A3" s="7" t="inlineStr">
        <is>
          <t>W-9 for All Vendors</t>
        </is>
      </c>
    </row>
    <row r="4">
      <c r="A4" s="7" t="inlineStr">
        <is>
          <t>Since ineligible amounts were removed, should we modify the receipt?</t>
        </is>
      </c>
    </row>
    <row r="5">
      <c r="A5" s="7" t="inlineStr">
        <is>
          <t>CPA Audit</t>
        </is>
      </c>
      <c r="B5" t="inlineStr">
        <is>
          <t>No</t>
        </is>
      </c>
    </row>
    <row r="6">
      <c r="A6" s="7" t="inlineStr">
        <is>
          <t>Loan-out Registration</t>
        </is>
      </c>
      <c r="B6" t="inlineStr">
        <is>
          <t>No</t>
        </is>
      </c>
    </row>
    <row r="7">
      <c r="A7" s="7" t="inlineStr">
        <is>
          <t>Income tax withholding</t>
        </is>
      </c>
      <c r="B7" t="inlineStr">
        <is>
          <t>Not required for both individual and loan-out</t>
        </is>
      </c>
    </row>
    <row r="9">
      <c r="A9" s="7" t="inlineStr">
        <is>
          <t>Have we gotten DTRs from All Crew Listed on the Callsheet?</t>
        </is>
      </c>
      <c r="B9" t="b">
        <v>0</v>
      </c>
    </row>
    <row r="10">
      <c r="A10" s="7" t="inlineStr">
        <is>
          <t>Have we gotten DTRs from All Crew Listed on the Payroll Report?</t>
        </is>
      </c>
      <c r="B10" t="b">
        <v>0</v>
      </c>
    </row>
    <row r="11">
      <c r="A11" s="7" t="inlineStr">
        <is>
          <t>Have we gotten DTRs from All Crew Listed on the Invoices?</t>
        </is>
      </c>
      <c r="B11" t="b">
        <v>0</v>
      </c>
    </row>
    <row r="12">
      <c r="A12" s="7" t="inlineStr">
        <is>
          <t>Have we gotten DTRs from All Talent Listed on the Callsheet?</t>
        </is>
      </c>
      <c r="B12" t="b">
        <v>0</v>
      </c>
    </row>
    <row r="13">
      <c r="A13" s="7" t="inlineStr">
        <is>
          <t>Have we gotten DTRs from All Talent Listed on the Payroll Report?</t>
        </is>
      </c>
      <c r="B13" t="b">
        <v>0</v>
      </c>
    </row>
    <row r="14">
      <c r="A14" s="7" t="inlineStr">
        <is>
          <t>Are all DTRs verified by the production Company?</t>
        </is>
      </c>
      <c r="B14" t="b">
        <v>0</v>
      </c>
    </row>
    <row r="15">
      <c r="A15" s="7" t="inlineStr">
        <is>
          <t>Have Driver's licences been put into the Database?</t>
        </is>
      </c>
      <c r="B15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L21"/>
  <sheetViews>
    <sheetView workbookViewId="0">
      <selection activeCell="D15" sqref="D15"/>
    </sheetView>
  </sheetViews>
  <sheetFormatPr baseColWidth="8" defaultColWidth="9.140625" defaultRowHeight="15"/>
  <cols>
    <col width="12.7109375" customWidth="1" style="422" min="1" max="1"/>
    <col width="16.7109375" customWidth="1" style="358" min="2" max="2"/>
    <col width="30.7109375" customWidth="1" style="422" min="3" max="3"/>
    <col width="20.28515625" bestFit="1" customWidth="1" style="358" min="4" max="4"/>
    <col width="14.85546875" customWidth="1" style="358" min="5" max="5"/>
    <col width="22" bestFit="1" customWidth="1" style="358" min="8" max="8"/>
    <col width="23.85546875" bestFit="1" customWidth="1" style="358" min="9" max="9"/>
    <col width="19.7109375" customWidth="1" style="358" min="10" max="10"/>
    <col width="3.140625" customWidth="1" style="358" min="11" max="11"/>
    <col width="58.7109375" customWidth="1" style="358" min="12" max="12"/>
  </cols>
  <sheetData>
    <row r="2" ht="33.75" customHeight="1" s="358">
      <c r="C2" s="418" t="inlineStr">
        <is>
          <t>PRODUCTION LOCATIONS</t>
        </is>
      </c>
      <c r="I2" s="229" t="n"/>
    </row>
    <row r="3" ht="33.75" customHeight="1" s="358">
      <c r="D3" s="229" t="n"/>
      <c r="E3" s="229" t="n"/>
      <c r="F3" s="229" t="n"/>
      <c r="G3" s="229" t="n"/>
      <c r="L3" s="345" t="inlineStr">
        <is>
          <t xml:space="preserve">Any County EXCEPT the following will qualify for Rural Uplift: </t>
        </is>
      </c>
    </row>
    <row r="4" ht="15.75" customHeight="1" s="358">
      <c r="A4" s="414" t="inlineStr">
        <is>
          <t>Shoot Day</t>
        </is>
      </c>
      <c r="B4" s="314" t="inlineStr">
        <is>
          <t>Location Name</t>
        </is>
      </c>
      <c r="C4" s="295" t="inlineStr">
        <is>
          <t>Street Number</t>
        </is>
      </c>
      <c r="D4" s="295" t="inlineStr">
        <is>
          <t>Street Name</t>
        </is>
      </c>
      <c r="E4" s="295" t="inlineStr">
        <is>
          <t xml:space="preserve">City </t>
        </is>
      </c>
      <c r="F4" s="295" t="inlineStr">
        <is>
          <t>State</t>
        </is>
      </c>
      <c r="G4" s="295" t="inlineStr">
        <is>
          <t>Zip Code</t>
        </is>
      </c>
      <c r="H4" s="295" t="inlineStr">
        <is>
          <t>Production Date/Range</t>
        </is>
      </c>
      <c r="I4" s="315" t="inlineStr">
        <is>
          <t>Notes (Basecamp, Non-TX)</t>
        </is>
      </c>
      <c r="J4" s="295" t="inlineStr">
        <is>
          <t>TX County</t>
        </is>
      </c>
      <c r="L4" s="346" t="inlineStr">
        <is>
          <t>Harris</t>
        </is>
      </c>
    </row>
    <row r="5" ht="15.75" customHeight="1" s="358">
      <c r="A5" s="29" t="inlineStr">
        <is>
          <t>DAY 1 of 4</t>
        </is>
      </c>
      <c r="B5" s="36" t="n"/>
      <c r="C5" s="230" t="n"/>
      <c r="D5" s="36" t="n"/>
      <c r="E5" s="29" t="n"/>
      <c r="F5" s="29" t="n"/>
      <c r="G5" s="29" t="n"/>
      <c r="H5" s="231" t="n"/>
      <c r="I5" s="232" t="n"/>
      <c r="J5" s="231" t="n"/>
      <c r="L5" s="346" t="inlineStr">
        <is>
          <t>Dallas</t>
        </is>
      </c>
    </row>
    <row r="6" ht="15.75" customHeight="1" s="358">
      <c r="A6" s="29" t="inlineStr">
        <is>
          <t>DAY 2 of 4</t>
        </is>
      </c>
      <c r="B6" s="36" t="n"/>
      <c r="C6" s="230" t="n"/>
      <c r="D6" s="36" t="n"/>
      <c r="E6" s="29" t="n"/>
      <c r="F6" s="29" t="n"/>
      <c r="G6" s="29" t="n"/>
      <c r="H6" s="231" t="n"/>
      <c r="I6" s="232" t="n"/>
      <c r="J6" s="231" t="n"/>
      <c r="L6" s="346" t="inlineStr">
        <is>
          <t>Tarrant</t>
        </is>
      </c>
    </row>
    <row r="7" ht="15.75" customHeight="1" s="358">
      <c r="A7" s="29" t="inlineStr">
        <is>
          <t>DAY 3 of 4</t>
        </is>
      </c>
      <c r="B7" s="36" t="n"/>
      <c r="C7" s="230" t="n"/>
      <c r="D7" s="36" t="n"/>
      <c r="E7" s="29" t="n"/>
      <c r="F7" s="29" t="n"/>
      <c r="G7" s="29" t="n"/>
      <c r="H7" s="231" t="n"/>
      <c r="I7" s="232" t="n"/>
      <c r="J7" s="231" t="n"/>
      <c r="L7" s="346" t="inlineStr">
        <is>
          <t>Bexar</t>
        </is>
      </c>
    </row>
    <row r="8" ht="15.75" customHeight="1" s="358">
      <c r="A8" s="29" t="inlineStr">
        <is>
          <t>DAY 4 of 4</t>
        </is>
      </c>
      <c r="B8" s="36" t="n"/>
      <c r="C8" s="230" t="n"/>
      <c r="D8" s="36" t="n"/>
      <c r="E8" s="29" t="n"/>
      <c r="F8" s="29" t="n"/>
      <c r="G8" s="29" t="n"/>
      <c r="H8" s="231" t="n"/>
      <c r="I8" s="36" t="n"/>
      <c r="J8" s="231" t="n"/>
      <c r="L8" s="346" t="inlineStr">
        <is>
          <t>Travis</t>
        </is>
      </c>
    </row>
    <row r="9" ht="15.75" customHeight="1" s="358">
      <c r="L9" s="346" t="inlineStr">
        <is>
          <t>Collin</t>
        </is>
      </c>
    </row>
    <row r="10" ht="15.75" customHeight="1" s="358">
      <c r="L10" s="346" t="inlineStr">
        <is>
          <t>Denton</t>
        </is>
      </c>
    </row>
    <row r="11" ht="15.75" customHeight="1" s="358">
      <c r="L11" s="346" t="inlineStr">
        <is>
          <t>Fort Bend</t>
        </is>
      </c>
    </row>
    <row r="12" ht="15.75" customHeight="1" s="358">
      <c r="L12" s="346" t="inlineStr">
        <is>
          <t>Hidalgo</t>
        </is>
      </c>
    </row>
    <row r="13" ht="15.75" customHeight="1" s="358">
      <c r="L13" s="346" t="inlineStr">
        <is>
          <t>El Paso</t>
        </is>
      </c>
    </row>
    <row r="14" ht="15.75" customHeight="1" s="358">
      <c r="L14" s="346" t="inlineStr">
        <is>
          <t>Montgomery</t>
        </is>
      </c>
    </row>
    <row r="15" ht="15.75" customHeight="1" s="358">
      <c r="L15" s="346" t="inlineStr">
        <is>
          <t>Williamson</t>
        </is>
      </c>
    </row>
    <row r="16" ht="15.75" customHeight="1" s="358">
      <c r="L16" s="346" t="inlineStr">
        <is>
          <t>Cameron</t>
        </is>
      </c>
    </row>
    <row r="17" ht="15.75" customHeight="1" s="358">
      <c r="L17" s="346" t="inlineStr">
        <is>
          <t>Brazoria</t>
        </is>
      </c>
    </row>
    <row r="18" ht="15.75" customHeight="1" s="358">
      <c r="L18" s="346" t="inlineStr">
        <is>
          <t>Bell</t>
        </is>
      </c>
    </row>
    <row r="19" ht="15.75" customHeight="1" s="358">
      <c r="L19" s="346" t="inlineStr">
        <is>
          <t>Galveston</t>
        </is>
      </c>
    </row>
    <row r="20" ht="15.75" customHeight="1" s="358">
      <c r="L20" s="346" t="inlineStr">
        <is>
          <t>Nueces</t>
        </is>
      </c>
    </row>
    <row r="21" ht="15.75" customHeight="1" s="358">
      <c r="L21" s="346" t="inlineStr">
        <is>
          <t>Lubbock</t>
        </is>
      </c>
    </row>
  </sheetData>
  <mergeCells count="1">
    <mergeCell ref="C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B2:K94"/>
  <sheetViews>
    <sheetView zoomScale="80" zoomScaleNormal="80" workbookViewId="0">
      <selection activeCell="K22" sqref="K22"/>
    </sheetView>
  </sheetViews>
  <sheetFormatPr baseColWidth="8" defaultColWidth="9.140625" defaultRowHeight="15"/>
  <cols>
    <col width="5.140625" customWidth="1" style="422" min="2" max="2"/>
    <col width="29.140625" bestFit="1" customWidth="1" style="358" min="3" max="3"/>
    <col width="29.140625" customWidth="1" style="358" min="4" max="4"/>
    <col width="29" customWidth="1" style="358" min="5" max="5"/>
    <col width="14.42578125" bestFit="1" customWidth="1" style="358" min="6" max="6"/>
    <col width="23.42578125" bestFit="1" customWidth="1" style="358" min="7" max="7"/>
    <col width="41.28515625" customWidth="1" style="358" min="8" max="8"/>
    <col width="5.140625" customWidth="1" style="358" min="9" max="9"/>
    <col width="30.28515625" customWidth="1" style="358" min="10" max="10"/>
    <col width="21.28515625" customWidth="1" style="358" min="11" max="11"/>
  </cols>
  <sheetData>
    <row r="2" ht="33.75" customHeight="1" s="358">
      <c r="C2" s="418" t="inlineStr">
        <is>
          <t>CAST &amp; CREW LIST</t>
        </is>
      </c>
    </row>
    <row r="3" ht="15.75" customHeight="1" s="358" thickBot="1">
      <c r="D3" t="inlineStr">
        <is>
          <t>Alphabetized by Last Name</t>
        </is>
      </c>
    </row>
    <row r="4">
      <c r="C4" s="295" t="inlineStr">
        <is>
          <t>Crew Or Talent</t>
        </is>
      </c>
      <c r="D4" s="295" t="inlineStr">
        <is>
          <t>Name (Last, First)</t>
        </is>
      </c>
      <c r="E4" s="295" t="inlineStr">
        <is>
          <t>Crew Position / Role</t>
        </is>
      </c>
      <c r="F4" s="295" t="inlineStr">
        <is>
          <t>DTR Form (Y/N)</t>
        </is>
      </c>
      <c r="G4" s="295" t="inlineStr">
        <is>
          <t>Parent Name (for Minors)</t>
        </is>
      </c>
      <c r="H4" s="297" t="inlineStr">
        <is>
          <t>Notes</t>
        </is>
      </c>
      <c r="J4" s="359" t="inlineStr">
        <is>
          <t>1st Shoot date</t>
        </is>
      </c>
      <c r="K4" s="360">
        <f>Overview!C9</f>
        <v/>
      </c>
    </row>
    <row r="5" ht="15.75" customHeight="1" s="358" thickBot="1">
      <c r="B5" s="422" t="n">
        <v>1</v>
      </c>
      <c r="C5" s="233" t="inlineStr">
        <is>
          <t>CREW #1</t>
        </is>
      </c>
      <c r="D5" s="233" t="n"/>
      <c r="E5" s="454" t="n"/>
      <c r="F5" s="287" t="inlineStr">
        <is>
          <t>Y</t>
        </is>
      </c>
      <c r="G5" s="287" t="n"/>
      <c r="H5" s="36" t="n"/>
      <c r="J5" s="361" t="inlineStr">
        <is>
          <t>120 Days Prior to Shoot date</t>
        </is>
      </c>
      <c r="K5" s="362">
        <f>K4-120</f>
        <v/>
      </c>
    </row>
    <row r="6" ht="15.75" customHeight="1" s="358" thickBot="1">
      <c r="B6" s="422">
        <f>B5+1</f>
        <v/>
      </c>
      <c r="C6" s="233" t="inlineStr">
        <is>
          <t>CREW #2</t>
        </is>
      </c>
      <c r="D6" s="233" t="n"/>
      <c r="E6" s="454" t="n"/>
      <c r="F6" s="287" t="inlineStr">
        <is>
          <t>Y</t>
        </is>
      </c>
      <c r="G6" s="287" t="n"/>
      <c r="H6" s="36" t="n"/>
    </row>
    <row r="7">
      <c r="B7" s="422">
        <f>B6+1</f>
        <v/>
      </c>
      <c r="C7" s="233" t="n"/>
      <c r="D7" s="233" t="n"/>
      <c r="E7" s="454" t="n"/>
      <c r="F7" s="287" t="n"/>
      <c r="G7" s="287" t="n"/>
      <c r="H7" s="36" t="n"/>
      <c r="J7" s="363" t="inlineStr">
        <is>
          <t>TOTAL TX ONLY - CREW &amp; CAST</t>
        </is>
      </c>
      <c r="K7" s="364">
        <f>COUNTIF(F5:F89,"Y")</f>
        <v/>
      </c>
    </row>
    <row r="8">
      <c r="B8" s="422">
        <f>B7+1</f>
        <v/>
      </c>
      <c r="C8" s="233" t="n"/>
      <c r="D8" s="233" t="n"/>
      <c r="E8" s="454" t="n"/>
      <c r="F8" s="287" t="n"/>
      <c r="G8" s="287" t="n"/>
      <c r="H8" s="36" t="n"/>
      <c r="J8" s="365" t="inlineStr">
        <is>
          <t>TOTAL ALL CREW &amp; CAST</t>
        </is>
      </c>
      <c r="K8" s="366">
        <f>COUNTA(C5:C90)</f>
        <v/>
      </c>
    </row>
    <row r="9" ht="15.75" customHeight="1" s="358" thickBot="1">
      <c r="B9" s="422">
        <f>B8+1</f>
        <v/>
      </c>
      <c r="C9" s="455" t="n"/>
      <c r="D9" s="455" t="n"/>
      <c r="E9" s="454" t="n"/>
      <c r="F9" s="287" t="n"/>
      <c r="G9" s="287" t="n"/>
      <c r="H9" s="36" t="n"/>
      <c r="J9" s="367" t="inlineStr">
        <is>
          <t>TX ONLY %</t>
        </is>
      </c>
      <c r="K9" s="368">
        <f>K7/K8</f>
        <v/>
      </c>
    </row>
    <row r="10">
      <c r="B10" s="422">
        <f>B9+1</f>
        <v/>
      </c>
      <c r="C10" s="233" t="n"/>
      <c r="D10" s="233" t="n"/>
      <c r="E10" s="454" t="n"/>
      <c r="F10" s="287" t="n"/>
      <c r="G10" s="287" t="n"/>
      <c r="H10" s="36" t="n"/>
    </row>
    <row r="11">
      <c r="B11" s="422">
        <f>B10+1</f>
        <v/>
      </c>
      <c r="C11" s="233" t="n"/>
      <c r="D11" s="233" t="n"/>
      <c r="E11" s="454" t="n"/>
      <c r="F11" s="287" t="n"/>
      <c r="G11" s="287" t="n"/>
      <c r="H11" s="36" t="n"/>
    </row>
    <row r="12">
      <c r="B12" s="422">
        <f>B11+1</f>
        <v/>
      </c>
      <c r="C12" s="233" t="n"/>
      <c r="D12" s="233" t="n"/>
      <c r="E12" s="454" t="n"/>
      <c r="F12" s="287" t="n"/>
      <c r="G12" s="287" t="n"/>
      <c r="H12" s="36" t="n"/>
    </row>
    <row r="13">
      <c r="B13" s="422">
        <f>B12+1</f>
        <v/>
      </c>
      <c r="C13" s="455" t="n"/>
      <c r="D13" s="455" t="n"/>
      <c r="E13" s="454" t="n"/>
      <c r="F13" s="287" t="n"/>
      <c r="G13" s="287" t="n"/>
      <c r="H13" s="36" t="n"/>
    </row>
    <row r="14">
      <c r="B14" s="422">
        <f>B13+1</f>
        <v/>
      </c>
      <c r="C14" s="233" t="n"/>
      <c r="D14" s="233" t="n"/>
      <c r="E14" s="454" t="n"/>
      <c r="F14" s="287" t="n"/>
      <c r="G14" s="287" t="n"/>
      <c r="H14" s="36" t="n"/>
    </row>
    <row r="15">
      <c r="B15" s="422">
        <f>B14+1</f>
        <v/>
      </c>
      <c r="C15" s="233" t="n"/>
      <c r="D15" s="233" t="n"/>
      <c r="E15" s="454" t="n"/>
      <c r="F15" s="287" t="n"/>
      <c r="G15" s="287" t="n"/>
      <c r="H15" s="36" t="n"/>
    </row>
    <row r="16">
      <c r="B16" s="422">
        <f>B15+1</f>
        <v/>
      </c>
      <c r="C16" s="233" t="n"/>
      <c r="D16" s="233" t="n"/>
      <c r="E16" s="454" t="n"/>
      <c r="F16" s="287" t="n"/>
      <c r="G16" s="287" t="n"/>
      <c r="H16" s="36" t="n"/>
    </row>
    <row r="17">
      <c r="B17" s="422">
        <f>B16+1</f>
        <v/>
      </c>
      <c r="C17" s="233" t="n"/>
      <c r="D17" s="233" t="n"/>
      <c r="E17" s="454" t="n"/>
      <c r="F17" s="287" t="n"/>
      <c r="G17" s="287" t="n"/>
      <c r="H17" s="36" t="n"/>
    </row>
    <row r="18">
      <c r="B18" s="422">
        <f>B17+1</f>
        <v/>
      </c>
      <c r="C18" s="455" t="n"/>
      <c r="D18" s="455" t="n"/>
      <c r="E18" s="454" t="n"/>
      <c r="F18" s="287" t="n"/>
      <c r="G18" s="287" t="n"/>
      <c r="H18" s="36" t="n"/>
    </row>
    <row r="19">
      <c r="B19" s="422">
        <f>B18+1</f>
        <v/>
      </c>
      <c r="C19" s="233" t="n"/>
      <c r="D19" s="233" t="n"/>
      <c r="E19" s="454" t="n"/>
      <c r="F19" s="287" t="n"/>
      <c r="G19" s="287" t="n"/>
      <c r="H19" s="36" t="n"/>
    </row>
    <row r="20">
      <c r="B20" s="422">
        <f>B19+1</f>
        <v/>
      </c>
      <c r="C20" s="455" t="n"/>
      <c r="D20" s="455" t="n"/>
      <c r="E20" s="454" t="n"/>
      <c r="F20" s="287" t="n"/>
      <c r="G20" s="287" t="n"/>
      <c r="H20" s="36" t="n"/>
    </row>
    <row r="21">
      <c r="B21" s="422">
        <f>B20+1</f>
        <v/>
      </c>
      <c r="C21" s="455" t="n"/>
      <c r="D21" s="455" t="n"/>
      <c r="E21" s="454" t="n"/>
      <c r="F21" s="287" t="n"/>
      <c r="G21" s="287" t="n"/>
      <c r="H21" s="36" t="n"/>
    </row>
    <row r="22">
      <c r="B22" s="422">
        <f>B21+1</f>
        <v/>
      </c>
      <c r="C22" s="233" t="n"/>
      <c r="D22" s="233" t="n"/>
      <c r="E22" s="454" t="n"/>
      <c r="F22" s="287" t="n"/>
      <c r="G22" s="287" t="n"/>
      <c r="H22" s="36" t="n"/>
    </row>
    <row r="23">
      <c r="B23" s="422">
        <f>B22+1</f>
        <v/>
      </c>
      <c r="C23" s="233" t="n"/>
      <c r="D23" s="233" t="n"/>
      <c r="E23" s="454" t="n"/>
      <c r="F23" s="287" t="n"/>
      <c r="G23" s="287" t="n"/>
      <c r="H23" s="36" t="n"/>
    </row>
    <row r="24">
      <c r="B24" s="422">
        <f>B23+1</f>
        <v/>
      </c>
      <c r="C24" s="455" t="n"/>
      <c r="D24" s="455" t="n"/>
      <c r="E24" s="454" t="n"/>
      <c r="F24" s="287" t="n"/>
      <c r="G24" s="287" t="n"/>
      <c r="H24" s="36" t="n"/>
    </row>
    <row r="25">
      <c r="B25" s="422">
        <f>B24+1</f>
        <v/>
      </c>
      <c r="C25" s="455" t="n"/>
      <c r="D25" s="455" t="n"/>
      <c r="E25" s="454" t="n"/>
      <c r="F25" s="287" t="n"/>
      <c r="G25" s="287" t="n"/>
      <c r="H25" s="36" t="n"/>
    </row>
    <row r="26">
      <c r="B26" s="422">
        <f>B25+1</f>
        <v/>
      </c>
      <c r="C26" s="455" t="n"/>
      <c r="D26" s="455" t="n"/>
      <c r="E26" s="454" t="n"/>
      <c r="F26" s="287" t="n"/>
      <c r="G26" s="287" t="n"/>
      <c r="H26" s="36" t="n"/>
    </row>
    <row r="27">
      <c r="B27" s="422">
        <f>B26+1</f>
        <v/>
      </c>
      <c r="C27" s="455" t="n"/>
      <c r="D27" s="455" t="n"/>
      <c r="E27" s="454" t="n"/>
      <c r="F27" s="287" t="n"/>
      <c r="G27" s="287" t="n"/>
      <c r="H27" s="36" t="n"/>
    </row>
    <row r="28">
      <c r="B28" s="422">
        <f>B27+1</f>
        <v/>
      </c>
      <c r="C28" s="455" t="n"/>
      <c r="D28" s="455" t="n"/>
      <c r="E28" s="454" t="n"/>
      <c r="F28" s="287" t="n"/>
      <c r="G28" s="287" t="n"/>
      <c r="H28" s="36" t="n"/>
    </row>
    <row r="29">
      <c r="B29" s="422">
        <f>B28+1</f>
        <v/>
      </c>
      <c r="C29" s="233" t="n"/>
      <c r="D29" s="233" t="n"/>
      <c r="E29" s="454" t="n"/>
      <c r="F29" s="287" t="n"/>
      <c r="G29" s="287" t="n"/>
      <c r="H29" s="36" t="n"/>
    </row>
    <row r="30">
      <c r="B30" s="422">
        <f>B29+1</f>
        <v/>
      </c>
      <c r="C30" s="233" t="n"/>
      <c r="D30" s="233" t="n"/>
      <c r="E30" s="454" t="n"/>
      <c r="F30" s="287" t="n"/>
      <c r="G30" s="287" t="n"/>
      <c r="H30" s="36" t="n"/>
    </row>
    <row r="31">
      <c r="B31" s="422">
        <f>B30+1</f>
        <v/>
      </c>
      <c r="C31" s="455" t="n"/>
      <c r="D31" s="455" t="n"/>
      <c r="E31" s="454" t="n"/>
      <c r="F31" s="287" t="n"/>
      <c r="G31" s="287" t="n"/>
      <c r="H31" s="36" t="n"/>
    </row>
    <row r="32">
      <c r="B32" s="422">
        <f>B31+1</f>
        <v/>
      </c>
      <c r="C32" s="233" t="n"/>
      <c r="D32" s="233" t="n"/>
      <c r="E32" s="454" t="n"/>
      <c r="F32" s="287" t="n"/>
      <c r="G32" s="287" t="n"/>
      <c r="H32" s="36" t="n"/>
    </row>
    <row r="33">
      <c r="B33" s="422">
        <f>B32+1</f>
        <v/>
      </c>
      <c r="C33" s="233" t="n"/>
      <c r="D33" s="233" t="n"/>
      <c r="E33" s="454" t="n"/>
      <c r="F33" s="287" t="n"/>
      <c r="G33" s="287" t="n"/>
      <c r="H33" s="36" t="n"/>
    </row>
    <row r="34">
      <c r="B34" s="422">
        <f>B33+1</f>
        <v/>
      </c>
      <c r="C34" s="233" t="n"/>
      <c r="D34" s="233" t="n"/>
      <c r="E34" s="454" t="n"/>
      <c r="F34" s="287" t="n"/>
      <c r="G34" s="287" t="n"/>
      <c r="H34" s="36" t="n"/>
    </row>
    <row r="35">
      <c r="B35" s="422">
        <f>B34+1</f>
        <v/>
      </c>
      <c r="C35" s="233" t="n"/>
      <c r="D35" s="233" t="n"/>
      <c r="E35" s="454" t="n"/>
      <c r="F35" s="287" t="n"/>
      <c r="G35" s="287" t="n"/>
      <c r="H35" s="36" t="n"/>
    </row>
    <row r="36">
      <c r="B36" s="422">
        <f>B35+1</f>
        <v/>
      </c>
      <c r="C36" s="233" t="n"/>
      <c r="D36" s="233" t="n"/>
      <c r="E36" s="454" t="n"/>
      <c r="F36" s="287" t="n"/>
      <c r="G36" s="287" t="n"/>
      <c r="H36" s="36" t="n"/>
    </row>
    <row r="37">
      <c r="B37" s="422">
        <f>B36+1</f>
        <v/>
      </c>
      <c r="C37" s="233" t="n"/>
      <c r="D37" s="233" t="n"/>
      <c r="E37" s="454" t="n"/>
      <c r="F37" s="287" t="n"/>
      <c r="G37" s="287" t="n"/>
      <c r="H37" s="36" t="n"/>
    </row>
    <row r="38">
      <c r="B38" s="422">
        <f>B37+1</f>
        <v/>
      </c>
      <c r="C38" s="233" t="n"/>
      <c r="D38" s="233" t="n"/>
      <c r="E38" s="454" t="n"/>
      <c r="F38" s="287" t="n"/>
      <c r="G38" s="287" t="n"/>
      <c r="H38" s="36" t="n"/>
    </row>
    <row r="39">
      <c r="B39" s="422">
        <f>B38+1</f>
        <v/>
      </c>
      <c r="C39" s="233" t="n"/>
      <c r="D39" s="233" t="n"/>
      <c r="E39" s="454" t="n"/>
      <c r="F39" s="287" t="n"/>
      <c r="G39" s="287" t="n"/>
      <c r="H39" s="36" t="n"/>
    </row>
    <row r="40">
      <c r="B40" s="422">
        <f>B39+1</f>
        <v/>
      </c>
      <c r="C40" s="233" t="n"/>
      <c r="D40" s="233" t="n"/>
      <c r="E40" s="454" t="n"/>
      <c r="F40" s="287" t="n"/>
      <c r="G40" s="287" t="n"/>
      <c r="H40" s="36" t="n"/>
    </row>
    <row r="41">
      <c r="B41" s="422">
        <f>B40+1</f>
        <v/>
      </c>
      <c r="C41" s="233" t="n"/>
      <c r="D41" s="233" t="n"/>
      <c r="E41" s="454" t="n"/>
      <c r="F41" s="287" t="n"/>
      <c r="G41" s="287" t="n"/>
      <c r="H41" s="36" t="n"/>
    </row>
    <row r="42">
      <c r="B42" s="422">
        <f>B41+1</f>
        <v/>
      </c>
      <c r="C42" s="233" t="n"/>
      <c r="D42" s="233" t="n"/>
      <c r="E42" s="454" t="n"/>
      <c r="F42" s="287" t="n"/>
      <c r="G42" s="287" t="n"/>
      <c r="H42" s="36" t="n"/>
    </row>
    <row r="43">
      <c r="B43" s="422">
        <f>B42+1</f>
        <v/>
      </c>
      <c r="C43" s="233" t="n"/>
      <c r="D43" s="233" t="n"/>
      <c r="E43" s="454" t="n"/>
      <c r="F43" s="287" t="n"/>
      <c r="G43" s="287" t="n"/>
      <c r="H43" s="36" t="n"/>
    </row>
    <row r="44">
      <c r="B44" s="422">
        <f>B43+1</f>
        <v/>
      </c>
      <c r="C44" s="455" t="n"/>
      <c r="D44" s="455" t="n"/>
      <c r="E44" s="454" t="n"/>
      <c r="F44" s="287" t="n"/>
      <c r="G44" s="287" t="n"/>
      <c r="H44" s="36" t="n"/>
    </row>
    <row r="45">
      <c r="B45" s="422">
        <f>B44+1</f>
        <v/>
      </c>
      <c r="C45" s="455" t="n"/>
      <c r="D45" s="455" t="n"/>
      <c r="E45" s="454" t="n"/>
      <c r="F45" s="287" t="n"/>
      <c r="G45" s="287" t="n"/>
      <c r="H45" s="36" t="n"/>
    </row>
    <row r="46">
      <c r="B46" s="422">
        <f>B45+1</f>
        <v/>
      </c>
      <c r="C46" s="455" t="n"/>
      <c r="D46" s="455" t="n"/>
      <c r="E46" s="454" t="n"/>
      <c r="F46" s="287" t="n"/>
      <c r="G46" s="287" t="n"/>
      <c r="H46" s="36" t="n"/>
    </row>
    <row r="47">
      <c r="B47" s="422">
        <f>B46+1</f>
        <v/>
      </c>
      <c r="C47" s="233" t="n"/>
      <c r="D47" s="233" t="n"/>
      <c r="E47" s="454" t="n"/>
      <c r="F47" s="287" t="n"/>
      <c r="G47" s="287" t="n"/>
      <c r="H47" s="36" t="n"/>
    </row>
    <row r="48">
      <c r="B48" s="422">
        <f>B47+1</f>
        <v/>
      </c>
      <c r="C48" s="455" t="n"/>
      <c r="D48" s="455" t="n"/>
      <c r="E48" s="454" t="n"/>
      <c r="F48" s="287" t="n"/>
      <c r="G48" s="287" t="n"/>
      <c r="H48" s="36" t="n"/>
    </row>
    <row r="49">
      <c r="B49" s="422">
        <f>B48+1</f>
        <v/>
      </c>
      <c r="C49" s="233" t="n"/>
      <c r="D49" s="233" t="n"/>
      <c r="E49" s="454" t="n"/>
      <c r="F49" s="287" t="n"/>
      <c r="G49" s="287" t="n"/>
      <c r="H49" s="36" t="n"/>
    </row>
    <row r="50">
      <c r="B50" s="422">
        <f>B49+1</f>
        <v/>
      </c>
      <c r="C50" s="233" t="n"/>
      <c r="D50" s="233" t="n"/>
      <c r="E50" s="454" t="n"/>
      <c r="F50" s="287" t="n"/>
      <c r="G50" s="287" t="n"/>
      <c r="H50" s="36" t="n"/>
    </row>
    <row r="51">
      <c r="B51" s="422">
        <f>B50+1</f>
        <v/>
      </c>
      <c r="C51" s="233" t="n"/>
      <c r="D51" s="233" t="n"/>
      <c r="E51" s="454" t="n"/>
      <c r="F51" s="287" t="n"/>
      <c r="G51" s="287" t="n"/>
      <c r="H51" s="36" t="n"/>
    </row>
    <row r="52">
      <c r="B52" s="422">
        <f>B51+1</f>
        <v/>
      </c>
      <c r="C52" s="455" t="n"/>
      <c r="D52" s="455" t="n"/>
      <c r="E52" s="454" t="n"/>
      <c r="F52" s="287" t="n"/>
      <c r="G52" s="287" t="n"/>
      <c r="H52" s="36" t="n"/>
    </row>
    <row r="53">
      <c r="B53" s="422">
        <f>B52+1</f>
        <v/>
      </c>
      <c r="C53" s="233" t="n"/>
      <c r="D53" s="233" t="n"/>
      <c r="E53" s="454" t="n"/>
      <c r="F53" s="287" t="n"/>
      <c r="G53" s="287" t="n"/>
      <c r="H53" s="36" t="n"/>
    </row>
    <row r="54">
      <c r="B54" s="422" t="n">
        <v>1</v>
      </c>
      <c r="C54" s="233" t="inlineStr">
        <is>
          <t>CAST #1</t>
        </is>
      </c>
      <c r="D54" s="233" t="n"/>
      <c r="E54" s="454" t="n"/>
      <c r="F54" s="287" t="inlineStr">
        <is>
          <t>Y</t>
        </is>
      </c>
      <c r="G54" s="287" t="n"/>
      <c r="H54" s="36" t="n"/>
    </row>
    <row r="55">
      <c r="B55" s="422">
        <f>B54+1</f>
        <v/>
      </c>
      <c r="C55" s="233" t="inlineStr">
        <is>
          <t>CAST #2</t>
        </is>
      </c>
      <c r="D55" s="233" t="n"/>
      <c r="E55" s="454" t="n"/>
      <c r="F55" s="287" t="inlineStr">
        <is>
          <t>Y</t>
        </is>
      </c>
      <c r="G55" s="287" t="n"/>
      <c r="H55" s="36" t="n"/>
    </row>
    <row r="56">
      <c r="B56" s="422">
        <f>B55+1</f>
        <v/>
      </c>
      <c r="C56" s="455" t="inlineStr">
        <is>
          <t>CAST #3</t>
        </is>
      </c>
      <c r="D56" s="455" t="n"/>
      <c r="E56" s="454" t="n"/>
      <c r="F56" s="287" t="inlineStr">
        <is>
          <t>N</t>
        </is>
      </c>
      <c r="G56" s="287" t="n"/>
      <c r="H56" s="36" t="n"/>
    </row>
    <row r="57">
      <c r="B57" s="422">
        <f>B56+1</f>
        <v/>
      </c>
      <c r="C57" s="233" t="n"/>
      <c r="D57" s="233" t="n"/>
      <c r="E57" s="454" t="n"/>
      <c r="F57" s="287" t="n"/>
      <c r="G57" s="287" t="n"/>
      <c r="H57" s="36" t="n"/>
    </row>
    <row r="58">
      <c r="B58" s="422">
        <f>B57+1</f>
        <v/>
      </c>
      <c r="C58" s="233" t="n"/>
      <c r="D58" s="233" t="n"/>
      <c r="E58" s="454" t="n"/>
      <c r="F58" s="287" t="n"/>
      <c r="G58" s="287" t="n"/>
      <c r="H58" s="36" t="n"/>
    </row>
    <row r="59">
      <c r="B59" s="422">
        <f>B58+1</f>
        <v/>
      </c>
      <c r="C59" s="455" t="n"/>
      <c r="D59" s="455" t="n"/>
      <c r="E59" s="454" t="n"/>
      <c r="F59" s="287" t="n"/>
      <c r="G59" s="287" t="n"/>
      <c r="H59" s="36" t="n"/>
    </row>
    <row r="60">
      <c r="B60" s="422">
        <f>B59+1</f>
        <v/>
      </c>
      <c r="C60" s="455" t="n"/>
      <c r="D60" s="455" t="n"/>
      <c r="E60" s="454" t="n"/>
      <c r="F60" s="287" t="n"/>
      <c r="G60" s="287" t="n"/>
      <c r="H60" s="36" t="n"/>
    </row>
    <row r="61">
      <c r="B61" s="422">
        <f>B60+1</f>
        <v/>
      </c>
      <c r="C61" s="233" t="n"/>
      <c r="D61" s="233" t="n"/>
      <c r="E61" s="454" t="n"/>
      <c r="F61" s="287" t="n"/>
      <c r="G61" s="287" t="n"/>
      <c r="H61" s="36" t="n"/>
    </row>
    <row r="62">
      <c r="B62" s="422">
        <f>B61+1</f>
        <v/>
      </c>
      <c r="C62" s="233" t="n"/>
      <c r="D62" s="233" t="n"/>
      <c r="E62" s="454" t="n"/>
      <c r="F62" s="287" t="n"/>
      <c r="G62" s="287" t="n"/>
      <c r="H62" s="36" t="n"/>
    </row>
    <row r="63">
      <c r="B63" s="422">
        <f>B62+1</f>
        <v/>
      </c>
      <c r="C63" s="233" t="n"/>
      <c r="D63" s="233" t="n"/>
      <c r="E63" s="454" t="n"/>
      <c r="F63" s="287" t="n"/>
      <c r="G63" s="287" t="n"/>
      <c r="H63" s="36" t="n"/>
    </row>
    <row r="64">
      <c r="B64" s="422">
        <f>B63+1</f>
        <v/>
      </c>
      <c r="C64" s="233" t="n"/>
      <c r="D64" s="233" t="n"/>
      <c r="E64" s="454" t="n"/>
      <c r="F64" s="287" t="n"/>
      <c r="G64" s="287" t="n"/>
      <c r="H64" s="36" t="n"/>
    </row>
    <row r="65">
      <c r="B65" s="422">
        <f>B64+1</f>
        <v/>
      </c>
      <c r="C65" s="233" t="n"/>
      <c r="D65" s="233" t="n"/>
      <c r="E65" s="454" t="n"/>
      <c r="F65" s="287" t="n"/>
      <c r="G65" s="287" t="n"/>
      <c r="H65" s="36" t="n"/>
    </row>
    <row r="66">
      <c r="B66" s="422">
        <f>B65+1</f>
        <v/>
      </c>
      <c r="C66" s="233" t="n"/>
      <c r="D66" s="233" t="n"/>
      <c r="E66" s="454" t="n"/>
      <c r="F66" s="287" t="n"/>
      <c r="G66" s="287" t="n"/>
      <c r="H66" s="36" t="n"/>
    </row>
    <row r="67">
      <c r="B67" s="422">
        <f>B66+1</f>
        <v/>
      </c>
      <c r="C67" s="233" t="n"/>
      <c r="D67" s="233" t="n"/>
      <c r="E67" s="454" t="n"/>
      <c r="F67" s="287" t="n"/>
      <c r="G67" s="287" t="n"/>
      <c r="H67" s="36" t="n"/>
    </row>
    <row r="68">
      <c r="B68" s="422">
        <f>B67+1</f>
        <v/>
      </c>
      <c r="C68" s="233" t="n"/>
      <c r="D68" s="233" t="n"/>
      <c r="E68" s="454" t="n"/>
      <c r="F68" s="287" t="n"/>
      <c r="G68" s="287" t="n"/>
      <c r="H68" s="36" t="n"/>
    </row>
    <row r="69">
      <c r="B69" s="422">
        <f>B68+1</f>
        <v/>
      </c>
      <c r="C69" s="233" t="n"/>
      <c r="D69" s="233" t="n"/>
      <c r="E69" s="454" t="n"/>
      <c r="F69" s="287" t="n"/>
      <c r="G69" s="287" t="n"/>
      <c r="H69" s="36" t="n"/>
    </row>
    <row r="70">
      <c r="B70" s="422">
        <f>B69+1</f>
        <v/>
      </c>
      <c r="C70" s="233" t="n"/>
      <c r="D70" s="233" t="n"/>
      <c r="E70" s="454" t="n"/>
      <c r="F70" s="287" t="n"/>
      <c r="G70" s="287" t="n"/>
      <c r="H70" s="36" t="n"/>
    </row>
    <row r="71">
      <c r="B71" s="422">
        <f>B70+1</f>
        <v/>
      </c>
      <c r="C71" s="233" t="n"/>
      <c r="D71" s="233" t="n"/>
      <c r="E71" s="454" t="n"/>
      <c r="F71" s="287" t="n"/>
      <c r="G71" s="287" t="n"/>
      <c r="H71" s="36" t="n"/>
    </row>
    <row r="72">
      <c r="B72" s="422">
        <f>B71+1</f>
        <v/>
      </c>
      <c r="C72" s="233" t="n"/>
      <c r="D72" s="233" t="n"/>
      <c r="E72" s="454" t="n"/>
      <c r="F72" s="287" t="n"/>
      <c r="G72" s="287" t="n"/>
      <c r="H72" s="36" t="n"/>
    </row>
    <row r="73">
      <c r="B73" s="422">
        <f>B72+1</f>
        <v/>
      </c>
      <c r="C73" s="233" t="n"/>
      <c r="D73" s="233" t="n"/>
      <c r="E73" s="454" t="n"/>
      <c r="F73" s="287" t="n"/>
      <c r="G73" s="287" t="n"/>
      <c r="H73" s="36" t="n"/>
    </row>
    <row r="74">
      <c r="B74" s="422">
        <f>B73+1</f>
        <v/>
      </c>
      <c r="C74" s="233" t="n"/>
      <c r="D74" s="233" t="n"/>
      <c r="E74" s="454" t="n"/>
      <c r="F74" s="287" t="n"/>
      <c r="G74" s="287" t="n"/>
      <c r="H74" s="36" t="n"/>
    </row>
    <row r="75">
      <c r="B75" s="422">
        <f>B74+1</f>
        <v/>
      </c>
      <c r="C75" s="233" t="n"/>
      <c r="D75" s="233" t="n"/>
      <c r="E75" s="454" t="n"/>
      <c r="F75" s="287" t="n"/>
      <c r="G75" s="287" t="n"/>
      <c r="H75" s="36" t="n"/>
    </row>
    <row r="76">
      <c r="B76" s="422">
        <f>B75+1</f>
        <v/>
      </c>
      <c r="C76" s="233" t="n"/>
      <c r="D76" s="233" t="n"/>
      <c r="E76" s="454" t="n"/>
      <c r="F76" s="287" t="n"/>
      <c r="G76" s="287" t="n"/>
      <c r="H76" s="36" t="n"/>
    </row>
    <row r="77">
      <c r="B77" s="422">
        <f>B76+1</f>
        <v/>
      </c>
      <c r="C77" s="233" t="n"/>
      <c r="D77" s="233" t="n"/>
      <c r="E77" s="454" t="n"/>
      <c r="F77" s="287" t="n"/>
      <c r="G77" s="287" t="n"/>
      <c r="H77" s="36" t="n"/>
    </row>
    <row r="78">
      <c r="B78" s="422">
        <f>B77+1</f>
        <v/>
      </c>
      <c r="C78" s="233" t="n"/>
      <c r="D78" s="233" t="n"/>
      <c r="E78" s="454" t="n"/>
      <c r="F78" s="287" t="n"/>
      <c r="G78" s="287" t="n"/>
      <c r="H78" s="36" t="n"/>
    </row>
    <row r="79">
      <c r="B79" s="422">
        <f>B78+1</f>
        <v/>
      </c>
      <c r="C79" s="233" t="n"/>
      <c r="D79" s="233" t="n"/>
      <c r="E79" s="454" t="n"/>
      <c r="F79" s="287" t="n"/>
      <c r="G79" s="287" t="n"/>
      <c r="H79" s="36" t="n"/>
    </row>
    <row r="80">
      <c r="B80" s="422" t="n">
        <v>27</v>
      </c>
      <c r="C80" s="233" t="n"/>
      <c r="D80" s="233" t="n"/>
      <c r="E80" s="454" t="n"/>
      <c r="F80" s="287" t="n"/>
      <c r="G80" s="287" t="n"/>
      <c r="H80" s="36" t="n"/>
    </row>
    <row r="81">
      <c r="B81" s="422" t="n">
        <v>28</v>
      </c>
      <c r="C81" s="233" t="n"/>
      <c r="D81" s="233" t="n"/>
      <c r="E81" s="454" t="n"/>
      <c r="F81" s="287" t="n"/>
      <c r="G81" s="287" t="n"/>
      <c r="H81" s="36" t="n"/>
    </row>
    <row r="82">
      <c r="B82" s="422" t="n">
        <v>29</v>
      </c>
      <c r="C82" s="233" t="n"/>
      <c r="D82" s="233" t="n"/>
      <c r="E82" s="454" t="n"/>
      <c r="F82" s="287" t="n"/>
      <c r="G82" s="287" t="n"/>
      <c r="H82" s="36" t="n"/>
    </row>
    <row r="83">
      <c r="B83" s="422" t="n">
        <v>30</v>
      </c>
      <c r="C83" s="233" t="n"/>
      <c r="D83" s="233" t="n"/>
      <c r="E83" s="454" t="n"/>
      <c r="F83" s="287" t="n"/>
      <c r="G83" s="287" t="n"/>
      <c r="H83" s="36" t="n"/>
    </row>
    <row r="84">
      <c r="B84" s="422" t="n">
        <v>31</v>
      </c>
      <c r="C84" s="233" t="n"/>
      <c r="D84" s="233" t="n"/>
      <c r="E84" s="454" t="n"/>
      <c r="F84" s="287" t="n"/>
      <c r="G84" s="287" t="n"/>
      <c r="H84" s="36" t="n"/>
    </row>
    <row r="85">
      <c r="B85" s="422" t="n">
        <v>32</v>
      </c>
      <c r="C85" s="233" t="n"/>
      <c r="D85" s="233" t="n"/>
      <c r="E85" s="454" t="n"/>
      <c r="F85" s="287" t="n"/>
      <c r="G85" s="287" t="n"/>
      <c r="H85" s="36" t="n"/>
    </row>
    <row r="86">
      <c r="B86" s="422" t="n">
        <v>33</v>
      </c>
      <c r="C86" s="233" t="n"/>
      <c r="D86" s="233" t="n"/>
      <c r="E86" s="454" t="n"/>
      <c r="F86" s="287" t="n"/>
      <c r="G86" s="287" t="n"/>
      <c r="H86" s="36" t="n"/>
    </row>
    <row r="87">
      <c r="B87" s="422" t="n">
        <v>34</v>
      </c>
      <c r="C87" s="233" t="n"/>
      <c r="D87" s="233" t="n"/>
      <c r="E87" s="454" t="n"/>
      <c r="F87" s="287" t="n"/>
      <c r="G87" s="287" t="n"/>
      <c r="H87" s="36" t="n"/>
    </row>
    <row r="88">
      <c r="B88" s="422" t="n">
        <v>35</v>
      </c>
      <c r="C88" s="233" t="n"/>
      <c r="D88" s="233" t="n"/>
      <c r="E88" s="454" t="n"/>
      <c r="F88" s="287" t="n"/>
      <c r="G88" s="287" t="n"/>
      <c r="H88" s="36" t="n"/>
    </row>
    <row r="89">
      <c r="B89" s="422" t="n">
        <v>36</v>
      </c>
      <c r="C89" s="233" t="n"/>
      <c r="D89" s="233" t="n"/>
      <c r="E89" s="454" t="n"/>
      <c r="F89" s="287" t="n"/>
      <c r="G89" s="287" t="n"/>
      <c r="H89" s="36" t="n"/>
    </row>
    <row r="94">
      <c r="F94" s="321" t="n"/>
      <c r="G94" s="321" t="n"/>
    </row>
  </sheetData>
  <mergeCells count="1">
    <mergeCell ref="C2:H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BA328"/>
  <sheetViews>
    <sheetView tabSelected="1" topLeftCell="B1" zoomScale="80" zoomScaleNormal="80" workbookViewId="0">
      <pane xSplit="1" ySplit="8" topLeftCell="W9" activePane="bottomRight" state="frozen"/>
      <selection activeCell="I4" sqref="I4"/>
      <selection pane="topRight" activeCell="I4" sqref="I4"/>
      <selection pane="bottomLeft" activeCell="I4" sqref="I4"/>
      <selection pane="bottomRight" activeCell="AE8" sqref="AE8"/>
    </sheetView>
  </sheetViews>
  <sheetFormatPr baseColWidth="8" defaultColWidth="9.140625" defaultRowHeight="15"/>
  <cols>
    <col width="6.28515625" customWidth="1" style="358" min="1" max="1"/>
    <col width="8.7109375" customWidth="1" style="9" min="2" max="2"/>
    <col width="17.42578125" bestFit="1" customWidth="1" style="9" min="3" max="3"/>
    <col width="11.28515625" bestFit="1" customWidth="1" style="9" min="4" max="4"/>
    <col width="11" bestFit="1" customWidth="1" style="103" min="5" max="5"/>
    <col width="16.28515625" bestFit="1" customWidth="1" style="103" min="6" max="6"/>
    <col width="19.28515625" customWidth="1" style="103" min="7" max="7"/>
    <col width="19.85546875" bestFit="1" customWidth="1" style="27" min="8" max="8"/>
    <col width="31.28515625" customWidth="1" style="27" min="9" max="9"/>
    <col width="23.28515625" bestFit="1" customWidth="1" style="27" min="10" max="10"/>
    <col width="18.28515625" customWidth="1" style="422" min="11" max="11"/>
    <col width="14.7109375" customWidth="1" style="27" min="12" max="12"/>
    <col width="17.5703125" customWidth="1" style="27" min="13" max="13"/>
    <col width="20.7109375" customWidth="1" style="456" min="14" max="14"/>
    <col width="21.28515625" customWidth="1" style="456" min="15" max="15"/>
    <col width="20.42578125" customWidth="1" style="456" min="16" max="16"/>
    <col width="24.7109375" customWidth="1" style="456" min="17" max="17"/>
    <col width="16.7109375" customWidth="1" style="456" min="18" max="18"/>
    <col width="10.5703125" customWidth="1" style="456" min="19" max="19"/>
    <col width="11.140625" customWidth="1" style="456" min="20" max="20"/>
    <col width="9.5703125" customWidth="1" style="456" min="21" max="21"/>
    <col width="14.140625" customWidth="1" style="456" min="22" max="22"/>
    <col width="12.28515625" customWidth="1" style="456" min="23" max="23"/>
    <col width="21.28515625" bestFit="1" customWidth="1" style="456" min="24" max="24"/>
    <col width="22.7109375" bestFit="1" customWidth="1" style="456" min="25" max="25"/>
    <col width="25.28515625" bestFit="1" customWidth="1" style="456" min="26" max="26"/>
    <col width="17.7109375" bestFit="1" customWidth="1" style="456" min="27" max="27"/>
    <col width="14.42578125" customWidth="1" style="456" min="28" max="28"/>
    <col width="21.7109375" customWidth="1" style="456" min="29" max="31"/>
    <col width="18" customWidth="1" style="456" min="32" max="32"/>
    <col width="20.42578125" customWidth="1" style="358" min="33" max="33"/>
    <col width="18.42578125" customWidth="1" style="422" min="34" max="34"/>
    <col width="13.140625" customWidth="1" style="358" min="35" max="35"/>
    <col width="12.28515625" customWidth="1" style="358" min="36" max="36"/>
    <col width="21.140625" customWidth="1" style="422" min="37" max="37"/>
    <col width="13.85546875" bestFit="1" customWidth="1" style="358" min="38" max="38"/>
    <col width="9.7109375" customWidth="1" style="358" min="39" max="39"/>
    <col width="8" customWidth="1" style="358" min="40" max="40"/>
    <col width="67.7109375" customWidth="1" style="358" min="41" max="41"/>
    <col width="4.5703125" customWidth="1" style="358" min="42" max="42"/>
    <col width="20.85546875" customWidth="1" style="371" min="43" max="44"/>
    <col width="9.140625" customWidth="1" style="371" min="45" max="45"/>
    <col width="12.28515625" bestFit="1" customWidth="1" style="371" min="46" max="46"/>
    <col width="21.140625" bestFit="1" customWidth="1" style="370" min="47" max="47"/>
    <col width="13.42578125" bestFit="1" customWidth="1" style="370" min="48" max="48"/>
    <col width="10.5703125" bestFit="1" customWidth="1" style="370" min="49" max="49"/>
    <col width="9.140625" customWidth="1" style="370" min="50" max="50"/>
    <col width="14.28515625" customWidth="1" style="370" min="51" max="51"/>
    <col width="9.140625" customWidth="1" style="370" min="52" max="53"/>
  </cols>
  <sheetData>
    <row r="1" ht="15.75" customHeight="1" s="358">
      <c r="B1" s="431" t="n"/>
      <c r="AP1" s="431" t="n"/>
      <c r="AQ1" s="369" t="n"/>
      <c r="AR1" s="369" t="n"/>
      <c r="AS1" s="370" t="n"/>
      <c r="AT1" s="370" t="n"/>
    </row>
    <row r="2" ht="15.75" customHeight="1" s="358"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25" t="n"/>
      <c r="M2" s="25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1" t="n"/>
      <c r="AE2" s="431" t="n"/>
      <c r="AF2" s="431" t="n"/>
      <c r="AG2" s="31" t="n"/>
      <c r="AH2" s="431" t="n"/>
      <c r="AI2" s="431" t="n"/>
      <c r="AJ2" s="31" t="n"/>
      <c r="AK2" s="31" t="n"/>
      <c r="AL2" s="431" t="n"/>
      <c r="AM2" s="31" t="n"/>
      <c r="AS2" s="370" t="n"/>
      <c r="AT2" s="370" t="n"/>
    </row>
    <row r="3" ht="23.25" customHeight="1" s="358">
      <c r="E3" s="9" t="n"/>
      <c r="F3" s="9" t="n"/>
      <c r="G3" s="9" t="n"/>
      <c r="H3" s="23" t="n"/>
      <c r="I3" s="432" t="inlineStr">
        <is>
          <t>35% of paid crew must be Texas Residents</t>
        </is>
      </c>
      <c r="V3" s="422" t="n"/>
      <c r="W3" s="422" t="n"/>
      <c r="X3" s="422" t="n"/>
      <c r="AC3" s="32" t="n"/>
      <c r="AD3" s="32" t="n"/>
      <c r="AE3" s="32" t="n"/>
      <c r="AF3" s="422" t="n"/>
      <c r="AG3" s="422" t="n"/>
      <c r="AH3" s="32" t="n"/>
      <c r="AI3" s="32" t="n"/>
      <c r="AK3" s="32" t="n"/>
      <c r="AO3" s="422" t="n"/>
      <c r="AP3" s="422" t="n"/>
      <c r="AQ3" s="370" t="n"/>
      <c r="AR3" s="370" t="n"/>
      <c r="AS3" s="370" t="n"/>
      <c r="AT3" s="370" t="n"/>
    </row>
    <row r="4" ht="18.75" customHeight="1" s="358">
      <c r="E4" s="9" t="n"/>
      <c r="F4" s="9" t="n"/>
      <c r="G4" s="9" t="n"/>
      <c r="H4" s="4" t="n"/>
      <c r="I4" s="420" t="n"/>
      <c r="J4" s="420" t="n"/>
      <c r="K4" s="420" t="n"/>
      <c r="S4" s="4" t="n"/>
      <c r="T4" s="137" t="inlineStr">
        <is>
          <t>W/C &amp; Handling Fees DNQ unless a local vendor was used</t>
        </is>
      </c>
      <c r="U4" s="23" t="n"/>
      <c r="V4" s="23" t="n"/>
      <c r="W4" s="5" t="n"/>
      <c r="X4" s="422" t="n"/>
      <c r="Z4" s="4" t="n"/>
      <c r="AA4" s="4" t="n"/>
      <c r="AB4" s="4" t="n"/>
      <c r="AC4" s="4" t="n"/>
      <c r="AD4" s="4" t="n"/>
      <c r="AE4" s="4" t="n"/>
      <c r="AF4" s="420" t="n"/>
      <c r="AG4" s="420" t="n"/>
      <c r="AH4" s="4" t="n"/>
      <c r="AI4" s="4" t="n"/>
      <c r="AJ4" s="4" t="n"/>
      <c r="AK4" s="4" t="n"/>
      <c r="AL4" s="4" t="n"/>
      <c r="AO4" s="422" t="n"/>
      <c r="AP4" s="422" t="n"/>
      <c r="AQ4" s="370" t="n"/>
      <c r="AR4" s="370" t="n"/>
      <c r="AS4" s="370" t="n"/>
      <c r="AT4" s="370" t="n"/>
    </row>
    <row r="5" ht="18.75" customHeight="1" s="358">
      <c r="E5" s="9" t="n"/>
      <c r="F5" s="9" t="n"/>
      <c r="G5" s="9" t="n"/>
      <c r="H5" s="4" t="n"/>
      <c r="I5" s="420" t="n"/>
      <c r="J5" s="420" t="n"/>
      <c r="K5" s="420" t="n"/>
      <c r="S5" s="4" t="n"/>
      <c r="T5" s="138" t="inlineStr">
        <is>
          <t>***typically payroll companies are self-insured - as such DNQ</t>
        </is>
      </c>
      <c r="U5" s="4" t="n"/>
      <c r="V5" s="4" t="n"/>
      <c r="W5" s="5" t="n"/>
      <c r="X5" s="422" t="n"/>
      <c r="Y5" s="4" t="n"/>
      <c r="Z5" s="4" t="n"/>
      <c r="AA5" s="4" t="n"/>
      <c r="AB5" s="420" t="inlineStr">
        <is>
          <t>If applicable</t>
        </is>
      </c>
      <c r="AC5" s="4" t="n"/>
      <c r="AD5" s="4" t="n"/>
      <c r="AE5" s="4" t="n"/>
      <c r="AF5" s="420" t="n"/>
      <c r="AG5" s="420" t="n"/>
      <c r="AH5" s="4" t="n"/>
      <c r="AI5" s="4" t="n"/>
      <c r="AJ5" s="4" t="n"/>
      <c r="AK5" s="4" t="n"/>
      <c r="AL5" s="4" t="n"/>
      <c r="AO5" s="422" t="n"/>
      <c r="AP5" s="422" t="n"/>
      <c r="AQ5" s="370" t="n"/>
      <c r="AR5" s="370" t="n"/>
      <c r="AS5" s="370" t="n"/>
      <c r="AT5" s="370" t="n"/>
    </row>
    <row r="6" ht="18.75" customHeight="1" s="358">
      <c r="E6" s="9" t="n"/>
      <c r="F6" s="9" t="n"/>
      <c r="G6" s="9" t="n"/>
      <c r="H6" s="420" t="n"/>
      <c r="I6" s="4" t="n"/>
      <c r="J6" s="4" t="n"/>
      <c r="K6" s="420" t="n"/>
      <c r="L6" s="420" t="n"/>
      <c r="M6" s="420" t="n"/>
      <c r="U6" s="4" t="n"/>
      <c r="V6" s="138" t="n"/>
      <c r="W6" s="4" t="n"/>
      <c r="X6" s="4" t="n"/>
      <c r="Y6" s="5" t="n"/>
      <c r="Z6" s="422" t="n"/>
      <c r="AA6" s="4" t="n"/>
      <c r="AB6" s="4" t="n"/>
      <c r="AC6" s="4" t="n"/>
      <c r="AD6" s="4" t="n"/>
      <c r="AE6" s="4" t="n"/>
      <c r="AF6" s="420" t="n"/>
      <c r="AG6" s="4" t="n"/>
      <c r="AH6" s="420" t="n"/>
      <c r="AI6" s="420" t="n"/>
      <c r="AJ6" s="4" t="n"/>
      <c r="AK6" s="4" t="n"/>
      <c r="AL6" s="4" t="n"/>
      <c r="AM6" s="4" t="n"/>
      <c r="AN6" s="4" t="n"/>
      <c r="AS6" s="370" t="n"/>
      <c r="AT6" s="370" t="n"/>
    </row>
    <row r="7">
      <c r="H7" s="27" t="inlineStr">
        <is>
          <t>Check# to Reference#</t>
        </is>
      </c>
      <c r="O7" s="457" t="n"/>
      <c r="P7" s="457" t="n"/>
      <c r="Q7" s="457" t="n"/>
      <c r="AB7" s="458" t="n"/>
      <c r="AG7" s="422" t="n"/>
      <c r="AI7" s="422" t="n"/>
      <c r="AJ7" s="422" t="n"/>
      <c r="AL7" s="422" t="n"/>
      <c r="AM7" s="422" t="n"/>
      <c r="AN7" s="422" t="n"/>
      <c r="AO7" s="422" t="n"/>
      <c r="AT7" s="374" t="inlineStr">
        <is>
          <t>CPA</t>
        </is>
      </c>
      <c r="AU7" s="459" t="n"/>
      <c r="AV7" s="460" t="n"/>
      <c r="AW7" s="372" t="n"/>
      <c r="AY7" s="373" t="inlineStr">
        <is>
          <t>Ineligible</t>
        </is>
      </c>
    </row>
    <row r="8" ht="20.45" customFormat="1" customHeight="1" s="7">
      <c r="B8" s="292" t="inlineStr">
        <is>
          <t>ITEM #</t>
        </is>
      </c>
      <c r="C8" s="292" t="inlineStr">
        <is>
          <t>Production Report</t>
        </is>
      </c>
      <c r="D8" s="292" t="inlineStr">
        <is>
          <t>Invoice PDF</t>
        </is>
      </c>
      <c r="E8" s="298" t="inlineStr">
        <is>
          <t>Inv #</t>
        </is>
      </c>
      <c r="F8" s="299" t="inlineStr">
        <is>
          <t xml:space="preserve"> Invoice Date</t>
        </is>
      </c>
      <c r="G8" s="294" t="inlineStr">
        <is>
          <t>Pay Period (WE)</t>
        </is>
      </c>
      <c r="H8" s="300" t="inlineStr">
        <is>
          <t>Ref Number</t>
        </is>
      </c>
      <c r="I8" s="295" t="inlineStr">
        <is>
          <t>Crew Name (Last, First)</t>
        </is>
      </c>
      <c r="J8" s="295" t="inlineStr">
        <is>
          <t>Crew Position</t>
        </is>
      </c>
      <c r="K8" s="295" t="inlineStr">
        <is>
          <t>Valid DTR Form</t>
        </is>
      </c>
      <c r="L8" s="299" t="inlineStr">
        <is>
          <t>Work State</t>
        </is>
      </c>
      <c r="M8" s="299" t="inlineStr">
        <is>
          <t>Resident State</t>
        </is>
      </c>
      <c r="N8" s="461" t="inlineStr">
        <is>
          <t>Taxable Wages $</t>
        </is>
      </c>
      <c r="O8" s="462" t="inlineStr">
        <is>
          <t>Corporate $</t>
        </is>
      </c>
      <c r="P8" s="462" t="inlineStr">
        <is>
          <t>FICA</t>
        </is>
      </c>
      <c r="Q8" s="462" t="inlineStr">
        <is>
          <t>Medi</t>
        </is>
      </c>
      <c r="R8" s="461" t="inlineStr">
        <is>
          <t>FUI</t>
        </is>
      </c>
      <c r="S8" s="461" t="inlineStr">
        <is>
          <t>SUI</t>
        </is>
      </c>
      <c r="T8" s="461" t="inlineStr">
        <is>
          <t>W/C</t>
        </is>
      </c>
      <c r="U8" s="461" t="inlineStr">
        <is>
          <t>PH&amp;W</t>
        </is>
      </c>
      <c r="V8" s="461" t="inlineStr">
        <is>
          <t>Vac/Hol</t>
        </is>
      </c>
      <c r="W8" s="461" t="inlineStr">
        <is>
          <t>Hand</t>
        </is>
      </c>
      <c r="X8" s="461" t="inlineStr">
        <is>
          <t>Non Taxable - Mileage</t>
        </is>
      </c>
      <c r="Y8" s="461" t="inlineStr">
        <is>
          <t>Non Taxable - Kit Rental</t>
        </is>
      </c>
      <c r="Z8" s="461" t="inlineStr">
        <is>
          <t>Non Taxable - Other Rental</t>
        </is>
      </c>
      <c r="AA8" s="461" t="inlineStr">
        <is>
          <t>Total</t>
        </is>
      </c>
      <c r="AB8" s="303" t="inlineStr">
        <is>
          <t>Ineligible $</t>
        </is>
      </c>
      <c r="AC8" s="293" t="inlineStr">
        <is>
          <t>Submitted Amount</t>
        </is>
      </c>
      <c r="AD8" s="293" t="inlineStr">
        <is>
          <t>Automation Total</t>
        </is>
      </c>
      <c r="AE8" s="293" t="inlineStr">
        <is>
          <t>Automation Check</t>
        </is>
      </c>
      <c r="AF8" s="304" t="inlineStr">
        <is>
          <t>Time Allocated</t>
        </is>
      </c>
      <c r="AG8" s="342" t="inlineStr">
        <is>
          <t>Proof of Payment</t>
        </is>
      </c>
      <c r="AH8" s="342" t="inlineStr">
        <is>
          <t>Payment Entity</t>
        </is>
      </c>
      <c r="AI8" s="342" t="inlineStr">
        <is>
          <t>Loan Out</t>
        </is>
      </c>
      <c r="AJ8" s="342" t="inlineStr">
        <is>
          <t>Qualify?</t>
        </is>
      </c>
      <c r="AK8" s="342" t="inlineStr">
        <is>
          <t>Home address</t>
        </is>
      </c>
      <c r="AL8" s="342" t="inlineStr">
        <is>
          <t>City</t>
        </is>
      </c>
      <c r="AM8" s="342" t="inlineStr">
        <is>
          <t>State</t>
        </is>
      </c>
      <c r="AN8" s="342" t="inlineStr">
        <is>
          <t>Zip</t>
        </is>
      </c>
      <c r="AO8" s="343" t="inlineStr">
        <is>
          <t>Notes:</t>
        </is>
      </c>
      <c r="AQ8" s="374" t="inlineStr">
        <is>
          <t>On Call Sheet</t>
        </is>
      </c>
      <c r="AR8" s="374" t="inlineStr">
        <is>
          <t>Name on Call sheet</t>
        </is>
      </c>
      <c r="AS8" s="375" t="n"/>
      <c r="AT8" s="463" t="inlineStr">
        <is>
          <t>GROSS</t>
        </is>
      </c>
      <c r="AU8" s="464" t="inlineStr">
        <is>
          <t>BENEFITS (P, H &amp; W)</t>
        </is>
      </c>
      <c r="AV8" s="378" t="inlineStr">
        <is>
          <t>TOTAL</t>
        </is>
      </c>
      <c r="AW8" s="379" t="n"/>
      <c r="AX8" s="380" t="n"/>
      <c r="AY8" s="379" t="n"/>
      <c r="AZ8" s="380" t="n"/>
      <c r="BA8" s="380" t="n"/>
    </row>
    <row r="9">
      <c r="A9" s="456" t="n"/>
      <c r="B9" s="11" t="n">
        <v>1</v>
      </c>
      <c r="C9" s="11" t="n"/>
      <c r="D9" s="11" t="n"/>
      <c r="E9" s="1" t="n"/>
      <c r="F9" s="160" t="n"/>
      <c r="G9" s="160" t="n"/>
      <c r="H9" s="465" t="n"/>
      <c r="I9" s="455" t="n"/>
      <c r="J9" s="455" t="n"/>
      <c r="K9" s="287" t="n"/>
      <c r="L9" s="43" t="n"/>
      <c r="M9" s="43" t="n"/>
      <c r="N9" s="466" t="n"/>
      <c r="O9" s="466" t="n"/>
      <c r="P9" s="466" t="n"/>
      <c r="Q9" s="466" t="n"/>
      <c r="R9" s="466" t="n"/>
      <c r="S9" s="466" t="n"/>
      <c r="T9" s="466" t="n"/>
      <c r="U9" s="466" t="n"/>
      <c r="V9" s="466" t="n"/>
      <c r="W9" s="466" t="n"/>
      <c r="X9" s="466" t="n"/>
      <c r="Y9" s="466" t="n"/>
      <c r="Z9" s="466" t="n"/>
      <c r="AA9" s="466">
        <f>SUM(N9:Z9)</f>
        <v/>
      </c>
      <c r="AB9" s="467">
        <f>T9+W9+Z9</f>
        <v/>
      </c>
      <c r="AC9" s="468">
        <f>AA9-AB9</f>
        <v/>
      </c>
      <c r="AD9" s="468" t="n"/>
      <c r="AE9" s="468">
        <f>AA9-AD9</f>
        <v/>
      </c>
      <c r="AF9" s="144" t="n"/>
      <c r="AG9" s="29" t="n"/>
      <c r="AH9" s="29" t="n"/>
      <c r="AI9" s="287" t="n"/>
      <c r="AJ9" s="43" t="n"/>
      <c r="AK9" s="238" t="n"/>
      <c r="AL9" s="43" t="n"/>
      <c r="AM9" s="43" t="n"/>
      <c r="AN9" s="43" t="n"/>
      <c r="AO9" s="36" t="n"/>
      <c r="AP9" s="32" t="n"/>
      <c r="AQ9" s="381" t="n"/>
      <c r="AR9" s="382" t="n"/>
      <c r="AS9" s="370" t="n"/>
      <c r="AT9" s="469">
        <f>N9+O9+P9+Q9+R9</f>
        <v/>
      </c>
      <c r="AU9" s="469">
        <f>S9+T9+U9+V9+X9+Y9</f>
        <v/>
      </c>
      <c r="AV9" s="469">
        <f>SUM(AT9:AU9)</f>
        <v/>
      </c>
      <c r="AW9" s="384">
        <f>AV9-AA9+W9+Z9</f>
        <v/>
      </c>
      <c r="AY9" s="470">
        <f>AA9-AV9</f>
        <v/>
      </c>
      <c r="AZ9" s="386">
        <f>AY9-AB9</f>
        <v/>
      </c>
    </row>
    <row r="10">
      <c r="B10" s="11" t="n">
        <v>2</v>
      </c>
      <c r="C10" s="11" t="n"/>
      <c r="D10" s="11" t="n"/>
      <c r="E10" s="1" t="n"/>
      <c r="F10" s="160" t="n"/>
      <c r="G10" s="160" t="n"/>
      <c r="H10" s="465" t="n"/>
      <c r="I10" s="455" t="n"/>
      <c r="J10" s="455" t="n"/>
      <c r="K10" s="287" t="n"/>
      <c r="L10" s="43" t="n"/>
      <c r="M10" s="43" t="n"/>
      <c r="N10" s="466" t="n"/>
      <c r="O10" s="466" t="n"/>
      <c r="P10" s="466" t="n"/>
      <c r="Q10" s="466" t="n"/>
      <c r="R10" s="466" t="n"/>
      <c r="S10" s="466" t="n"/>
      <c r="T10" s="466" t="n"/>
      <c r="U10" s="466" t="n"/>
      <c r="V10" s="466" t="n"/>
      <c r="W10" s="466" t="n"/>
      <c r="X10" s="466" t="n"/>
      <c r="Y10" s="466" t="n"/>
      <c r="Z10" s="466" t="n"/>
      <c r="AA10" s="466">
        <f>SUM(N10:Z10)</f>
        <v/>
      </c>
      <c r="AB10" s="467">
        <f>T10+W10+Z10</f>
        <v/>
      </c>
      <c r="AC10" s="468">
        <f>AA10-AB10</f>
        <v/>
      </c>
      <c r="AD10" s="468" t="n"/>
      <c r="AE10" s="468">
        <f>AA10-AD10</f>
        <v/>
      </c>
      <c r="AF10" s="144" t="n"/>
      <c r="AG10" s="29" t="n"/>
      <c r="AH10" s="29" t="n"/>
      <c r="AI10" s="287" t="n"/>
      <c r="AJ10" s="43" t="n"/>
      <c r="AK10" s="238" t="n"/>
      <c r="AL10" s="43" t="n"/>
      <c r="AM10" s="43" t="n"/>
      <c r="AN10" s="43" t="n"/>
      <c r="AO10" s="36" t="n"/>
      <c r="AP10" s="32" t="n"/>
      <c r="AQ10" s="381" t="n"/>
      <c r="AR10" s="382" t="n"/>
      <c r="AT10" s="469">
        <f>N10+O10+P10+Q10+R10</f>
        <v/>
      </c>
      <c r="AU10" s="469">
        <f>S10+T10+U10+V10+X10+Y10</f>
        <v/>
      </c>
      <c r="AV10" s="469">
        <f>SUM(AT10:AU10)</f>
        <v/>
      </c>
      <c r="AW10" s="384">
        <f>AV10-AA10+W10+Z10</f>
        <v/>
      </c>
      <c r="AY10" s="470">
        <f>AA10-AV10</f>
        <v/>
      </c>
      <c r="AZ10" s="386">
        <f>AY10-AB10</f>
        <v/>
      </c>
    </row>
    <row r="11">
      <c r="A11" s="456" t="n"/>
      <c r="B11" s="11" t="n">
        <v>3</v>
      </c>
      <c r="C11" s="11" t="n"/>
      <c r="D11" s="11" t="n"/>
      <c r="E11" s="1" t="n"/>
      <c r="F11" s="160" t="n"/>
      <c r="G11" s="160" t="n"/>
      <c r="H11" s="465" t="n"/>
      <c r="I11" s="455" t="n"/>
      <c r="J11" s="455" t="n"/>
      <c r="K11" s="287" t="n"/>
      <c r="L11" s="43" t="n"/>
      <c r="M11" s="43" t="n"/>
      <c r="N11" s="466" t="n"/>
      <c r="O11" s="466" t="n"/>
      <c r="P11" s="466" t="n"/>
      <c r="Q11" s="466" t="n"/>
      <c r="R11" s="466" t="n"/>
      <c r="S11" s="466" t="n"/>
      <c r="T11" s="466" t="n"/>
      <c r="U11" s="466" t="n"/>
      <c r="V11" s="466" t="n"/>
      <c r="W11" s="466" t="n"/>
      <c r="X11" s="466" t="n"/>
      <c r="Y11" s="466" t="n"/>
      <c r="Z11" s="466" t="n"/>
      <c r="AA11" s="466">
        <f>SUM(N11:Z11)</f>
        <v/>
      </c>
      <c r="AB11" s="467">
        <f>T11+W11+Z11</f>
        <v/>
      </c>
      <c r="AC11" s="468">
        <f>AA11-AB11</f>
        <v/>
      </c>
      <c r="AD11" s="468" t="n"/>
      <c r="AE11" s="468">
        <f>AA11-AD11</f>
        <v/>
      </c>
      <c r="AF11" s="144" t="n"/>
      <c r="AG11" s="29" t="n"/>
      <c r="AH11" s="29" t="n"/>
      <c r="AI11" s="287" t="n"/>
      <c r="AJ11" s="43" t="n"/>
      <c r="AK11" s="238" t="n"/>
      <c r="AL11" s="43" t="n"/>
      <c r="AM11" s="43" t="n"/>
      <c r="AN11" s="43" t="n"/>
      <c r="AO11" s="36" t="n"/>
      <c r="AP11" s="32" t="n"/>
      <c r="AQ11" s="381" t="n"/>
      <c r="AR11" s="382" t="n"/>
      <c r="AS11" s="370" t="n"/>
      <c r="AT11" s="469">
        <f>N11+O11+P11+Q11+R11</f>
        <v/>
      </c>
      <c r="AU11" s="469">
        <f>S11+T11+U11+V11+X11+Y11</f>
        <v/>
      </c>
      <c r="AV11" s="469">
        <f>SUM(AT11:AU11)</f>
        <v/>
      </c>
      <c r="AW11" s="384">
        <f>AV11-AA11+W11+Z11</f>
        <v/>
      </c>
      <c r="AY11" s="470">
        <f>AA11-AV11</f>
        <v/>
      </c>
      <c r="AZ11" s="386">
        <f>AY11-AB11</f>
        <v/>
      </c>
    </row>
    <row r="12">
      <c r="A12" s="456" t="n"/>
      <c r="B12" s="11" t="n">
        <v>4</v>
      </c>
      <c r="C12" s="11" t="n"/>
      <c r="D12" s="11" t="n"/>
      <c r="E12" s="1" t="n"/>
      <c r="F12" s="160" t="n"/>
      <c r="G12" s="160" t="n"/>
      <c r="H12" s="465" t="n"/>
      <c r="I12" s="455" t="n"/>
      <c r="J12" s="455" t="n"/>
      <c r="K12" s="287" t="n"/>
      <c r="L12" s="43" t="n"/>
      <c r="M12" s="43" t="n"/>
      <c r="N12" s="466" t="n"/>
      <c r="O12" s="466" t="n"/>
      <c r="P12" s="466" t="n"/>
      <c r="Q12" s="466" t="n"/>
      <c r="R12" s="466" t="n"/>
      <c r="S12" s="466" t="n"/>
      <c r="T12" s="466" t="n"/>
      <c r="U12" s="466" t="n"/>
      <c r="V12" s="466" t="n"/>
      <c r="W12" s="466" t="n"/>
      <c r="X12" s="466" t="n"/>
      <c r="Y12" s="466" t="n"/>
      <c r="Z12" s="466" t="n"/>
      <c r="AA12" s="466">
        <f>SUM(N12:Z12)</f>
        <v/>
      </c>
      <c r="AB12" s="467">
        <f>T12+W12+Z12</f>
        <v/>
      </c>
      <c r="AC12" s="468">
        <f>AA12-AB12</f>
        <v/>
      </c>
      <c r="AD12" s="468" t="n"/>
      <c r="AE12" s="468">
        <f>AA12-AD12</f>
        <v/>
      </c>
      <c r="AF12" s="144" t="n"/>
      <c r="AG12" s="29" t="n"/>
      <c r="AH12" s="29" t="n"/>
      <c r="AI12" s="287" t="n"/>
      <c r="AJ12" s="43" t="n"/>
      <c r="AK12" s="167" t="n"/>
      <c r="AL12" s="43" t="n"/>
      <c r="AM12" s="43" t="n"/>
      <c r="AN12" s="43" t="n"/>
      <c r="AO12" s="36" t="n"/>
      <c r="AP12" s="32" t="n"/>
      <c r="AQ12" s="381" t="n"/>
      <c r="AR12" s="382" t="n"/>
      <c r="AS12" s="370" t="n"/>
      <c r="AT12" s="469">
        <f>N12+O12+P12+Q12+R12</f>
        <v/>
      </c>
      <c r="AU12" s="469">
        <f>S12+T12+U12+V12+X12+Y12</f>
        <v/>
      </c>
      <c r="AV12" s="469">
        <f>SUM(AT12:AU12)</f>
        <v/>
      </c>
      <c r="AW12" s="384">
        <f>AV12-AA12+W12+Z12</f>
        <v/>
      </c>
      <c r="AY12" s="470">
        <f>AA12-AV12</f>
        <v/>
      </c>
      <c r="AZ12" s="386">
        <f>AY12-AB12</f>
        <v/>
      </c>
    </row>
    <row r="13">
      <c r="A13" s="456" t="n"/>
      <c r="B13" s="11" t="n">
        <v>5</v>
      </c>
      <c r="C13" s="11" t="n"/>
      <c r="D13" s="11" t="n"/>
      <c r="E13" s="1" t="n"/>
      <c r="F13" s="160" t="n"/>
      <c r="G13" s="160" t="n"/>
      <c r="H13" s="465" t="n"/>
      <c r="I13" s="455" t="n"/>
      <c r="J13" s="455" t="n"/>
      <c r="K13" s="287" t="n"/>
      <c r="L13" s="43" t="n"/>
      <c r="M13" s="43" t="n"/>
      <c r="N13" s="466" t="n"/>
      <c r="O13" s="466" t="n"/>
      <c r="P13" s="466" t="n"/>
      <c r="Q13" s="466" t="n"/>
      <c r="R13" s="466" t="n"/>
      <c r="S13" s="466" t="n"/>
      <c r="T13" s="466" t="n"/>
      <c r="U13" s="466" t="n"/>
      <c r="V13" s="466" t="n"/>
      <c r="W13" s="466" t="n"/>
      <c r="X13" s="466" t="n"/>
      <c r="Y13" s="466" t="n"/>
      <c r="Z13" s="466" t="n"/>
      <c r="AA13" s="466">
        <f>SUM(N13:Z13)</f>
        <v/>
      </c>
      <c r="AB13" s="467">
        <f>T13+W13+Z13</f>
        <v/>
      </c>
      <c r="AC13" s="468">
        <f>AA13-AB13</f>
        <v/>
      </c>
      <c r="AD13" s="468" t="n"/>
      <c r="AE13" s="468">
        <f>AA13-AD13</f>
        <v/>
      </c>
      <c r="AF13" s="144" t="n"/>
      <c r="AG13" s="29" t="n"/>
      <c r="AH13" s="29" t="n"/>
      <c r="AI13" s="287" t="n"/>
      <c r="AJ13" s="43" t="n"/>
      <c r="AK13" s="167" t="n"/>
      <c r="AL13" s="43" t="n"/>
      <c r="AM13" s="43" t="n"/>
      <c r="AN13" s="43" t="n"/>
      <c r="AO13" s="36" t="n"/>
      <c r="AP13" s="32" t="n"/>
      <c r="AQ13" s="381" t="n"/>
      <c r="AR13" s="382" t="n"/>
      <c r="AS13" s="370" t="n"/>
      <c r="AT13" s="469">
        <f>N13+O13+P13+Q13+R13</f>
        <v/>
      </c>
      <c r="AU13" s="469">
        <f>S13+T13+U13+V13+X13+Y13</f>
        <v/>
      </c>
      <c r="AV13" s="469">
        <f>SUM(AT13:AU13)</f>
        <v/>
      </c>
      <c r="AW13" s="384">
        <f>AV13-AA13+W13+Z13</f>
        <v/>
      </c>
      <c r="AY13" s="470">
        <f>AA13-AV13</f>
        <v/>
      </c>
      <c r="AZ13" s="386">
        <f>AY13-AB13</f>
        <v/>
      </c>
    </row>
    <row r="14">
      <c r="A14" s="456" t="n"/>
      <c r="B14" s="11" t="n">
        <v>6</v>
      </c>
      <c r="C14" s="11" t="n"/>
      <c r="D14" s="11" t="n"/>
      <c r="E14" s="1" t="n"/>
      <c r="F14" s="160" t="n"/>
      <c r="G14" s="160" t="n"/>
      <c r="H14" s="465" t="n"/>
      <c r="I14" s="455" t="n"/>
      <c r="J14" s="455" t="n"/>
      <c r="K14" s="287" t="n"/>
      <c r="L14" s="43" t="n"/>
      <c r="M14" s="43" t="n"/>
      <c r="N14" s="466" t="n"/>
      <c r="O14" s="466" t="n"/>
      <c r="P14" s="466" t="n"/>
      <c r="Q14" s="466" t="n"/>
      <c r="R14" s="466" t="n"/>
      <c r="S14" s="466" t="n"/>
      <c r="T14" s="466" t="n"/>
      <c r="U14" s="466" t="n"/>
      <c r="V14" s="466" t="n"/>
      <c r="W14" s="466" t="n"/>
      <c r="X14" s="466" t="n"/>
      <c r="Y14" s="466" t="n"/>
      <c r="Z14" s="466" t="n"/>
      <c r="AA14" s="466">
        <f>SUM(N14:Z14)</f>
        <v/>
      </c>
      <c r="AB14" s="467">
        <f>T14+W14+Z14</f>
        <v/>
      </c>
      <c r="AC14" s="468">
        <f>AA14-AB14</f>
        <v/>
      </c>
      <c r="AD14" s="468" t="n"/>
      <c r="AE14" s="468">
        <f>AA14-AD14</f>
        <v/>
      </c>
      <c r="AF14" s="144" t="n"/>
      <c r="AG14" s="29" t="n"/>
      <c r="AH14" s="29" t="n"/>
      <c r="AI14" s="287" t="n"/>
      <c r="AJ14" s="43" t="n"/>
      <c r="AK14" s="167" t="n"/>
      <c r="AL14" s="43" t="n"/>
      <c r="AM14" s="43" t="n"/>
      <c r="AN14" s="43" t="n"/>
      <c r="AO14" s="36" t="n"/>
      <c r="AP14" s="32" t="n"/>
      <c r="AQ14" s="381" t="n"/>
      <c r="AR14" s="382" t="n"/>
      <c r="AT14" s="469">
        <f>N14+O14+P14+Q14+R14</f>
        <v/>
      </c>
      <c r="AU14" s="469">
        <f>S14+T14+U14+V14+X14+Y14</f>
        <v/>
      </c>
      <c r="AV14" s="469">
        <f>SUM(AT14:AU14)</f>
        <v/>
      </c>
      <c r="AW14" s="384">
        <f>AV14-AA14+W14+Z14</f>
        <v/>
      </c>
      <c r="AY14" s="470">
        <f>AA14-AV14</f>
        <v/>
      </c>
      <c r="AZ14" s="386">
        <f>AY14-AB14</f>
        <v/>
      </c>
    </row>
    <row r="15">
      <c r="B15" s="11" t="n">
        <v>7</v>
      </c>
      <c r="C15" s="11" t="n"/>
      <c r="D15" s="11" t="n"/>
      <c r="E15" s="1" t="n"/>
      <c r="F15" s="160" t="n"/>
      <c r="G15" s="160" t="n"/>
      <c r="H15" s="465" t="n"/>
      <c r="I15" s="455" t="n"/>
      <c r="J15" s="455" t="n"/>
      <c r="K15" s="287" t="n"/>
      <c r="L15" s="43" t="n"/>
      <c r="M15" s="43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>
        <f>SUM(N15:Z15)</f>
        <v/>
      </c>
      <c r="AB15" s="467">
        <f>T15+W15+Z15</f>
        <v/>
      </c>
      <c r="AC15" s="468">
        <f>AA15-AB15</f>
        <v/>
      </c>
      <c r="AD15" s="468" t="n"/>
      <c r="AE15" s="468">
        <f>AA15-AD15</f>
        <v/>
      </c>
      <c r="AF15" s="144" t="n"/>
      <c r="AG15" s="29" t="n"/>
      <c r="AH15" s="29" t="n"/>
      <c r="AI15" s="287" t="n"/>
      <c r="AJ15" s="43" t="n"/>
      <c r="AK15" s="167" t="n"/>
      <c r="AL15" s="43" t="n"/>
      <c r="AM15" s="43" t="n"/>
      <c r="AN15" s="239" t="n"/>
      <c r="AO15" s="36" t="n"/>
      <c r="AP15" s="32" t="n"/>
      <c r="AQ15" s="381" t="n"/>
      <c r="AR15" s="382" t="n"/>
      <c r="AT15" s="469">
        <f>N15+O15+P15+Q15+R15</f>
        <v/>
      </c>
      <c r="AU15" s="469">
        <f>S15+T15+U15+V15+X15+Y15</f>
        <v/>
      </c>
      <c r="AV15" s="469">
        <f>SUM(AT15:AU15)</f>
        <v/>
      </c>
      <c r="AW15" s="384">
        <f>AV15-AA15+W15+Z15</f>
        <v/>
      </c>
      <c r="AY15" s="470">
        <f>AA15-AV15</f>
        <v/>
      </c>
      <c r="AZ15" s="386">
        <f>AY15-AB15</f>
        <v/>
      </c>
    </row>
    <row r="16">
      <c r="A16" s="456" t="n"/>
      <c r="B16" s="11" t="n">
        <v>8</v>
      </c>
      <c r="C16" s="11" t="n"/>
      <c r="D16" s="11" t="n"/>
      <c r="E16" s="1" t="n"/>
      <c r="F16" s="160" t="n"/>
      <c r="G16" s="160" t="n"/>
      <c r="H16" s="465" t="n"/>
      <c r="I16" s="455" t="n"/>
      <c r="J16" s="455" t="n"/>
      <c r="K16" s="287" t="n"/>
      <c r="L16" s="43" t="n"/>
      <c r="M16" s="43" t="n"/>
      <c r="N16" s="466" t="n"/>
      <c r="O16" s="466" t="n"/>
      <c r="P16" s="466" t="n"/>
      <c r="Q16" s="466" t="n"/>
      <c r="R16" s="466" t="n"/>
      <c r="S16" s="466" t="n"/>
      <c r="T16" s="466" t="n"/>
      <c r="U16" s="466" t="n"/>
      <c r="V16" s="466" t="n"/>
      <c r="W16" s="466" t="n"/>
      <c r="X16" s="466" t="n"/>
      <c r="Y16" s="466" t="n"/>
      <c r="Z16" s="466" t="n"/>
      <c r="AA16" s="466">
        <f>SUM(N16:Z16)</f>
        <v/>
      </c>
      <c r="AB16" s="467">
        <f>T16+W16+Z16</f>
        <v/>
      </c>
      <c r="AC16" s="468">
        <f>AA16-AB16</f>
        <v/>
      </c>
      <c r="AD16" s="468" t="n"/>
      <c r="AE16" s="468">
        <f>AA16-AD16</f>
        <v/>
      </c>
      <c r="AF16" s="144" t="n"/>
      <c r="AG16" s="29" t="n"/>
      <c r="AH16" s="29" t="n"/>
      <c r="AI16" s="287" t="n"/>
      <c r="AJ16" s="43" t="n"/>
      <c r="AK16" s="167" t="n"/>
      <c r="AL16" s="43" t="n"/>
      <c r="AM16" s="43" t="n"/>
      <c r="AN16" s="239" t="n"/>
      <c r="AO16" s="36" t="n"/>
      <c r="AP16" s="32" t="n"/>
      <c r="AQ16" s="381" t="n"/>
      <c r="AR16" s="382" t="n"/>
      <c r="AS16" s="370" t="n"/>
      <c r="AT16" s="469">
        <f>N16+O16+P16+Q16+R16</f>
        <v/>
      </c>
      <c r="AU16" s="469">
        <f>S16+T16+U16+V16+X16+Y16</f>
        <v/>
      </c>
      <c r="AV16" s="469">
        <f>SUM(AT16:AU16)</f>
        <v/>
      </c>
      <c r="AW16" s="384">
        <f>AV16-AA16+W16+Z16</f>
        <v/>
      </c>
      <c r="AY16" s="470">
        <f>AA16-AV16</f>
        <v/>
      </c>
      <c r="AZ16" s="386">
        <f>AY16-AB16</f>
        <v/>
      </c>
    </row>
    <row r="17">
      <c r="B17" s="11" t="n">
        <v>9</v>
      </c>
      <c r="C17" s="11" t="n"/>
      <c r="D17" s="11" t="n"/>
      <c r="E17" s="1" t="n"/>
      <c r="F17" s="160" t="n"/>
      <c r="G17" s="160" t="n"/>
      <c r="H17" s="465" t="n"/>
      <c r="I17" s="455" t="n"/>
      <c r="J17" s="455" t="n"/>
      <c r="K17" s="287" t="n"/>
      <c r="L17" s="43" t="n"/>
      <c r="M17" s="43" t="n"/>
      <c r="N17" s="466" t="n"/>
      <c r="O17" s="466" t="n"/>
      <c r="P17" s="466" t="n"/>
      <c r="Q17" s="466" t="n"/>
      <c r="R17" s="466" t="n"/>
      <c r="S17" s="466" t="n"/>
      <c r="T17" s="466" t="n"/>
      <c r="U17" s="466" t="n"/>
      <c r="V17" s="466" t="n"/>
      <c r="W17" s="466" t="n"/>
      <c r="X17" s="466" t="n"/>
      <c r="Y17" s="466" t="n"/>
      <c r="Z17" s="466" t="n"/>
      <c r="AA17" s="466">
        <f>SUM(N17:Z17)</f>
        <v/>
      </c>
      <c r="AB17" s="467">
        <f>T17+W17+Z17</f>
        <v/>
      </c>
      <c r="AC17" s="468">
        <f>AA17-AB17</f>
        <v/>
      </c>
      <c r="AD17" s="468" t="n"/>
      <c r="AE17" s="468">
        <f>AA17-AD17</f>
        <v/>
      </c>
      <c r="AF17" s="144" t="n"/>
      <c r="AG17" s="29" t="n"/>
      <c r="AH17" s="29" t="n"/>
      <c r="AI17" s="287" t="n"/>
      <c r="AJ17" s="43" t="n"/>
      <c r="AK17" s="167" t="n"/>
      <c r="AL17" s="43" t="n"/>
      <c r="AM17" s="43" t="n"/>
      <c r="AN17" s="239" t="n"/>
      <c r="AO17" s="36" t="n"/>
      <c r="AP17" s="32" t="n"/>
      <c r="AQ17" s="381" t="n"/>
      <c r="AR17" s="382" t="n"/>
      <c r="AT17" s="469">
        <f>N17+O17+P17+Q17+R17</f>
        <v/>
      </c>
      <c r="AU17" s="469">
        <f>S17+T17+U17+V17+X17+Y17</f>
        <v/>
      </c>
      <c r="AV17" s="469">
        <f>SUM(AT17:AU17)</f>
        <v/>
      </c>
      <c r="AW17" s="384">
        <f>AV17-AA17+W17+Z17</f>
        <v/>
      </c>
      <c r="AY17" s="470">
        <f>AA17-AV17</f>
        <v/>
      </c>
      <c r="AZ17" s="386">
        <f>AY17-AB17</f>
        <v/>
      </c>
    </row>
    <row r="18">
      <c r="B18" s="11" t="n">
        <v>10</v>
      </c>
      <c r="C18" s="11" t="n"/>
      <c r="D18" s="11" t="n"/>
      <c r="E18" s="1" t="n"/>
      <c r="F18" s="160" t="n"/>
      <c r="G18" s="160" t="n"/>
      <c r="H18" s="465" t="n"/>
      <c r="I18" s="455" t="n"/>
      <c r="J18" s="455" t="n"/>
      <c r="K18" s="287" t="n"/>
      <c r="L18" s="43" t="n"/>
      <c r="M18" s="43" t="n"/>
      <c r="N18" s="466" t="n"/>
      <c r="O18" s="466" t="n"/>
      <c r="P18" s="466" t="n"/>
      <c r="Q18" s="466" t="n"/>
      <c r="R18" s="466" t="n"/>
      <c r="S18" s="466" t="n"/>
      <c r="T18" s="466" t="n"/>
      <c r="U18" s="466" t="n"/>
      <c r="V18" s="466" t="n"/>
      <c r="W18" s="466" t="n"/>
      <c r="X18" s="466" t="n"/>
      <c r="Y18" s="466" t="n"/>
      <c r="Z18" s="466" t="n"/>
      <c r="AA18" s="466">
        <f>SUM(N18:Z18)</f>
        <v/>
      </c>
      <c r="AB18" s="467">
        <f>T18+W18+Z18</f>
        <v/>
      </c>
      <c r="AC18" s="468">
        <f>AA18-AB18</f>
        <v/>
      </c>
      <c r="AD18" s="468" t="n"/>
      <c r="AE18" s="468">
        <f>AA18-AD18</f>
        <v/>
      </c>
      <c r="AF18" s="144" t="n"/>
      <c r="AG18" s="29" t="n"/>
      <c r="AH18" s="29" t="n"/>
      <c r="AI18" s="287" t="n"/>
      <c r="AJ18" s="43" t="n"/>
      <c r="AK18" s="167" t="n"/>
      <c r="AL18" s="43" t="n"/>
      <c r="AM18" s="43" t="n"/>
      <c r="AN18" s="239" t="n"/>
      <c r="AO18" s="36" t="n"/>
      <c r="AP18" s="32" t="n"/>
      <c r="AQ18" s="381" t="n"/>
      <c r="AR18" s="382" t="n"/>
      <c r="AT18" s="469">
        <f>N18+O18+P18+Q18+R18</f>
        <v/>
      </c>
      <c r="AU18" s="469">
        <f>S18+T18+U18+V18+X18+Y18</f>
        <v/>
      </c>
      <c r="AV18" s="469">
        <f>SUM(AT18:AU18)</f>
        <v/>
      </c>
      <c r="AW18" s="384">
        <f>AV18-AA18+W18+Z18</f>
        <v/>
      </c>
      <c r="AY18" s="470">
        <f>AA18-AV18</f>
        <v/>
      </c>
      <c r="AZ18" s="386">
        <f>AY18-AB18</f>
        <v/>
      </c>
    </row>
    <row r="19">
      <c r="A19" s="456" t="n"/>
      <c r="B19" s="11" t="n">
        <v>11</v>
      </c>
      <c r="C19" s="11" t="n"/>
      <c r="D19" s="11" t="n"/>
      <c r="E19" s="1" t="n"/>
      <c r="F19" s="160" t="n"/>
      <c r="G19" s="160" t="n"/>
      <c r="H19" s="465" t="n"/>
      <c r="I19" s="455" t="n"/>
      <c r="J19" s="455" t="n"/>
      <c r="K19" s="287" t="n"/>
      <c r="L19" s="43" t="n"/>
      <c r="M19" s="43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>
        <f>SUM(N19:Z19)</f>
        <v/>
      </c>
      <c r="AB19" s="467">
        <f>T19+W19+Z19</f>
        <v/>
      </c>
      <c r="AC19" s="468">
        <f>AA19-AB19</f>
        <v/>
      </c>
      <c r="AD19" s="468" t="n"/>
      <c r="AE19" s="468">
        <f>AA19-AD19</f>
        <v/>
      </c>
      <c r="AF19" s="144" t="n"/>
      <c r="AG19" s="29" t="n"/>
      <c r="AH19" s="29" t="n"/>
      <c r="AI19" s="287" t="n"/>
      <c r="AJ19" s="43" t="n"/>
      <c r="AK19" s="167" t="n"/>
      <c r="AL19" s="43" t="n"/>
      <c r="AM19" s="43" t="n"/>
      <c r="AN19" s="239" t="n"/>
      <c r="AO19" s="36" t="n"/>
      <c r="AP19" s="32" t="n"/>
      <c r="AQ19" s="381" t="n"/>
      <c r="AR19" s="382" t="n"/>
      <c r="AS19" s="370" t="n"/>
      <c r="AT19" s="469">
        <f>N19+O19+P19+Q19+R19</f>
        <v/>
      </c>
      <c r="AU19" s="469">
        <f>S19+T19+U19+V19+X19+Y19</f>
        <v/>
      </c>
      <c r="AV19" s="469">
        <f>SUM(AT19:AU19)</f>
        <v/>
      </c>
      <c r="AW19" s="384">
        <f>AV19-AA19+W19+Z19</f>
        <v/>
      </c>
      <c r="AY19" s="470">
        <f>AA19-AV19</f>
        <v/>
      </c>
      <c r="AZ19" s="386">
        <f>AY19-AB19</f>
        <v/>
      </c>
    </row>
    <row r="20">
      <c r="A20" s="456" t="n"/>
      <c r="B20" s="11" t="n">
        <v>12</v>
      </c>
      <c r="C20" s="11" t="n"/>
      <c r="D20" s="11" t="n"/>
      <c r="E20" s="1" t="n"/>
      <c r="F20" s="160" t="n"/>
      <c r="G20" s="160" t="n"/>
      <c r="H20" s="465" t="n"/>
      <c r="I20" s="455" t="n"/>
      <c r="J20" s="455" t="n"/>
      <c r="K20" s="287" t="n"/>
      <c r="L20" s="43" t="n"/>
      <c r="M20" s="43" t="n"/>
      <c r="N20" s="466" t="n"/>
      <c r="O20" s="466" t="n"/>
      <c r="P20" s="466" t="n"/>
      <c r="Q20" s="466" t="n"/>
      <c r="R20" s="466" t="n"/>
      <c r="S20" s="466" t="n"/>
      <c r="T20" s="466" t="n"/>
      <c r="U20" s="466" t="n"/>
      <c r="V20" s="466" t="n"/>
      <c r="W20" s="466" t="n"/>
      <c r="X20" s="466" t="n"/>
      <c r="Y20" s="466" t="n"/>
      <c r="Z20" s="466" t="n"/>
      <c r="AA20" s="466">
        <f>SUM(N20:Z20)</f>
        <v/>
      </c>
      <c r="AB20" s="467">
        <f>T20+W20+Z20</f>
        <v/>
      </c>
      <c r="AC20" s="468">
        <f>AA20-AB20</f>
        <v/>
      </c>
      <c r="AD20" s="468" t="n"/>
      <c r="AE20" s="468">
        <f>AA20-AD20</f>
        <v/>
      </c>
      <c r="AF20" s="144" t="n"/>
      <c r="AG20" s="29" t="n"/>
      <c r="AH20" s="29" t="n"/>
      <c r="AI20" s="287" t="n"/>
      <c r="AJ20" s="43" t="n"/>
      <c r="AK20" s="167" t="n"/>
      <c r="AL20" s="43" t="n"/>
      <c r="AM20" s="43" t="n"/>
      <c r="AN20" s="239" t="n"/>
      <c r="AO20" s="36" t="n"/>
      <c r="AP20" s="32" t="n"/>
      <c r="AQ20" s="381" t="n"/>
      <c r="AR20" s="382" t="n"/>
      <c r="AS20" s="370" t="n"/>
      <c r="AT20" s="469">
        <f>N20+O20+P20+Q20+R20</f>
        <v/>
      </c>
      <c r="AU20" s="469">
        <f>S20+T20+U20+V20+X20+Y20</f>
        <v/>
      </c>
      <c r="AV20" s="469">
        <f>SUM(AT20:AU20)</f>
        <v/>
      </c>
      <c r="AW20" s="384">
        <f>AV20-AA20+W20+Z20</f>
        <v/>
      </c>
      <c r="AY20" s="470">
        <f>AA20-AV20</f>
        <v/>
      </c>
      <c r="AZ20" s="386">
        <f>AY20-AB20</f>
        <v/>
      </c>
    </row>
    <row r="21">
      <c r="A21" s="456" t="n"/>
      <c r="B21" s="11" t="n">
        <v>13</v>
      </c>
      <c r="C21" s="11" t="n"/>
      <c r="D21" s="11" t="n"/>
      <c r="E21" s="1" t="n"/>
      <c r="F21" s="160" t="n"/>
      <c r="G21" s="160" t="n"/>
      <c r="H21" s="465" t="n"/>
      <c r="I21" s="455" t="n"/>
      <c r="J21" s="455" t="n"/>
      <c r="K21" s="287" t="n"/>
      <c r="L21" s="43" t="n"/>
      <c r="M21" s="43" t="n"/>
      <c r="N21" s="466" t="n"/>
      <c r="O21" s="466" t="n"/>
      <c r="P21" s="466" t="n"/>
      <c r="Q21" s="466" t="n"/>
      <c r="R21" s="466" t="n"/>
      <c r="S21" s="466" t="n"/>
      <c r="T21" s="466" t="n"/>
      <c r="U21" s="466" t="n"/>
      <c r="V21" s="466" t="n"/>
      <c r="W21" s="466" t="n"/>
      <c r="X21" s="466" t="n"/>
      <c r="Y21" s="466" t="n"/>
      <c r="Z21" s="466" t="n"/>
      <c r="AA21" s="466">
        <f>SUM(N21:Z21)</f>
        <v/>
      </c>
      <c r="AB21" s="467">
        <f>T21+W21+Z21</f>
        <v/>
      </c>
      <c r="AC21" s="468">
        <f>AA21-AB21</f>
        <v/>
      </c>
      <c r="AD21" s="468" t="n"/>
      <c r="AE21" s="468">
        <f>AA21-AD21</f>
        <v/>
      </c>
      <c r="AF21" s="144" t="n"/>
      <c r="AG21" s="29" t="n"/>
      <c r="AH21" s="29" t="n"/>
      <c r="AI21" s="287" t="n"/>
      <c r="AJ21" s="43" t="n"/>
      <c r="AK21" s="167" t="n"/>
      <c r="AL21" s="43" t="n"/>
      <c r="AM21" s="43" t="n"/>
      <c r="AN21" s="239" t="n"/>
      <c r="AO21" s="36" t="n"/>
      <c r="AP21" s="32" t="n"/>
      <c r="AQ21" s="381" t="n"/>
      <c r="AR21" s="382" t="n"/>
      <c r="AS21" s="370" t="n"/>
      <c r="AT21" s="469">
        <f>N21+O21+P21+Q21+R21</f>
        <v/>
      </c>
      <c r="AU21" s="469">
        <f>S21+T21+U21+V21+X21+Y21</f>
        <v/>
      </c>
      <c r="AV21" s="469">
        <f>SUM(AT21:AU21)</f>
        <v/>
      </c>
      <c r="AW21" s="384">
        <f>AV21-AA21+W21+Z21</f>
        <v/>
      </c>
      <c r="AY21" s="470">
        <f>AA21-AV21</f>
        <v/>
      </c>
      <c r="AZ21" s="386">
        <f>AY21-AB21</f>
        <v/>
      </c>
    </row>
    <row r="22">
      <c r="A22" s="456" t="n"/>
      <c r="B22" s="11" t="n">
        <v>14</v>
      </c>
      <c r="C22" s="11" t="n"/>
      <c r="D22" s="11" t="n"/>
      <c r="E22" s="1" t="n"/>
      <c r="F22" s="160" t="n"/>
      <c r="G22" s="160" t="n"/>
      <c r="H22" s="465" t="n"/>
      <c r="I22" s="455" t="n"/>
      <c r="J22" s="455" t="n"/>
      <c r="K22" s="287" t="n"/>
      <c r="L22" s="43" t="n"/>
      <c r="M22" s="43" t="n"/>
      <c r="N22" s="466" t="n"/>
      <c r="O22" s="466" t="n"/>
      <c r="P22" s="466" t="n"/>
      <c r="Q22" s="466" t="n"/>
      <c r="R22" s="466" t="n"/>
      <c r="S22" s="466" t="n"/>
      <c r="T22" s="466" t="n"/>
      <c r="U22" s="466" t="n"/>
      <c r="V22" s="466" t="n"/>
      <c r="W22" s="466" t="n"/>
      <c r="X22" s="466" t="n"/>
      <c r="Y22" s="466" t="n"/>
      <c r="Z22" s="466" t="n"/>
      <c r="AA22" s="466">
        <f>SUM(N22:Z22)</f>
        <v/>
      </c>
      <c r="AB22" s="467">
        <f>T22+W22+Z22</f>
        <v/>
      </c>
      <c r="AC22" s="468">
        <f>AA22-AB22</f>
        <v/>
      </c>
      <c r="AD22" s="468" t="n"/>
      <c r="AE22" s="468">
        <f>AA22-AD22</f>
        <v/>
      </c>
      <c r="AF22" s="144" t="n"/>
      <c r="AG22" s="29" t="n"/>
      <c r="AH22" s="29" t="n"/>
      <c r="AI22" s="287" t="n"/>
      <c r="AJ22" s="43" t="n"/>
      <c r="AK22" s="167" t="n"/>
      <c r="AL22" s="43" t="n"/>
      <c r="AM22" s="43" t="n"/>
      <c r="AN22" s="239" t="n"/>
      <c r="AO22" s="36" t="n"/>
      <c r="AP22" s="32" t="n"/>
      <c r="AQ22" s="381" t="n"/>
      <c r="AR22" s="382" t="n"/>
      <c r="AT22" s="469">
        <f>N22+O22+P22+Q22+R22</f>
        <v/>
      </c>
      <c r="AU22" s="469">
        <f>S22+T22+U22+V22+X22+Y22</f>
        <v/>
      </c>
      <c r="AV22" s="469">
        <f>SUM(AT22:AU22)</f>
        <v/>
      </c>
      <c r="AW22" s="384">
        <f>AV22-AA22+W22+Z22</f>
        <v/>
      </c>
      <c r="AY22" s="470">
        <f>AA22-AV22</f>
        <v/>
      </c>
      <c r="AZ22" s="386">
        <f>AY22-AB22</f>
        <v/>
      </c>
    </row>
    <row r="23">
      <c r="A23" s="456" t="n"/>
      <c r="B23" s="11" t="n">
        <v>15</v>
      </c>
      <c r="C23" s="11" t="n"/>
      <c r="D23" s="11" t="n"/>
      <c r="E23" s="1" t="n"/>
      <c r="F23" s="160" t="n"/>
      <c r="G23" s="160" t="n"/>
      <c r="H23" s="465" t="n"/>
      <c r="I23" s="455" t="n"/>
      <c r="J23" s="455" t="n"/>
      <c r="K23" s="287" t="n"/>
      <c r="L23" s="43" t="n"/>
      <c r="M23" s="43" t="n"/>
      <c r="N23" s="466" t="n"/>
      <c r="O23" s="466" t="n"/>
      <c r="P23" s="466" t="n"/>
      <c r="Q23" s="466" t="n"/>
      <c r="R23" s="466" t="n"/>
      <c r="S23" s="466" t="n"/>
      <c r="T23" s="466" t="n"/>
      <c r="U23" s="466" t="n"/>
      <c r="V23" s="466" t="n"/>
      <c r="W23" s="466" t="n"/>
      <c r="X23" s="466" t="n"/>
      <c r="Y23" s="466" t="n"/>
      <c r="Z23" s="466" t="n"/>
      <c r="AA23" s="466">
        <f>SUM(N23:Z23)</f>
        <v/>
      </c>
      <c r="AB23" s="467">
        <f>T23+W23+Z23</f>
        <v/>
      </c>
      <c r="AC23" s="468">
        <f>AA23-AB23</f>
        <v/>
      </c>
      <c r="AD23" s="468" t="n"/>
      <c r="AE23" s="468">
        <f>AA23-AD23</f>
        <v/>
      </c>
      <c r="AF23" s="144" t="n"/>
      <c r="AG23" s="29" t="n"/>
      <c r="AH23" s="29" t="n"/>
      <c r="AI23" s="287" t="n"/>
      <c r="AJ23" s="43" t="n"/>
      <c r="AK23" s="167" t="n"/>
      <c r="AL23" s="43" t="n"/>
      <c r="AM23" s="43" t="n"/>
      <c r="AN23" s="239" t="n"/>
      <c r="AO23" s="36" t="n"/>
      <c r="AP23" s="32" t="n"/>
      <c r="AQ23" s="381" t="n"/>
      <c r="AR23" s="382" t="n"/>
      <c r="AS23" s="370" t="n"/>
      <c r="AT23" s="469">
        <f>N23+O23+P23+Q23+R23</f>
        <v/>
      </c>
      <c r="AU23" s="469">
        <f>S23+T23+U23+V23+X23+Y23</f>
        <v/>
      </c>
      <c r="AV23" s="469">
        <f>SUM(AT23:AU23)</f>
        <v/>
      </c>
      <c r="AW23" s="384">
        <f>AV23-AA23+W23+Z23</f>
        <v/>
      </c>
      <c r="AY23" s="470">
        <f>AA23-AV23</f>
        <v/>
      </c>
      <c r="AZ23" s="386">
        <f>AY23-AB23</f>
        <v/>
      </c>
    </row>
    <row r="24">
      <c r="B24" s="11" t="n">
        <v>16</v>
      </c>
      <c r="C24" s="11" t="n"/>
      <c r="D24" s="11" t="n"/>
      <c r="E24" s="1" t="n"/>
      <c r="F24" s="160" t="n"/>
      <c r="G24" s="160" t="n"/>
      <c r="H24" s="465" t="n"/>
      <c r="I24" s="455" t="n"/>
      <c r="J24" s="455" t="n"/>
      <c r="K24" s="287" t="n"/>
      <c r="L24" s="43" t="n"/>
      <c r="M24" s="43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>
        <f>SUM(N24:Z24)</f>
        <v/>
      </c>
      <c r="AB24" s="467">
        <f>T24+W24+Z24</f>
        <v/>
      </c>
      <c r="AC24" s="468">
        <f>AA24-AB24</f>
        <v/>
      </c>
      <c r="AD24" s="468" t="n"/>
      <c r="AE24" s="468">
        <f>AA24-AD24</f>
        <v/>
      </c>
      <c r="AF24" s="144" t="n"/>
      <c r="AG24" s="29" t="n"/>
      <c r="AH24" s="29" t="n"/>
      <c r="AI24" s="287" t="n"/>
      <c r="AJ24" s="43" t="n"/>
      <c r="AK24" s="167" t="n"/>
      <c r="AL24" s="43" t="n"/>
      <c r="AM24" s="43" t="n"/>
      <c r="AN24" s="239" t="n"/>
      <c r="AO24" s="36" t="n"/>
      <c r="AP24" s="32" t="n"/>
      <c r="AQ24" s="381" t="n"/>
      <c r="AR24" s="382" t="n"/>
      <c r="AT24" s="469">
        <f>N24+O24+P24+Q24+R24</f>
        <v/>
      </c>
      <c r="AU24" s="469">
        <f>S24+T24+U24+V24+X24+Y24</f>
        <v/>
      </c>
      <c r="AV24" s="469">
        <f>SUM(AT24:AU24)</f>
        <v/>
      </c>
      <c r="AW24" s="384">
        <f>AV24-AA24+W24+Z24</f>
        <v/>
      </c>
      <c r="AY24" s="470">
        <f>AA24-AV24</f>
        <v/>
      </c>
      <c r="AZ24" s="386">
        <f>AY24-AB24</f>
        <v/>
      </c>
    </row>
    <row r="25">
      <c r="B25" s="11" t="n">
        <v>17</v>
      </c>
      <c r="C25" s="11" t="n"/>
      <c r="D25" s="11" t="n"/>
      <c r="E25" s="1" t="n"/>
      <c r="F25" s="160" t="n"/>
      <c r="G25" s="160" t="n"/>
      <c r="H25" s="465" t="n"/>
      <c r="I25" s="455" t="n"/>
      <c r="J25" s="455" t="n"/>
      <c r="K25" s="287" t="n"/>
      <c r="L25" s="43" t="n"/>
      <c r="M25" s="43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>
        <f>SUM(N25:Z25)</f>
        <v/>
      </c>
      <c r="AB25" s="467">
        <f>T25+W25+Z25</f>
        <v/>
      </c>
      <c r="AC25" s="468">
        <f>AA25-AB25</f>
        <v/>
      </c>
      <c r="AD25" s="468" t="n"/>
      <c r="AE25" s="468">
        <f>AA25-AD25</f>
        <v/>
      </c>
      <c r="AF25" s="144" t="n"/>
      <c r="AG25" s="29" t="n"/>
      <c r="AH25" s="29" t="n"/>
      <c r="AI25" s="287" t="n"/>
      <c r="AJ25" s="43" t="n"/>
      <c r="AK25" s="167" t="n"/>
      <c r="AL25" s="43" t="n"/>
      <c r="AM25" s="43" t="n"/>
      <c r="AN25" s="239" t="n"/>
      <c r="AO25" s="36" t="n"/>
      <c r="AP25" s="32" t="n"/>
      <c r="AQ25" s="381" t="n"/>
      <c r="AR25" s="382" t="n"/>
      <c r="AT25" s="469">
        <f>N25+O25+P25+Q25+R25</f>
        <v/>
      </c>
      <c r="AU25" s="469">
        <f>S25+T25+U25+V25+X25+Y25</f>
        <v/>
      </c>
      <c r="AV25" s="469">
        <f>SUM(AT25:AU25)</f>
        <v/>
      </c>
      <c r="AW25" s="384">
        <f>AV25-AA25+W25+Z25</f>
        <v/>
      </c>
      <c r="AY25" s="470">
        <f>AA25-AV25</f>
        <v/>
      </c>
      <c r="AZ25" s="386">
        <f>AY25-AB25</f>
        <v/>
      </c>
    </row>
    <row r="26">
      <c r="A26" s="456" t="n"/>
      <c r="B26" s="11" t="n">
        <v>18</v>
      </c>
      <c r="C26" s="11" t="n"/>
      <c r="D26" s="11" t="n"/>
      <c r="E26" s="1" t="n"/>
      <c r="F26" s="160" t="n"/>
      <c r="G26" s="160" t="n"/>
      <c r="H26" s="465" t="n"/>
      <c r="I26" s="455" t="n"/>
      <c r="J26" s="455" t="n"/>
      <c r="K26" s="287" t="n"/>
      <c r="L26" s="43" t="n"/>
      <c r="M26" s="43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>
        <f>SUM(N26:Z26)</f>
        <v/>
      </c>
      <c r="AB26" s="467">
        <f>T26+W26+Z26</f>
        <v/>
      </c>
      <c r="AC26" s="468">
        <f>AA26-AB26</f>
        <v/>
      </c>
      <c r="AD26" s="468" t="n"/>
      <c r="AE26" s="468">
        <f>AA26-AD26</f>
        <v/>
      </c>
      <c r="AF26" s="144" t="n"/>
      <c r="AG26" s="29" t="n"/>
      <c r="AH26" s="29" t="n"/>
      <c r="AI26" s="287" t="n"/>
      <c r="AJ26" s="43" t="n"/>
      <c r="AK26" s="238" t="n"/>
      <c r="AL26" s="43" t="n"/>
      <c r="AM26" s="43" t="n"/>
      <c r="AN26" s="43" t="n"/>
      <c r="AO26" s="36" t="n"/>
      <c r="AP26" s="32" t="n"/>
      <c r="AQ26" s="381" t="n"/>
      <c r="AR26" s="382" t="n"/>
      <c r="AS26" s="370" t="n"/>
      <c r="AT26" s="469">
        <f>N26+O26+P26+Q26+R26</f>
        <v/>
      </c>
      <c r="AU26" s="469">
        <f>S26+T26+U26+V26+X26+Y26</f>
        <v/>
      </c>
      <c r="AV26" s="469">
        <f>SUM(AT26:AU26)</f>
        <v/>
      </c>
      <c r="AW26" s="384">
        <f>AV26-AA26+W26+Z26</f>
        <v/>
      </c>
      <c r="AY26" s="470">
        <f>AA26-AV26</f>
        <v/>
      </c>
      <c r="AZ26" s="386">
        <f>AY26-AB26</f>
        <v/>
      </c>
    </row>
    <row r="27">
      <c r="A27" s="456" t="n"/>
      <c r="B27" s="11" t="n">
        <v>19</v>
      </c>
      <c r="C27" s="11" t="n"/>
      <c r="D27" s="11" t="n"/>
      <c r="E27" s="1" t="n"/>
      <c r="F27" s="160" t="n"/>
      <c r="G27" s="160" t="n"/>
      <c r="H27" s="465" t="n"/>
      <c r="I27" s="455" t="n"/>
      <c r="J27" s="455" t="n"/>
      <c r="K27" s="287" t="n"/>
      <c r="L27" s="43" t="n"/>
      <c r="M27" s="43" t="n"/>
      <c r="N27" s="466" t="n"/>
      <c r="O27" s="466" t="n"/>
      <c r="P27" s="466" t="n"/>
      <c r="Q27" s="466" t="n"/>
      <c r="R27" s="466" t="n"/>
      <c r="S27" s="466" t="n"/>
      <c r="T27" s="466" t="n"/>
      <c r="U27" s="466" t="n"/>
      <c r="V27" s="466" t="n"/>
      <c r="W27" s="466" t="n"/>
      <c r="X27" s="466" t="n"/>
      <c r="Y27" s="466" t="n"/>
      <c r="Z27" s="466" t="n"/>
      <c r="AA27" s="466">
        <f>SUM(N27:Z27)</f>
        <v/>
      </c>
      <c r="AB27" s="467">
        <f>T27+W27+Z27</f>
        <v/>
      </c>
      <c r="AC27" s="468">
        <f>AA27-AB27</f>
        <v/>
      </c>
      <c r="AD27" s="468" t="n"/>
      <c r="AE27" s="468">
        <f>AA27-AD27</f>
        <v/>
      </c>
      <c r="AF27" s="144" t="n"/>
      <c r="AG27" s="29" t="n"/>
      <c r="AH27" s="29" t="n"/>
      <c r="AI27" s="287" t="n"/>
      <c r="AJ27" s="43" t="n"/>
      <c r="AK27" s="238" t="n"/>
      <c r="AL27" s="43" t="n"/>
      <c r="AM27" s="43" t="n"/>
      <c r="AN27" s="43" t="n"/>
      <c r="AO27" s="36" t="n"/>
      <c r="AP27" s="32" t="n"/>
      <c r="AQ27" s="381" t="n"/>
      <c r="AR27" s="382" t="n"/>
      <c r="AS27" s="370" t="n"/>
      <c r="AT27" s="469">
        <f>N27+O27+P27+Q27+R27</f>
        <v/>
      </c>
      <c r="AU27" s="469">
        <f>S27+T27+U27+V27+X27+Y27</f>
        <v/>
      </c>
      <c r="AV27" s="469">
        <f>SUM(AT27:AU27)</f>
        <v/>
      </c>
      <c r="AW27" s="384">
        <f>AV27-AA27+W27+Z27</f>
        <v/>
      </c>
      <c r="AY27" s="470">
        <f>AA27-AV27</f>
        <v/>
      </c>
      <c r="AZ27" s="386">
        <f>AY27-AB27</f>
        <v/>
      </c>
    </row>
    <row r="28">
      <c r="A28" s="456" t="n"/>
      <c r="B28" s="11" t="n">
        <v>20</v>
      </c>
      <c r="C28" s="11" t="n"/>
      <c r="D28" s="11" t="n"/>
      <c r="E28" s="1" t="n"/>
      <c r="F28" s="160" t="n"/>
      <c r="G28" s="160" t="n"/>
      <c r="H28" s="465" t="n"/>
      <c r="I28" s="455" t="n"/>
      <c r="J28" s="455" t="n"/>
      <c r="K28" s="287" t="n"/>
      <c r="L28" s="43" t="n"/>
      <c r="M28" s="43" t="n"/>
      <c r="N28" s="466" t="n"/>
      <c r="O28" s="466" t="n"/>
      <c r="P28" s="466" t="n"/>
      <c r="Q28" s="466" t="n"/>
      <c r="R28" s="466" t="n"/>
      <c r="S28" s="466" t="n"/>
      <c r="T28" s="466" t="n"/>
      <c r="U28" s="466" t="n"/>
      <c r="V28" s="466" t="n"/>
      <c r="W28" s="466" t="n"/>
      <c r="X28" s="466" t="n"/>
      <c r="Y28" s="466" t="n"/>
      <c r="Z28" s="466" t="n"/>
      <c r="AA28" s="466">
        <f>SUM(N28:Z28)</f>
        <v/>
      </c>
      <c r="AB28" s="467">
        <f>T28+W28+Z28</f>
        <v/>
      </c>
      <c r="AC28" s="468">
        <f>AA28-AB28</f>
        <v/>
      </c>
      <c r="AD28" s="468" t="n"/>
      <c r="AE28" s="468">
        <f>AA28-AD28</f>
        <v/>
      </c>
      <c r="AF28" s="144" t="n"/>
      <c r="AG28" s="29" t="n"/>
      <c r="AH28" s="29" t="n"/>
      <c r="AI28" s="287" t="n"/>
      <c r="AJ28" s="43" t="n"/>
      <c r="AK28" s="167" t="n"/>
      <c r="AL28" s="43" t="n"/>
      <c r="AM28" s="43" t="n"/>
      <c r="AN28" s="239" t="n"/>
      <c r="AO28" s="36" t="n"/>
      <c r="AP28" s="32" t="n"/>
      <c r="AQ28" s="381" t="n"/>
      <c r="AR28" s="382" t="n"/>
      <c r="AS28" s="370" t="n"/>
      <c r="AT28" s="469">
        <f>N28+O28+P28+Q28+R28</f>
        <v/>
      </c>
      <c r="AU28" s="469">
        <f>S28+T28+U28+V28+X28+Y28</f>
        <v/>
      </c>
      <c r="AV28" s="469">
        <f>SUM(AT28:AU28)</f>
        <v/>
      </c>
      <c r="AW28" s="384">
        <f>AV28-AA28+W28+Z28</f>
        <v/>
      </c>
      <c r="AY28" s="470">
        <f>AA28-AV28</f>
        <v/>
      </c>
      <c r="AZ28" s="386">
        <f>AY28-AB28</f>
        <v/>
      </c>
    </row>
    <row r="29">
      <c r="A29" s="456" t="n"/>
      <c r="B29" s="11" t="n">
        <v>21</v>
      </c>
      <c r="C29" s="11" t="n"/>
      <c r="D29" s="11" t="n"/>
      <c r="E29" s="1" t="n"/>
      <c r="F29" s="160" t="n"/>
      <c r="G29" s="160" t="n"/>
      <c r="H29" s="465" t="n"/>
      <c r="I29" s="455" t="n"/>
      <c r="J29" s="455" t="n"/>
      <c r="K29" s="287" t="n"/>
      <c r="L29" s="43" t="n"/>
      <c r="M29" s="43" t="n"/>
      <c r="N29" s="466" t="n"/>
      <c r="O29" s="466" t="n"/>
      <c r="P29" s="466" t="n"/>
      <c r="Q29" s="466" t="n"/>
      <c r="R29" s="466" t="n"/>
      <c r="S29" s="466" t="n"/>
      <c r="T29" s="466" t="n"/>
      <c r="U29" s="466" t="n"/>
      <c r="V29" s="466" t="n"/>
      <c r="W29" s="466" t="n"/>
      <c r="X29" s="466" t="n"/>
      <c r="Y29" s="466" t="n"/>
      <c r="Z29" s="466" t="n"/>
      <c r="AA29" s="466">
        <f>SUM(N29:Z29)</f>
        <v/>
      </c>
      <c r="AB29" s="467">
        <f>T29+W29+Z29</f>
        <v/>
      </c>
      <c r="AC29" s="468">
        <f>AA29-AB29</f>
        <v/>
      </c>
      <c r="AD29" s="468" t="n"/>
      <c r="AE29" s="468">
        <f>AA29-AD29</f>
        <v/>
      </c>
      <c r="AF29" s="144" t="n"/>
      <c r="AG29" s="29" t="n"/>
      <c r="AH29" s="29" t="n"/>
      <c r="AI29" s="287" t="n"/>
      <c r="AJ29" s="43" t="n"/>
      <c r="AK29" s="167" t="n"/>
      <c r="AL29" s="43" t="n"/>
      <c r="AM29" s="43" t="n"/>
      <c r="AN29" s="239" t="n"/>
      <c r="AO29" s="36" t="n"/>
      <c r="AP29" s="32" t="n"/>
      <c r="AQ29" s="381" t="n"/>
      <c r="AR29" s="382" t="n"/>
      <c r="AS29" s="370" t="n"/>
      <c r="AT29" s="469">
        <f>N29+O29+P29+Q29+R29</f>
        <v/>
      </c>
      <c r="AU29" s="469">
        <f>S29+T29+U29+V29+X29+Y29</f>
        <v/>
      </c>
      <c r="AV29" s="469">
        <f>SUM(AT29:AU29)</f>
        <v/>
      </c>
      <c r="AW29" s="384">
        <f>AV29-AA29+W29+Z29</f>
        <v/>
      </c>
      <c r="AY29" s="470">
        <f>AA29-AV29</f>
        <v/>
      </c>
      <c r="AZ29" s="386">
        <f>AY29-AB29</f>
        <v/>
      </c>
    </row>
    <row r="30">
      <c r="A30" s="456" t="n"/>
      <c r="B30" s="11" t="n">
        <v>22</v>
      </c>
      <c r="C30" s="11" t="n"/>
      <c r="D30" s="11" t="n"/>
      <c r="E30" s="1" t="n"/>
      <c r="F30" s="160" t="n"/>
      <c r="G30" s="160" t="n"/>
      <c r="H30" s="465" t="n"/>
      <c r="I30" s="455" t="n"/>
      <c r="J30" s="455" t="n"/>
      <c r="K30" s="287" t="n"/>
      <c r="L30" s="43" t="n"/>
      <c r="M30" s="43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>
        <f>SUM(N30:Z30)</f>
        <v/>
      </c>
      <c r="AB30" s="467">
        <f>T30+W30+Z30</f>
        <v/>
      </c>
      <c r="AC30" s="468">
        <f>AA30-AB30</f>
        <v/>
      </c>
      <c r="AD30" s="468" t="n"/>
      <c r="AE30" s="468">
        <f>AA30-AD30</f>
        <v/>
      </c>
      <c r="AF30" s="144" t="n"/>
      <c r="AG30" s="29" t="n"/>
      <c r="AH30" s="29" t="n"/>
      <c r="AI30" s="287" t="n"/>
      <c r="AJ30" s="43" t="n"/>
      <c r="AK30" s="167" t="n"/>
      <c r="AL30" s="43" t="n"/>
      <c r="AM30" s="43" t="n"/>
      <c r="AN30" s="239" t="n"/>
      <c r="AO30" s="36" t="n"/>
      <c r="AP30" s="32" t="n"/>
      <c r="AQ30" s="381" t="n"/>
      <c r="AR30" s="382" t="n"/>
      <c r="AT30" s="469">
        <f>N30+O30+P30+Q30+R30</f>
        <v/>
      </c>
      <c r="AU30" s="469">
        <f>S30+T30+U30+V30+X30+Y30</f>
        <v/>
      </c>
      <c r="AV30" s="469">
        <f>SUM(AT30:AU30)</f>
        <v/>
      </c>
      <c r="AW30" s="384">
        <f>AV30-AA30+W30+Z30</f>
        <v/>
      </c>
      <c r="AY30" s="470">
        <f>AA30-AV30</f>
        <v/>
      </c>
      <c r="AZ30" s="386">
        <f>AY30-AB30</f>
        <v/>
      </c>
    </row>
    <row r="31">
      <c r="A31" s="456" t="n"/>
      <c r="B31" s="11" t="n">
        <v>23</v>
      </c>
      <c r="C31" s="11" t="n"/>
      <c r="D31" s="11" t="n"/>
      <c r="E31" s="1" t="n"/>
      <c r="F31" s="160" t="n"/>
      <c r="G31" s="160" t="n"/>
      <c r="H31" s="465" t="n"/>
      <c r="I31" s="455" t="n"/>
      <c r="J31" s="455" t="n"/>
      <c r="K31" s="287" t="n"/>
      <c r="L31" s="43" t="n"/>
      <c r="M31" s="43" t="n"/>
      <c r="N31" s="466" t="n"/>
      <c r="O31" s="466" t="n"/>
      <c r="P31" s="466" t="n"/>
      <c r="Q31" s="466" t="n"/>
      <c r="R31" s="466" t="n"/>
      <c r="S31" s="466" t="n"/>
      <c r="T31" s="466" t="n"/>
      <c r="U31" s="466" t="n"/>
      <c r="V31" s="466" t="n"/>
      <c r="W31" s="466" t="n"/>
      <c r="X31" s="466" t="n"/>
      <c r="Y31" s="466" t="n"/>
      <c r="Z31" s="466" t="n"/>
      <c r="AA31" s="466">
        <f>SUM(N31:Z31)</f>
        <v/>
      </c>
      <c r="AB31" s="467">
        <f>T31+W31+Z31</f>
        <v/>
      </c>
      <c r="AC31" s="468">
        <f>AA31-AB31</f>
        <v/>
      </c>
      <c r="AD31" s="468" t="n"/>
      <c r="AE31" s="468">
        <f>AA31-AD31</f>
        <v/>
      </c>
      <c r="AF31" s="144" t="n"/>
      <c r="AG31" s="29" t="n"/>
      <c r="AH31" s="29" t="n"/>
      <c r="AI31" s="287" t="n"/>
      <c r="AJ31" s="43" t="n"/>
      <c r="AK31" s="167" t="n"/>
      <c r="AL31" s="43" t="n"/>
      <c r="AM31" s="43" t="n"/>
      <c r="AN31" s="239" t="n"/>
      <c r="AO31" s="36" t="n"/>
      <c r="AP31" s="32" t="n"/>
      <c r="AQ31" s="381" t="n"/>
      <c r="AR31" s="382" t="n"/>
      <c r="AS31" s="370" t="n"/>
      <c r="AT31" s="469">
        <f>N31+O31+P31+Q31+R31</f>
        <v/>
      </c>
      <c r="AU31" s="469">
        <f>S31+T31+U31+V31+X31+Y31</f>
        <v/>
      </c>
      <c r="AV31" s="469">
        <f>SUM(AT31:AU31)</f>
        <v/>
      </c>
      <c r="AW31" s="384">
        <f>AV31-AA31+W31+Z31</f>
        <v/>
      </c>
      <c r="AY31" s="470">
        <f>AA31-AV31</f>
        <v/>
      </c>
      <c r="AZ31" s="386">
        <f>AY31-AB31</f>
        <v/>
      </c>
    </row>
    <row r="32">
      <c r="A32" s="456" t="n"/>
      <c r="B32" s="11" t="n">
        <v>24</v>
      </c>
      <c r="C32" s="11" t="n"/>
      <c r="D32" s="11" t="n"/>
      <c r="E32" s="1" t="n"/>
      <c r="F32" s="160" t="n"/>
      <c r="G32" s="160" t="n"/>
      <c r="H32" s="465" t="n"/>
      <c r="I32" s="455" t="n"/>
      <c r="J32" s="455" t="n"/>
      <c r="K32" s="287" t="n"/>
      <c r="L32" s="43" t="n"/>
      <c r="M32" s="43" t="n"/>
      <c r="N32" s="466" t="n"/>
      <c r="O32" s="466" t="n"/>
      <c r="P32" s="466" t="n"/>
      <c r="Q32" s="466" t="n"/>
      <c r="R32" s="466" t="n"/>
      <c r="S32" s="466" t="n"/>
      <c r="T32" s="466" t="n"/>
      <c r="U32" s="466" t="n"/>
      <c r="V32" s="466" t="n"/>
      <c r="W32" s="466" t="n"/>
      <c r="X32" s="466" t="n"/>
      <c r="Y32" s="466" t="n"/>
      <c r="Z32" s="466" t="n"/>
      <c r="AA32" s="466">
        <f>SUM(N32:Z32)</f>
        <v/>
      </c>
      <c r="AB32" s="467">
        <f>T32+W32+Z32</f>
        <v/>
      </c>
      <c r="AC32" s="468">
        <f>AA32-AB32</f>
        <v/>
      </c>
      <c r="AD32" s="468" t="n"/>
      <c r="AE32" s="468">
        <f>AA32-AD32</f>
        <v/>
      </c>
      <c r="AF32" s="144" t="n"/>
      <c r="AG32" s="29" t="n"/>
      <c r="AH32" s="29" t="n"/>
      <c r="AI32" s="287" t="n"/>
      <c r="AJ32" s="43" t="n"/>
      <c r="AK32" s="167" t="n"/>
      <c r="AL32" s="43" t="n"/>
      <c r="AM32" s="43" t="n"/>
      <c r="AN32" s="239" t="n"/>
      <c r="AO32" s="36" t="n"/>
      <c r="AP32" s="32" t="n"/>
      <c r="AQ32" s="381" t="n"/>
      <c r="AR32" s="382" t="n"/>
      <c r="AS32" s="370" t="n"/>
      <c r="AT32" s="469">
        <f>N32+O32+P32+Q32+R32</f>
        <v/>
      </c>
      <c r="AU32" s="469">
        <f>S32+T32+U32+V32+X32+Y32</f>
        <v/>
      </c>
      <c r="AV32" s="469">
        <f>SUM(AT32:AU32)</f>
        <v/>
      </c>
      <c r="AW32" s="384">
        <f>AV32-AA32+W32+Z32</f>
        <v/>
      </c>
      <c r="AY32" s="470">
        <f>AA32-AV32</f>
        <v/>
      </c>
      <c r="AZ32" s="386">
        <f>AY32-AB32</f>
        <v/>
      </c>
    </row>
    <row r="33">
      <c r="A33" s="456" t="n"/>
      <c r="B33" s="11" t="n">
        <v>25</v>
      </c>
      <c r="C33" s="11" t="n"/>
      <c r="D33" s="11" t="n"/>
      <c r="E33" s="1" t="n"/>
      <c r="F33" s="160" t="n"/>
      <c r="G33" s="160" t="n"/>
      <c r="H33" s="465" t="n"/>
      <c r="I33" s="455" t="n"/>
      <c r="J33" s="455" t="n"/>
      <c r="K33" s="287" t="n"/>
      <c r="L33" s="43" t="n"/>
      <c r="M33" s="43" t="n"/>
      <c r="N33" s="466" t="n"/>
      <c r="O33" s="466" t="n"/>
      <c r="P33" s="466" t="n"/>
      <c r="Q33" s="466" t="n"/>
      <c r="R33" s="466" t="n"/>
      <c r="S33" s="466" t="n"/>
      <c r="T33" s="466" t="n"/>
      <c r="U33" s="466" t="n"/>
      <c r="V33" s="466" t="n"/>
      <c r="W33" s="466" t="n"/>
      <c r="X33" s="466" t="n"/>
      <c r="Y33" s="466" t="n"/>
      <c r="Z33" s="466" t="n"/>
      <c r="AA33" s="466">
        <f>SUM(N33:Z33)</f>
        <v/>
      </c>
      <c r="AB33" s="467">
        <f>T33+W33+Z33</f>
        <v/>
      </c>
      <c r="AC33" s="468">
        <f>AA33-AB33</f>
        <v/>
      </c>
      <c r="AD33" s="468" t="n"/>
      <c r="AE33" s="468">
        <f>AA33-AD33</f>
        <v/>
      </c>
      <c r="AF33" s="144" t="n"/>
      <c r="AG33" s="29" t="n"/>
      <c r="AH33" s="29" t="n"/>
      <c r="AI33" s="287" t="n"/>
      <c r="AJ33" s="43" t="n"/>
      <c r="AK33" s="167" t="n"/>
      <c r="AL33" s="43" t="n"/>
      <c r="AM33" s="43" t="n"/>
      <c r="AN33" s="239" t="n"/>
      <c r="AO33" s="36" t="n"/>
      <c r="AP33" s="32" t="n"/>
      <c r="AQ33" s="381" t="n"/>
      <c r="AR33" s="382" t="n"/>
      <c r="AS33" s="370" t="n"/>
      <c r="AT33" s="469">
        <f>N33+O33+P33+Q33+R33</f>
        <v/>
      </c>
      <c r="AU33" s="469">
        <f>S33+T33+U33+V33+X33+Y33</f>
        <v/>
      </c>
      <c r="AV33" s="469">
        <f>SUM(AT33:AU33)</f>
        <v/>
      </c>
      <c r="AW33" s="384">
        <f>AV33-AA33+W33+Z33</f>
        <v/>
      </c>
      <c r="AY33" s="470">
        <f>AA33-AV33</f>
        <v/>
      </c>
      <c r="AZ33" s="386">
        <f>AY33-AB33</f>
        <v/>
      </c>
    </row>
    <row r="34">
      <c r="A34" s="456" t="n"/>
      <c r="B34" s="11" t="n">
        <v>26</v>
      </c>
      <c r="C34" s="11" t="n"/>
      <c r="D34" s="11" t="n"/>
      <c r="E34" s="1" t="n"/>
      <c r="F34" s="160" t="n"/>
      <c r="G34" s="160" t="n"/>
      <c r="H34" s="465" t="n"/>
      <c r="I34" s="455" t="n"/>
      <c r="J34" s="455" t="n"/>
      <c r="K34" s="287" t="n"/>
      <c r="L34" s="43" t="n"/>
      <c r="M34" s="43" t="n"/>
      <c r="N34" s="466" t="n"/>
      <c r="O34" s="466" t="n"/>
      <c r="P34" s="466" t="n"/>
      <c r="Q34" s="466" t="n"/>
      <c r="R34" s="466" t="n"/>
      <c r="S34" s="466" t="n"/>
      <c r="T34" s="466" t="n"/>
      <c r="U34" s="466" t="n"/>
      <c r="V34" s="466" t="n"/>
      <c r="W34" s="466" t="n"/>
      <c r="X34" s="466" t="n"/>
      <c r="Y34" s="466" t="n"/>
      <c r="Z34" s="466" t="n"/>
      <c r="AA34" s="466">
        <f>SUM(N34:Z34)</f>
        <v/>
      </c>
      <c r="AB34" s="467">
        <f>T34+W34+Z34</f>
        <v/>
      </c>
      <c r="AC34" s="468">
        <f>AA34-AB34</f>
        <v/>
      </c>
      <c r="AD34" s="468" t="n"/>
      <c r="AE34" s="468">
        <f>AA34-AD34</f>
        <v/>
      </c>
      <c r="AF34" s="144" t="n"/>
      <c r="AG34" s="29" t="n"/>
      <c r="AH34" s="29" t="n"/>
      <c r="AI34" s="287" t="n"/>
      <c r="AJ34" s="43" t="n"/>
      <c r="AK34" s="167" t="n"/>
      <c r="AL34" s="43" t="n"/>
      <c r="AM34" s="43" t="n"/>
      <c r="AN34" s="239" t="n"/>
      <c r="AO34" s="36" t="n"/>
      <c r="AP34" s="32" t="n"/>
      <c r="AQ34" s="381" t="n"/>
      <c r="AR34" s="382" t="n"/>
      <c r="AS34" s="370" t="n"/>
      <c r="AT34" s="469">
        <f>N34+O34+P34+Q34+R34</f>
        <v/>
      </c>
      <c r="AU34" s="469">
        <f>S34+T34+U34+V34+X34+Y34</f>
        <v/>
      </c>
      <c r="AV34" s="469">
        <f>SUM(AT34:AU34)</f>
        <v/>
      </c>
      <c r="AW34" s="384">
        <f>AV34-AA34+W34+Z34</f>
        <v/>
      </c>
      <c r="AY34" s="470">
        <f>AA34-AV34</f>
        <v/>
      </c>
      <c r="AZ34" s="386">
        <f>AY34-AB34</f>
        <v/>
      </c>
    </row>
    <row r="35">
      <c r="B35" s="11" t="n">
        <v>27</v>
      </c>
      <c r="C35" s="11" t="n"/>
      <c r="D35" s="11" t="n"/>
      <c r="E35" s="1" t="n"/>
      <c r="F35" s="160" t="n"/>
      <c r="G35" s="160" t="n"/>
      <c r="H35" s="465" t="n"/>
      <c r="I35" s="455" t="n"/>
      <c r="J35" s="455" t="n"/>
      <c r="K35" s="287" t="n"/>
      <c r="L35" s="43" t="n"/>
      <c r="M35" s="43" t="n"/>
      <c r="N35" s="466" t="n"/>
      <c r="O35" s="466" t="n"/>
      <c r="P35" s="466" t="n"/>
      <c r="Q35" s="466" t="n"/>
      <c r="R35" s="466" t="n"/>
      <c r="S35" s="466" t="n"/>
      <c r="T35" s="466" t="n"/>
      <c r="U35" s="466" t="n"/>
      <c r="V35" s="466" t="n"/>
      <c r="W35" s="466" t="n"/>
      <c r="X35" s="466" t="n"/>
      <c r="Y35" s="466" t="n"/>
      <c r="Z35" s="466" t="n"/>
      <c r="AA35" s="466">
        <f>SUM(N35:Z35)</f>
        <v/>
      </c>
      <c r="AB35" s="467">
        <f>T35+W35+Z35</f>
        <v/>
      </c>
      <c r="AC35" s="468">
        <f>AA35-AB35</f>
        <v/>
      </c>
      <c r="AD35" s="468" t="n"/>
      <c r="AE35" s="468">
        <f>AA35-AD35</f>
        <v/>
      </c>
      <c r="AF35" s="144" t="n"/>
      <c r="AG35" s="29" t="n"/>
      <c r="AH35" s="29" t="n"/>
      <c r="AI35" s="287" t="n"/>
      <c r="AJ35" s="43" t="n"/>
      <c r="AK35" s="167" t="n"/>
      <c r="AL35" s="43" t="n"/>
      <c r="AM35" s="43" t="n"/>
      <c r="AN35" s="239" t="n"/>
      <c r="AO35" s="36" t="n"/>
      <c r="AP35" s="32" t="n"/>
      <c r="AQ35" s="381" t="n"/>
      <c r="AR35" s="382" t="n"/>
      <c r="AT35" s="469">
        <f>N35+O35+P35+Q35+R35</f>
        <v/>
      </c>
      <c r="AU35" s="469">
        <f>S35+T35+U35+V35+X35+Y35</f>
        <v/>
      </c>
      <c r="AV35" s="469">
        <f>SUM(AT35:AU35)</f>
        <v/>
      </c>
      <c r="AW35" s="384">
        <f>AV35-AA35+W35+Z35</f>
        <v/>
      </c>
      <c r="AY35" s="470">
        <f>AA35-AV35</f>
        <v/>
      </c>
      <c r="AZ35" s="386">
        <f>AY35-AB35</f>
        <v/>
      </c>
    </row>
    <row r="36">
      <c r="B36" s="11" t="n">
        <v>28</v>
      </c>
      <c r="C36" s="11" t="n"/>
      <c r="D36" s="11" t="n"/>
      <c r="E36" s="1" t="n"/>
      <c r="F36" s="160" t="n"/>
      <c r="G36" s="160" t="n"/>
      <c r="H36" s="465" t="n"/>
      <c r="I36" s="455" t="n"/>
      <c r="J36" s="455" t="n"/>
      <c r="K36" s="287" t="n"/>
      <c r="L36" s="43" t="n"/>
      <c r="M36" s="43" t="n"/>
      <c r="N36" s="466" t="n"/>
      <c r="O36" s="466" t="n"/>
      <c r="P36" s="466" t="n"/>
      <c r="Q36" s="466" t="n"/>
      <c r="R36" s="466" t="n"/>
      <c r="S36" s="466" t="n"/>
      <c r="T36" s="466" t="n"/>
      <c r="U36" s="466" t="n"/>
      <c r="V36" s="466" t="n"/>
      <c r="W36" s="466" t="n"/>
      <c r="X36" s="466" t="n"/>
      <c r="Y36" s="466" t="n"/>
      <c r="Z36" s="466" t="n"/>
      <c r="AA36" s="466">
        <f>SUM(N36:Z36)</f>
        <v/>
      </c>
      <c r="AB36" s="467">
        <f>T36+W36+Z36</f>
        <v/>
      </c>
      <c r="AC36" s="468">
        <f>AA36-AB36</f>
        <v/>
      </c>
      <c r="AD36" s="468" t="n"/>
      <c r="AE36" s="468">
        <f>AA36-AD36</f>
        <v/>
      </c>
      <c r="AF36" s="144" t="n"/>
      <c r="AG36" s="29" t="n"/>
      <c r="AH36" s="29" t="n"/>
      <c r="AI36" s="287" t="n"/>
      <c r="AJ36" s="43" t="n"/>
      <c r="AK36" s="167" t="n"/>
      <c r="AL36" s="43" t="n"/>
      <c r="AM36" s="43" t="n"/>
      <c r="AN36" s="239" t="n"/>
      <c r="AO36" s="36" t="n"/>
      <c r="AP36" s="32" t="n"/>
      <c r="AQ36" s="381" t="n"/>
      <c r="AR36" s="382" t="n"/>
      <c r="AT36" s="469">
        <f>N36+O36+P36+Q36+R36</f>
        <v/>
      </c>
      <c r="AU36" s="469">
        <f>S36+T36+U36+V36+X36+Y36</f>
        <v/>
      </c>
      <c r="AV36" s="469">
        <f>SUM(AT36:AU36)</f>
        <v/>
      </c>
      <c r="AW36" s="384">
        <f>AV36-AA36+W36+Z36</f>
        <v/>
      </c>
      <c r="AY36" s="470">
        <f>AA36-AV36</f>
        <v/>
      </c>
      <c r="AZ36" s="386">
        <f>AY36-AB36</f>
        <v/>
      </c>
    </row>
    <row r="37">
      <c r="A37" s="456" t="n"/>
      <c r="B37" s="11" t="n">
        <v>29</v>
      </c>
      <c r="C37" s="11" t="n"/>
      <c r="D37" s="11" t="n"/>
      <c r="E37" s="1" t="n"/>
      <c r="F37" s="160" t="n"/>
      <c r="G37" s="160" t="n"/>
      <c r="H37" s="465" t="n"/>
      <c r="I37" s="455" t="n"/>
      <c r="J37" s="455" t="n"/>
      <c r="K37" s="287" t="n"/>
      <c r="L37" s="43" t="n"/>
      <c r="M37" s="43" t="n"/>
      <c r="N37" s="466" t="n"/>
      <c r="O37" s="466" t="n"/>
      <c r="P37" s="466" t="n"/>
      <c r="Q37" s="466" t="n"/>
      <c r="R37" s="466" t="n"/>
      <c r="S37" s="466" t="n"/>
      <c r="T37" s="466" t="n"/>
      <c r="U37" s="466" t="n"/>
      <c r="V37" s="466" t="n"/>
      <c r="W37" s="466" t="n"/>
      <c r="X37" s="466" t="n"/>
      <c r="Y37" s="466" t="n"/>
      <c r="Z37" s="466" t="n"/>
      <c r="AA37" s="466">
        <f>SUM(N37:Z37)</f>
        <v/>
      </c>
      <c r="AB37" s="467">
        <f>T37+W37+Z37</f>
        <v/>
      </c>
      <c r="AC37" s="468">
        <f>AA37-AB37</f>
        <v/>
      </c>
      <c r="AD37" s="468" t="n"/>
      <c r="AE37" s="468">
        <f>AA37-AD37</f>
        <v/>
      </c>
      <c r="AF37" s="144" t="n"/>
      <c r="AG37" s="29" t="n"/>
      <c r="AH37" s="29" t="n"/>
      <c r="AI37" s="287" t="n"/>
      <c r="AJ37" s="43" t="n"/>
      <c r="AK37" s="238" t="n"/>
      <c r="AL37" s="43" t="n"/>
      <c r="AM37" s="43" t="n"/>
      <c r="AN37" s="43" t="n"/>
      <c r="AO37" s="36" t="n"/>
      <c r="AP37" s="32" t="n"/>
      <c r="AQ37" s="381" t="n"/>
      <c r="AR37" s="382" t="n"/>
      <c r="AS37" s="370" t="n"/>
      <c r="AT37" s="469">
        <f>N37+O37+P37+Q37+R37</f>
        <v/>
      </c>
      <c r="AU37" s="469">
        <f>S37+T37+U37+V37+X37+Y37</f>
        <v/>
      </c>
      <c r="AV37" s="469">
        <f>SUM(AT37:AU37)</f>
        <v/>
      </c>
      <c r="AW37" s="384">
        <f>AV37-AA37+W37+Z37</f>
        <v/>
      </c>
      <c r="AY37" s="470">
        <f>AA37-AV37</f>
        <v/>
      </c>
      <c r="AZ37" s="386">
        <f>AY37-AB37</f>
        <v/>
      </c>
    </row>
    <row r="38">
      <c r="A38" s="456" t="n"/>
      <c r="B38" s="11" t="n">
        <v>30</v>
      </c>
      <c r="C38" s="11" t="n"/>
      <c r="D38" s="11" t="n"/>
      <c r="E38" s="1" t="n"/>
      <c r="F38" s="160" t="n"/>
      <c r="G38" s="160" t="n"/>
      <c r="H38" s="465" t="n"/>
      <c r="I38" s="455" t="n"/>
      <c r="J38" s="455" t="n"/>
      <c r="K38" s="287" t="n"/>
      <c r="L38" s="43" t="n"/>
      <c r="M38" s="43" t="n"/>
      <c r="N38" s="466" t="n"/>
      <c r="O38" s="466" t="n"/>
      <c r="P38" s="466" t="n"/>
      <c r="Q38" s="466" t="n"/>
      <c r="R38" s="466" t="n"/>
      <c r="S38" s="466" t="n"/>
      <c r="T38" s="466" t="n"/>
      <c r="U38" s="466" t="n"/>
      <c r="V38" s="466" t="n"/>
      <c r="W38" s="466" t="n"/>
      <c r="X38" s="466" t="n"/>
      <c r="Y38" s="466" t="n"/>
      <c r="Z38" s="466" t="n"/>
      <c r="AA38" s="466">
        <f>SUM(N38:Z38)</f>
        <v/>
      </c>
      <c r="AB38" s="467">
        <f>T38+W38+Z38</f>
        <v/>
      </c>
      <c r="AC38" s="468">
        <f>AA38-AB38</f>
        <v/>
      </c>
      <c r="AD38" s="468" t="n"/>
      <c r="AE38" s="468">
        <f>AA38-AD38</f>
        <v/>
      </c>
      <c r="AF38" s="144" t="n"/>
      <c r="AG38" s="29" t="n"/>
      <c r="AH38" s="29" t="n"/>
      <c r="AI38" s="287" t="n"/>
      <c r="AJ38" s="43" t="n"/>
      <c r="AK38" s="167" t="n"/>
      <c r="AL38" s="43" t="n"/>
      <c r="AM38" s="43" t="n"/>
      <c r="AN38" s="239" t="n"/>
      <c r="AO38" s="36" t="n"/>
      <c r="AP38" s="32" t="n"/>
      <c r="AQ38" s="381" t="n"/>
      <c r="AR38" s="382" t="n"/>
      <c r="AS38" s="370" t="n"/>
      <c r="AT38" s="469">
        <f>N38+O38+P38+Q38+R38</f>
        <v/>
      </c>
      <c r="AU38" s="469">
        <f>S38+T38+U38+V38+X38+Y38</f>
        <v/>
      </c>
      <c r="AV38" s="469">
        <f>SUM(AT38:AU38)</f>
        <v/>
      </c>
      <c r="AW38" s="384">
        <f>AV38-AA38+W38+Z38</f>
        <v/>
      </c>
      <c r="AY38" s="470">
        <f>AA38-AV38</f>
        <v/>
      </c>
      <c r="AZ38" s="386">
        <f>AY38-AB38</f>
        <v/>
      </c>
    </row>
    <row r="39">
      <c r="A39" s="456" t="n"/>
      <c r="B39" s="11" t="n">
        <v>31</v>
      </c>
      <c r="C39" s="11" t="n"/>
      <c r="D39" s="11" t="n"/>
      <c r="E39" s="1" t="n"/>
      <c r="F39" s="160" t="n"/>
      <c r="G39" s="160" t="n"/>
      <c r="H39" s="465" t="n"/>
      <c r="I39" s="455" t="n"/>
      <c r="J39" s="455" t="n"/>
      <c r="K39" s="287" t="n"/>
      <c r="L39" s="43" t="n"/>
      <c r="M39" s="43" t="n"/>
      <c r="N39" s="466" t="n"/>
      <c r="O39" s="466" t="n"/>
      <c r="P39" s="466" t="n"/>
      <c r="Q39" s="466" t="n"/>
      <c r="R39" s="466" t="n"/>
      <c r="S39" s="466" t="n"/>
      <c r="T39" s="466" t="n"/>
      <c r="U39" s="466" t="n"/>
      <c r="V39" s="466" t="n"/>
      <c r="W39" s="466" t="n"/>
      <c r="X39" s="466" t="n"/>
      <c r="Y39" s="466" t="n"/>
      <c r="Z39" s="466" t="n"/>
      <c r="AA39" s="466">
        <f>SUM(N39:Z39)</f>
        <v/>
      </c>
      <c r="AB39" s="467">
        <f>T39+W39+Z39</f>
        <v/>
      </c>
      <c r="AC39" s="468">
        <f>AA39-AB39</f>
        <v/>
      </c>
      <c r="AD39" s="468" t="n"/>
      <c r="AE39" s="468">
        <f>AA39-AD39</f>
        <v/>
      </c>
      <c r="AF39" s="144" t="n"/>
      <c r="AG39" s="29" t="n"/>
      <c r="AH39" s="29" t="n"/>
      <c r="AI39" s="287" t="n"/>
      <c r="AJ39" s="43" t="n"/>
      <c r="AK39" s="167" t="n"/>
      <c r="AL39" s="43" t="n"/>
      <c r="AM39" s="43" t="n"/>
      <c r="AN39" s="239" t="n"/>
      <c r="AO39" s="36" t="n"/>
      <c r="AP39" s="32" t="n"/>
      <c r="AQ39" s="381" t="n"/>
      <c r="AR39" s="382" t="n"/>
      <c r="AS39" s="370" t="n"/>
      <c r="AT39" s="469">
        <f>N39+O39+P39+Q39+R39</f>
        <v/>
      </c>
      <c r="AU39" s="469">
        <f>S39+T39+U39+V39+X39+Y39</f>
        <v/>
      </c>
      <c r="AV39" s="469">
        <f>SUM(AT39:AU39)</f>
        <v/>
      </c>
      <c r="AW39" s="384">
        <f>AV39-AA39+W39+Z39</f>
        <v/>
      </c>
      <c r="AY39" s="470">
        <f>AA39-AV39</f>
        <v/>
      </c>
      <c r="AZ39" s="386">
        <f>AY39-AB39</f>
        <v/>
      </c>
    </row>
    <row r="40">
      <c r="A40" s="456" t="n"/>
      <c r="B40" s="11" t="n">
        <v>32</v>
      </c>
      <c r="C40" s="11" t="n"/>
      <c r="D40" s="11" t="n"/>
      <c r="E40" s="1" t="n"/>
      <c r="F40" s="160" t="n"/>
      <c r="G40" s="160" t="n"/>
      <c r="H40" s="465" t="n"/>
      <c r="I40" s="455" t="n"/>
      <c r="J40" s="455" t="n"/>
      <c r="K40" s="287" t="n"/>
      <c r="L40" s="43" t="n"/>
      <c r="M40" s="43" t="n"/>
      <c r="N40" s="466" t="n"/>
      <c r="O40" s="466" t="n"/>
      <c r="P40" s="466" t="n"/>
      <c r="Q40" s="466" t="n"/>
      <c r="R40" s="466" t="n"/>
      <c r="S40" s="466" t="n"/>
      <c r="T40" s="466" t="n"/>
      <c r="U40" s="466" t="n"/>
      <c r="V40" s="466" t="n"/>
      <c r="W40" s="466" t="n"/>
      <c r="X40" s="466" t="n"/>
      <c r="Y40" s="466" t="n"/>
      <c r="Z40" s="466" t="n"/>
      <c r="AA40" s="466">
        <f>SUM(N40:Z40)</f>
        <v/>
      </c>
      <c r="AB40" s="467">
        <f>T40+W40+Z40</f>
        <v/>
      </c>
      <c r="AC40" s="468">
        <f>AA40-AB40</f>
        <v/>
      </c>
      <c r="AD40" s="468" t="n"/>
      <c r="AE40" s="468">
        <f>AA40-AD40</f>
        <v/>
      </c>
      <c r="AF40" s="144" t="n"/>
      <c r="AG40" s="29" t="n"/>
      <c r="AH40" s="29" t="n"/>
      <c r="AI40" s="287" t="n"/>
      <c r="AJ40" s="43" t="n"/>
      <c r="AK40" s="167" t="n"/>
      <c r="AL40" s="43" t="n"/>
      <c r="AM40" s="43" t="n"/>
      <c r="AN40" s="239" t="n"/>
      <c r="AO40" s="36" t="n"/>
      <c r="AP40" s="32" t="n"/>
      <c r="AQ40" s="381" t="n"/>
      <c r="AR40" s="382" t="n"/>
      <c r="AS40" s="370" t="n"/>
      <c r="AT40" s="469">
        <f>N40+O40+P40+Q40+R40</f>
        <v/>
      </c>
      <c r="AU40" s="469">
        <f>S40+T40+U40+V40+X40+Y40</f>
        <v/>
      </c>
      <c r="AV40" s="469">
        <f>SUM(AT40:AU40)</f>
        <v/>
      </c>
      <c r="AW40" s="384">
        <f>AV40-AA40+W40+Z40</f>
        <v/>
      </c>
      <c r="AY40" s="470">
        <f>AA40-AV40</f>
        <v/>
      </c>
      <c r="AZ40" s="386">
        <f>AY40-AB40</f>
        <v/>
      </c>
    </row>
    <row r="41">
      <c r="A41" s="456" t="n"/>
      <c r="B41" s="11" t="n">
        <v>33</v>
      </c>
      <c r="C41" s="11" t="n"/>
      <c r="D41" s="11" t="n"/>
      <c r="E41" s="1" t="n"/>
      <c r="F41" s="160" t="n"/>
      <c r="G41" s="160" t="n"/>
      <c r="H41" s="465" t="n"/>
      <c r="I41" s="455" t="n"/>
      <c r="J41" s="455" t="n"/>
      <c r="K41" s="287" t="n"/>
      <c r="L41" s="43" t="n"/>
      <c r="M41" s="43" t="n"/>
      <c r="N41" s="466" t="n"/>
      <c r="O41" s="466" t="n"/>
      <c r="P41" s="466" t="n"/>
      <c r="Q41" s="466" t="n"/>
      <c r="R41" s="466" t="n"/>
      <c r="S41" s="466" t="n"/>
      <c r="T41" s="466" t="n"/>
      <c r="U41" s="466" t="n"/>
      <c r="V41" s="466" t="n"/>
      <c r="W41" s="466" t="n"/>
      <c r="X41" s="466" t="n"/>
      <c r="Y41" s="466" t="n"/>
      <c r="Z41" s="466" t="n"/>
      <c r="AA41" s="466">
        <f>SUM(N41:Z41)</f>
        <v/>
      </c>
      <c r="AB41" s="467">
        <f>T41+W41+Z41</f>
        <v/>
      </c>
      <c r="AC41" s="468">
        <f>AA41-AB41</f>
        <v/>
      </c>
      <c r="AD41" s="468" t="n"/>
      <c r="AE41" s="468">
        <f>AA41-AD41</f>
        <v/>
      </c>
      <c r="AF41" s="144" t="n"/>
      <c r="AG41" s="29" t="n"/>
      <c r="AH41" s="29" t="n"/>
      <c r="AI41" s="287" t="n"/>
      <c r="AJ41" s="43" t="n"/>
      <c r="AK41" s="167" t="n"/>
      <c r="AL41" s="43" t="n"/>
      <c r="AM41" s="43" t="n"/>
      <c r="AN41" s="239" t="n"/>
      <c r="AO41" s="36" t="n"/>
      <c r="AP41" s="32" t="n"/>
      <c r="AQ41" s="381" t="n"/>
      <c r="AR41" s="382" t="n"/>
      <c r="AT41" s="469">
        <f>N41+O41+P41+Q41+R41</f>
        <v/>
      </c>
      <c r="AU41" s="469">
        <f>S41+T41+U41+V41+X41+Y41</f>
        <v/>
      </c>
      <c r="AV41" s="469">
        <f>SUM(AT41:AU41)</f>
        <v/>
      </c>
      <c r="AW41" s="384">
        <f>AV41-AA41+W41+Z41</f>
        <v/>
      </c>
      <c r="AY41" s="470">
        <f>AA41-AV41</f>
        <v/>
      </c>
      <c r="AZ41" s="386">
        <f>AY41-AB41</f>
        <v/>
      </c>
    </row>
    <row r="42">
      <c r="A42" s="456" t="n"/>
      <c r="B42" s="11" t="n">
        <v>34</v>
      </c>
      <c r="C42" s="11" t="n"/>
      <c r="D42" s="11" t="n"/>
      <c r="E42" s="1" t="n"/>
      <c r="F42" s="160" t="n"/>
      <c r="G42" s="160" t="n"/>
      <c r="H42" s="465" t="n"/>
      <c r="I42" s="455" t="n"/>
      <c r="J42" s="455" t="n"/>
      <c r="K42" s="287" t="n"/>
      <c r="L42" s="43" t="n"/>
      <c r="M42" s="43" t="n"/>
      <c r="N42" s="466" t="n"/>
      <c r="O42" s="466" t="n"/>
      <c r="P42" s="466" t="n"/>
      <c r="Q42" s="466" t="n"/>
      <c r="R42" s="466" t="n"/>
      <c r="S42" s="466" t="n"/>
      <c r="T42" s="466" t="n"/>
      <c r="U42" s="466" t="n"/>
      <c r="V42" s="466" t="n"/>
      <c r="W42" s="466" t="n"/>
      <c r="X42" s="466" t="n"/>
      <c r="Y42" s="466" t="n"/>
      <c r="Z42" s="466" t="n"/>
      <c r="AA42" s="466">
        <f>SUM(N42:Z42)</f>
        <v/>
      </c>
      <c r="AB42" s="467">
        <f>T42+W42+Z42</f>
        <v/>
      </c>
      <c r="AC42" s="468">
        <f>AA42-AB42</f>
        <v/>
      </c>
      <c r="AD42" s="468" t="n"/>
      <c r="AE42" s="468">
        <f>AA42-AD42</f>
        <v/>
      </c>
      <c r="AF42" s="144" t="n"/>
      <c r="AG42" s="29" t="n"/>
      <c r="AH42" s="29" t="n"/>
      <c r="AI42" s="287" t="n"/>
      <c r="AJ42" s="43" t="n"/>
      <c r="AK42" s="167" t="n"/>
      <c r="AL42" s="43" t="n"/>
      <c r="AM42" s="43" t="n"/>
      <c r="AN42" s="239" t="n"/>
      <c r="AO42" s="36" t="n"/>
      <c r="AP42" s="32" t="n"/>
      <c r="AQ42" s="381" t="n"/>
      <c r="AR42" s="382" t="n"/>
      <c r="AS42" s="370" t="n"/>
      <c r="AT42" s="469">
        <f>N42+O42+P42+Q42+R42</f>
        <v/>
      </c>
      <c r="AU42" s="469">
        <f>S42+T42+U42+V42+X42+Y42</f>
        <v/>
      </c>
      <c r="AV42" s="469">
        <f>SUM(AT42:AU42)</f>
        <v/>
      </c>
      <c r="AW42" s="384">
        <f>AV42-AA42+W42+Z42</f>
        <v/>
      </c>
      <c r="AY42" s="470">
        <f>AA42-AV42</f>
        <v/>
      </c>
      <c r="AZ42" s="386">
        <f>AY42-AB42</f>
        <v/>
      </c>
    </row>
    <row r="43">
      <c r="A43" s="456" t="n"/>
      <c r="B43" s="11" t="n">
        <v>35</v>
      </c>
      <c r="C43" s="11" t="n"/>
      <c r="D43" s="11" t="n"/>
      <c r="E43" s="1" t="n"/>
      <c r="F43" s="160" t="n"/>
      <c r="G43" s="160" t="n"/>
      <c r="H43" s="465" t="n"/>
      <c r="I43" s="455" t="n"/>
      <c r="J43" s="455" t="n"/>
      <c r="K43" s="287" t="n"/>
      <c r="L43" s="43" t="n"/>
      <c r="M43" s="43" t="n"/>
      <c r="N43" s="466" t="n"/>
      <c r="O43" s="466" t="n"/>
      <c r="P43" s="466" t="n"/>
      <c r="Q43" s="466" t="n"/>
      <c r="R43" s="466" t="n"/>
      <c r="S43" s="466" t="n"/>
      <c r="T43" s="466" t="n"/>
      <c r="U43" s="466" t="n"/>
      <c r="V43" s="466" t="n"/>
      <c r="W43" s="466" t="n"/>
      <c r="X43" s="466" t="n"/>
      <c r="Y43" s="466" t="n"/>
      <c r="Z43" s="466" t="n"/>
      <c r="AA43" s="466">
        <f>SUM(N43:Z43)</f>
        <v/>
      </c>
      <c r="AB43" s="467">
        <f>T43+W43+Z43</f>
        <v/>
      </c>
      <c r="AC43" s="468">
        <f>AA43-AB43</f>
        <v/>
      </c>
      <c r="AD43" s="468" t="n"/>
      <c r="AE43" s="468">
        <f>AA43-AD43</f>
        <v/>
      </c>
      <c r="AF43" s="144" t="n"/>
      <c r="AG43" s="29" t="n"/>
      <c r="AH43" s="29" t="n"/>
      <c r="AI43" s="287" t="n"/>
      <c r="AJ43" s="43" t="n"/>
      <c r="AK43" s="167" t="n"/>
      <c r="AL43" s="43" t="n"/>
      <c r="AM43" s="43" t="n"/>
      <c r="AN43" s="43" t="n"/>
      <c r="AO43" s="36" t="n"/>
      <c r="AP43" s="32" t="n"/>
      <c r="AQ43" s="381" t="n"/>
      <c r="AR43" s="382" t="n"/>
      <c r="AS43" s="370" t="n"/>
      <c r="AT43" s="469">
        <f>N43+O43+P43+Q43+R43</f>
        <v/>
      </c>
      <c r="AU43" s="469">
        <f>S43+T43+U43+V43+X43+Y43</f>
        <v/>
      </c>
      <c r="AV43" s="469">
        <f>SUM(AT43:AU43)</f>
        <v/>
      </c>
      <c r="AW43" s="384">
        <f>AV43-AA43+W43+Z43</f>
        <v/>
      </c>
      <c r="AY43" s="470">
        <f>AA43-AV43</f>
        <v/>
      </c>
      <c r="AZ43" s="386">
        <f>AY43-AB43</f>
        <v/>
      </c>
    </row>
    <row r="44">
      <c r="A44" s="456" t="n"/>
      <c r="B44" s="11" t="n">
        <v>36</v>
      </c>
      <c r="C44" s="11" t="n"/>
      <c r="D44" s="11" t="n"/>
      <c r="E44" s="1" t="n"/>
      <c r="F44" s="160" t="n"/>
      <c r="G44" s="160" t="n"/>
      <c r="H44" s="465" t="n"/>
      <c r="I44" s="455" t="n"/>
      <c r="J44" s="455" t="n"/>
      <c r="K44" s="287" t="n"/>
      <c r="L44" s="43" t="n"/>
      <c r="M44" s="43" t="n"/>
      <c r="N44" s="466" t="n"/>
      <c r="O44" s="466" t="n"/>
      <c r="P44" s="466" t="n"/>
      <c r="Q44" s="466" t="n"/>
      <c r="R44" s="466" t="n"/>
      <c r="S44" s="466" t="n"/>
      <c r="T44" s="466" t="n"/>
      <c r="U44" s="466" t="n"/>
      <c r="V44" s="466" t="n"/>
      <c r="W44" s="466" t="n"/>
      <c r="X44" s="466" t="n"/>
      <c r="Y44" s="466" t="n"/>
      <c r="Z44" s="466" t="n"/>
      <c r="AA44" s="466">
        <f>SUM(N44:Z44)</f>
        <v/>
      </c>
      <c r="AB44" s="467">
        <f>T44+W44+Z44</f>
        <v/>
      </c>
      <c r="AC44" s="468">
        <f>AA44-AB44</f>
        <v/>
      </c>
      <c r="AD44" s="468" t="n"/>
      <c r="AE44" s="468">
        <f>AA44-AD44</f>
        <v/>
      </c>
      <c r="AF44" s="144" t="n"/>
      <c r="AG44" s="29" t="n"/>
      <c r="AH44" s="29" t="n"/>
      <c r="AI44" s="287" t="n"/>
      <c r="AJ44" s="43" t="n"/>
      <c r="AK44" s="167" t="n"/>
      <c r="AL44" s="43" t="n"/>
      <c r="AM44" s="43" t="n"/>
      <c r="AN44" s="239" t="n"/>
      <c r="AO44" s="36" t="n"/>
      <c r="AP44" s="32" t="n"/>
      <c r="AQ44" s="381" t="n"/>
      <c r="AR44" s="382" t="n"/>
      <c r="AS44" s="370" t="n"/>
      <c r="AT44" s="469">
        <f>N44+O44+P44+Q44+R44</f>
        <v/>
      </c>
      <c r="AU44" s="469">
        <f>S44+T44+U44+V44+X44+Y44</f>
        <v/>
      </c>
      <c r="AV44" s="469">
        <f>SUM(AT44:AU44)</f>
        <v/>
      </c>
      <c r="AW44" s="384">
        <f>AV44-AA44+W44+Z44</f>
        <v/>
      </c>
      <c r="AY44" s="470">
        <f>AA44-AV44</f>
        <v/>
      </c>
      <c r="AZ44" s="386">
        <f>AY44-AB44</f>
        <v/>
      </c>
    </row>
    <row r="45">
      <c r="A45" s="456" t="n"/>
      <c r="B45" s="11" t="n">
        <v>37</v>
      </c>
      <c r="C45" s="11" t="n"/>
      <c r="D45" s="11" t="n"/>
      <c r="E45" s="1" t="n"/>
      <c r="F45" s="160" t="n"/>
      <c r="G45" s="160" t="n"/>
      <c r="H45" s="465" t="n"/>
      <c r="I45" s="455" t="n"/>
      <c r="J45" s="455" t="n"/>
      <c r="K45" s="287" t="n"/>
      <c r="L45" s="43" t="n"/>
      <c r="M45" s="43" t="n"/>
      <c r="N45" s="466" t="n"/>
      <c r="O45" s="466" t="n"/>
      <c r="P45" s="466" t="n"/>
      <c r="Q45" s="466" t="n"/>
      <c r="R45" s="466" t="n"/>
      <c r="S45" s="466" t="n"/>
      <c r="T45" s="466" t="n"/>
      <c r="U45" s="466" t="n"/>
      <c r="V45" s="466" t="n"/>
      <c r="W45" s="466" t="n"/>
      <c r="X45" s="466" t="n"/>
      <c r="Y45" s="466" t="n"/>
      <c r="Z45" s="466" t="n"/>
      <c r="AA45" s="466">
        <f>SUM(N45:Z45)</f>
        <v/>
      </c>
      <c r="AB45" s="467">
        <f>T45+W45+Z45</f>
        <v/>
      </c>
      <c r="AC45" s="468">
        <f>AA45-AB45</f>
        <v/>
      </c>
      <c r="AD45" s="468" t="n"/>
      <c r="AE45" s="468">
        <f>AA45-AD45</f>
        <v/>
      </c>
      <c r="AF45" s="144" t="n"/>
      <c r="AG45" s="29" t="n"/>
      <c r="AH45" s="29" t="n"/>
      <c r="AI45" s="287" t="n"/>
      <c r="AJ45" s="43" t="n"/>
      <c r="AK45" s="167" t="n"/>
      <c r="AL45" s="43" t="n"/>
      <c r="AM45" s="43" t="n"/>
      <c r="AN45" s="239" t="n"/>
      <c r="AO45" s="36" t="n"/>
      <c r="AP45" s="32" t="n"/>
      <c r="AQ45" s="381" t="n"/>
      <c r="AR45" s="382" t="n"/>
      <c r="AT45" s="469">
        <f>N45+O45+P45+Q45+R45</f>
        <v/>
      </c>
      <c r="AU45" s="469">
        <f>S45+T45+U45+V45+X45+Y45</f>
        <v/>
      </c>
      <c r="AV45" s="469">
        <f>SUM(AT45:AU45)</f>
        <v/>
      </c>
      <c r="AW45" s="384">
        <f>AV45-AA45+W45+Z45</f>
        <v/>
      </c>
      <c r="AY45" s="470">
        <f>AA45-AV45</f>
        <v/>
      </c>
      <c r="AZ45" s="386">
        <f>AY45-AB45</f>
        <v/>
      </c>
    </row>
    <row r="46">
      <c r="B46" s="11" t="n">
        <v>38</v>
      </c>
      <c r="C46" s="11" t="n"/>
      <c r="D46" s="11" t="n"/>
      <c r="E46" s="1" t="n"/>
      <c r="F46" s="160" t="n"/>
      <c r="G46" s="160" t="n"/>
      <c r="H46" s="465" t="n"/>
      <c r="I46" s="455" t="n"/>
      <c r="J46" s="455" t="n"/>
      <c r="K46" s="287" t="n"/>
      <c r="L46" s="43" t="n"/>
      <c r="M46" s="43" t="n"/>
      <c r="N46" s="466" t="n"/>
      <c r="O46" s="466" t="n"/>
      <c r="P46" s="466" t="n"/>
      <c r="Q46" s="466" t="n"/>
      <c r="R46" s="466" t="n"/>
      <c r="S46" s="466" t="n"/>
      <c r="T46" s="466" t="n"/>
      <c r="U46" s="466" t="n"/>
      <c r="V46" s="466" t="n"/>
      <c r="W46" s="466" t="n"/>
      <c r="X46" s="466" t="n"/>
      <c r="Y46" s="466" t="n"/>
      <c r="Z46" s="466" t="n"/>
      <c r="AA46" s="466">
        <f>SUM(N46:Z46)</f>
        <v/>
      </c>
      <c r="AB46" s="467">
        <f>T46+W46+Z46</f>
        <v/>
      </c>
      <c r="AC46" s="468">
        <f>AA46-AB46</f>
        <v/>
      </c>
      <c r="AD46" s="468" t="n"/>
      <c r="AE46" s="468">
        <f>AA46-AD46</f>
        <v/>
      </c>
      <c r="AF46" s="144" t="n"/>
      <c r="AG46" s="29" t="n"/>
      <c r="AH46" s="29" t="n"/>
      <c r="AI46" s="287" t="n"/>
      <c r="AJ46" s="43" t="n"/>
      <c r="AK46" s="167" t="n"/>
      <c r="AL46" s="43" t="n"/>
      <c r="AM46" s="43" t="n"/>
      <c r="AN46" s="239" t="n"/>
      <c r="AO46" s="36" t="n"/>
      <c r="AP46" s="32" t="n"/>
      <c r="AQ46" s="381" t="n"/>
      <c r="AR46" s="382" t="n"/>
      <c r="AT46" s="469">
        <f>N46+O46+P46+Q46+R46</f>
        <v/>
      </c>
      <c r="AU46" s="469">
        <f>S46+T46+U46+V46+X46+Y46</f>
        <v/>
      </c>
      <c r="AV46" s="469">
        <f>SUM(AT46:AU46)</f>
        <v/>
      </c>
      <c r="AW46" s="384">
        <f>AV46-AA46+W46+Z46</f>
        <v/>
      </c>
      <c r="AY46" s="470">
        <f>AA46-AV46</f>
        <v/>
      </c>
      <c r="AZ46" s="386">
        <f>AY46-AB46</f>
        <v/>
      </c>
    </row>
    <row r="47">
      <c r="B47" s="11" t="n">
        <v>39</v>
      </c>
      <c r="C47" s="11" t="n"/>
      <c r="D47" s="11" t="n"/>
      <c r="E47" s="1" t="n"/>
      <c r="F47" s="160" t="n"/>
      <c r="G47" s="160" t="n"/>
      <c r="H47" s="465" t="n"/>
      <c r="I47" s="455" t="n"/>
      <c r="J47" s="455" t="n"/>
      <c r="K47" s="287" t="n"/>
      <c r="L47" s="43" t="n"/>
      <c r="M47" s="43" t="n"/>
      <c r="N47" s="466" t="n"/>
      <c r="O47" s="466" t="n"/>
      <c r="P47" s="466" t="n"/>
      <c r="Q47" s="466" t="n"/>
      <c r="R47" s="466" t="n"/>
      <c r="S47" s="466" t="n"/>
      <c r="T47" s="466" t="n"/>
      <c r="U47" s="466" t="n"/>
      <c r="V47" s="466" t="n"/>
      <c r="W47" s="466" t="n"/>
      <c r="X47" s="466" t="n"/>
      <c r="Y47" s="466" t="n"/>
      <c r="Z47" s="466" t="n"/>
      <c r="AA47" s="466">
        <f>SUM(N47:Z47)</f>
        <v/>
      </c>
      <c r="AB47" s="467">
        <f>T47+W47+Z47</f>
        <v/>
      </c>
      <c r="AC47" s="468">
        <f>AA47-AB47</f>
        <v/>
      </c>
      <c r="AD47" s="468" t="n"/>
      <c r="AE47" s="468">
        <f>AA47-AD47</f>
        <v/>
      </c>
      <c r="AF47" s="144" t="n"/>
      <c r="AG47" s="29" t="n"/>
      <c r="AH47" s="29" t="n"/>
      <c r="AI47" s="287" t="n"/>
      <c r="AJ47" s="43" t="n"/>
      <c r="AK47" s="167" t="n"/>
      <c r="AL47" s="43" t="n"/>
      <c r="AM47" s="43" t="n"/>
      <c r="AN47" s="239" t="n"/>
      <c r="AO47" s="36" t="n"/>
      <c r="AP47" s="32" t="n"/>
      <c r="AQ47" s="381" t="n"/>
      <c r="AR47" s="382" t="n"/>
      <c r="AT47" s="469">
        <f>N47+O47+P47+Q47+R47</f>
        <v/>
      </c>
      <c r="AU47" s="469">
        <f>S47+T47+U47+V47+X47+Y47</f>
        <v/>
      </c>
      <c r="AV47" s="469">
        <f>SUM(AT47:AU47)</f>
        <v/>
      </c>
      <c r="AW47" s="384">
        <f>AV47-AA47+W47+Z47</f>
        <v/>
      </c>
      <c r="AY47" s="470">
        <f>AA47-AV47</f>
        <v/>
      </c>
      <c r="AZ47" s="386">
        <f>AY47-AB47</f>
        <v/>
      </c>
    </row>
    <row r="48">
      <c r="A48" s="456" t="n"/>
      <c r="B48" s="11" t="n">
        <v>40</v>
      </c>
      <c r="C48" s="11" t="n"/>
      <c r="D48" s="11" t="n"/>
      <c r="E48" s="1" t="n"/>
      <c r="F48" s="160" t="n"/>
      <c r="G48" s="160" t="n"/>
      <c r="H48" s="465" t="n"/>
      <c r="I48" s="455" t="n"/>
      <c r="J48" s="455" t="n"/>
      <c r="K48" s="287" t="n"/>
      <c r="L48" s="43" t="n"/>
      <c r="M48" s="43" t="n"/>
      <c r="N48" s="466" t="n"/>
      <c r="O48" s="466" t="n"/>
      <c r="P48" s="466" t="n"/>
      <c r="Q48" s="466" t="n"/>
      <c r="R48" s="466" t="n"/>
      <c r="S48" s="466" t="n"/>
      <c r="T48" s="466" t="n"/>
      <c r="U48" s="466" t="n"/>
      <c r="V48" s="466" t="n"/>
      <c r="W48" s="466" t="n"/>
      <c r="X48" s="466" t="n"/>
      <c r="Y48" s="466" t="n"/>
      <c r="Z48" s="466" t="n"/>
      <c r="AA48" s="466">
        <f>SUM(N48:Z48)</f>
        <v/>
      </c>
      <c r="AB48" s="467">
        <f>T48+W48+Z48</f>
        <v/>
      </c>
      <c r="AC48" s="468">
        <f>AA48-AB48</f>
        <v/>
      </c>
      <c r="AD48" s="468" t="n"/>
      <c r="AE48" s="468">
        <f>AA48-AD48</f>
        <v/>
      </c>
      <c r="AF48" s="144" t="n"/>
      <c r="AG48" s="29" t="n"/>
      <c r="AH48" s="29" t="n"/>
      <c r="AI48" s="287" t="n"/>
      <c r="AJ48" s="43" t="n"/>
      <c r="AK48" s="167" t="n"/>
      <c r="AL48" s="43" t="n"/>
      <c r="AM48" s="43" t="n"/>
      <c r="AN48" s="239" t="n"/>
      <c r="AO48" s="36" t="n"/>
      <c r="AP48" s="32" t="n"/>
      <c r="AQ48" s="381" t="n"/>
      <c r="AR48" s="382" t="n"/>
      <c r="AS48" s="370" t="n"/>
      <c r="AT48" s="469">
        <f>N48+O48+P48+Q48+R48</f>
        <v/>
      </c>
      <c r="AU48" s="469">
        <f>S48+T48+U48+V48+X48+Y48</f>
        <v/>
      </c>
      <c r="AV48" s="469">
        <f>SUM(AT48:AU48)</f>
        <v/>
      </c>
      <c r="AW48" s="384">
        <f>AV48-AA48+W48+Z48</f>
        <v/>
      </c>
      <c r="AY48" s="470">
        <f>AA48-AV48</f>
        <v/>
      </c>
      <c r="AZ48" s="386">
        <f>AY48-AB48</f>
        <v/>
      </c>
    </row>
    <row r="49">
      <c r="A49" s="456" t="n"/>
      <c r="B49" s="11" t="n">
        <v>41</v>
      </c>
      <c r="C49" s="11" t="n"/>
      <c r="D49" s="11" t="n"/>
      <c r="E49" s="1" t="n"/>
      <c r="F49" s="160" t="n"/>
      <c r="G49" s="160" t="n"/>
      <c r="H49" s="465" t="n"/>
      <c r="I49" s="455" t="n"/>
      <c r="J49" s="455" t="n"/>
      <c r="K49" s="287" t="n"/>
      <c r="L49" s="43" t="n"/>
      <c r="M49" s="43" t="n"/>
      <c r="N49" s="466" t="n"/>
      <c r="O49" s="466" t="n"/>
      <c r="P49" s="466" t="n"/>
      <c r="Q49" s="466" t="n"/>
      <c r="R49" s="466" t="n"/>
      <c r="S49" s="466" t="n"/>
      <c r="T49" s="466" t="n"/>
      <c r="U49" s="466" t="n"/>
      <c r="V49" s="466" t="n"/>
      <c r="W49" s="466" t="n"/>
      <c r="X49" s="466" t="n"/>
      <c r="Y49" s="466" t="n"/>
      <c r="Z49" s="466" t="n"/>
      <c r="AA49" s="466">
        <f>SUM(N49:Z49)</f>
        <v/>
      </c>
      <c r="AB49" s="467">
        <f>T49+W49+Z49</f>
        <v/>
      </c>
      <c r="AC49" s="468">
        <f>AA49-AB49</f>
        <v/>
      </c>
      <c r="AD49" s="468" t="n"/>
      <c r="AE49" s="468">
        <f>AA49-AD49</f>
        <v/>
      </c>
      <c r="AF49" s="144" t="n"/>
      <c r="AG49" s="29" t="n"/>
      <c r="AH49" s="29" t="n"/>
      <c r="AI49" s="287" t="n"/>
      <c r="AJ49" s="43" t="n"/>
      <c r="AK49" s="167" t="n"/>
      <c r="AL49" s="43" t="n"/>
      <c r="AM49" s="43" t="n"/>
      <c r="AN49" s="239" t="n"/>
      <c r="AO49" s="36" t="n"/>
      <c r="AP49" s="32" t="n"/>
      <c r="AQ49" s="381" t="n"/>
      <c r="AR49" s="382" t="n"/>
      <c r="AS49" s="370" t="n"/>
      <c r="AT49" s="469">
        <f>N49+O49+P49+Q49+R49</f>
        <v/>
      </c>
      <c r="AU49" s="469">
        <f>S49+T49+U49+V49+X49+Y49</f>
        <v/>
      </c>
      <c r="AV49" s="469">
        <f>SUM(AT49:AU49)</f>
        <v/>
      </c>
      <c r="AW49" s="384">
        <f>AV49-AA49+W49+Z49</f>
        <v/>
      </c>
      <c r="AY49" s="470">
        <f>AA49-AV49</f>
        <v/>
      </c>
      <c r="AZ49" s="386">
        <f>AY49-AB49</f>
        <v/>
      </c>
    </row>
    <row r="50">
      <c r="A50" s="456" t="n"/>
      <c r="B50" s="11" t="n">
        <v>42</v>
      </c>
      <c r="C50" s="11" t="n"/>
      <c r="D50" s="11" t="n"/>
      <c r="E50" s="1" t="n"/>
      <c r="F50" s="160" t="n"/>
      <c r="G50" s="160" t="n"/>
      <c r="H50" s="465" t="n"/>
      <c r="I50" s="455" t="n"/>
      <c r="J50" s="455" t="n"/>
      <c r="K50" s="287" t="n"/>
      <c r="L50" s="43" t="n"/>
      <c r="M50" s="43" t="n"/>
      <c r="N50" s="466" t="n"/>
      <c r="O50" s="466" t="n"/>
      <c r="P50" s="466" t="n"/>
      <c r="Q50" s="466" t="n"/>
      <c r="R50" s="466" t="n"/>
      <c r="S50" s="466" t="n"/>
      <c r="T50" s="466" t="n"/>
      <c r="U50" s="466" t="n"/>
      <c r="V50" s="466" t="n"/>
      <c r="W50" s="466" t="n"/>
      <c r="X50" s="466" t="n"/>
      <c r="Y50" s="466" t="n"/>
      <c r="Z50" s="466" t="n"/>
      <c r="AA50" s="466">
        <f>SUM(N50:Z50)</f>
        <v/>
      </c>
      <c r="AB50" s="467">
        <f>T50+W50+Z50</f>
        <v/>
      </c>
      <c r="AC50" s="468">
        <f>AA50-AB50</f>
        <v/>
      </c>
      <c r="AD50" s="468" t="n"/>
      <c r="AE50" s="468">
        <f>AA50-AD50</f>
        <v/>
      </c>
      <c r="AF50" s="144" t="n"/>
      <c r="AG50" s="29" t="n"/>
      <c r="AH50" s="29" t="n"/>
      <c r="AI50" s="287" t="n"/>
      <c r="AJ50" s="43" t="n"/>
      <c r="AK50" s="167" t="n"/>
      <c r="AL50" s="43" t="n"/>
      <c r="AM50" s="43" t="n"/>
      <c r="AN50" s="239" t="n"/>
      <c r="AO50" s="36" t="n"/>
      <c r="AP50" s="32" t="n"/>
      <c r="AQ50" s="381" t="n"/>
      <c r="AR50" s="382" t="n"/>
      <c r="AS50" s="370" t="n"/>
      <c r="AT50" s="469">
        <f>N50+O50+P50+Q50+R50</f>
        <v/>
      </c>
      <c r="AU50" s="469">
        <f>S50+T50+U50+V50+X50+Y50</f>
        <v/>
      </c>
      <c r="AV50" s="469">
        <f>SUM(AT50:AU50)</f>
        <v/>
      </c>
      <c r="AW50" s="384">
        <f>AV50-AA50+W50+Z50</f>
        <v/>
      </c>
      <c r="AY50" s="470">
        <f>AA50-AV50</f>
        <v/>
      </c>
      <c r="AZ50" s="386">
        <f>AY50-AB50</f>
        <v/>
      </c>
    </row>
    <row r="51">
      <c r="A51" s="456" t="n"/>
      <c r="B51" s="11" t="n">
        <v>43</v>
      </c>
      <c r="C51" s="11" t="n"/>
      <c r="D51" s="11" t="n"/>
      <c r="E51" s="1" t="n"/>
      <c r="F51" s="160" t="n"/>
      <c r="G51" s="160" t="n"/>
      <c r="H51" s="465" t="n"/>
      <c r="I51" s="455" t="n"/>
      <c r="J51" s="455" t="n"/>
      <c r="K51" s="287" t="n"/>
      <c r="L51" s="43" t="n"/>
      <c r="M51" s="43" t="n"/>
      <c r="N51" s="466" t="n"/>
      <c r="O51" s="466" t="n"/>
      <c r="P51" s="466" t="n"/>
      <c r="Q51" s="466" t="n"/>
      <c r="R51" s="466" t="n"/>
      <c r="S51" s="466" t="n"/>
      <c r="T51" s="466" t="n"/>
      <c r="U51" s="466" t="n"/>
      <c r="V51" s="466" t="n"/>
      <c r="W51" s="466" t="n"/>
      <c r="X51" s="466" t="n"/>
      <c r="Y51" s="466" t="n"/>
      <c r="Z51" s="466" t="n"/>
      <c r="AA51" s="466">
        <f>SUM(N51:Z51)</f>
        <v/>
      </c>
      <c r="AB51" s="467">
        <f>T51+W51+Z51</f>
        <v/>
      </c>
      <c r="AC51" s="468">
        <f>AA51-AB51</f>
        <v/>
      </c>
      <c r="AD51" s="468" t="n"/>
      <c r="AE51" s="468">
        <f>AA51-AD51</f>
        <v/>
      </c>
      <c r="AF51" s="144" t="n"/>
      <c r="AG51" s="29" t="n"/>
      <c r="AH51" s="29" t="n"/>
      <c r="AI51" s="287" t="n"/>
      <c r="AJ51" s="43" t="n"/>
      <c r="AK51" s="167" t="n"/>
      <c r="AL51" s="43" t="n"/>
      <c r="AM51" s="43" t="n"/>
      <c r="AN51" s="239" t="n"/>
      <c r="AO51" s="36" t="n"/>
      <c r="AP51" s="32" t="n"/>
      <c r="AQ51" s="381" t="n"/>
      <c r="AR51" s="382" t="n"/>
      <c r="AS51" s="370" t="n"/>
      <c r="AT51" s="469">
        <f>N51+O51+P51+Q51+R51</f>
        <v/>
      </c>
      <c r="AU51" s="469">
        <f>S51+T51+U51+V51+X51+Y51</f>
        <v/>
      </c>
      <c r="AV51" s="469">
        <f>SUM(AT51:AU51)</f>
        <v/>
      </c>
      <c r="AW51" s="384">
        <f>AV51-AA51+W51+Z51</f>
        <v/>
      </c>
      <c r="AY51" s="470">
        <f>AA51-AV51</f>
        <v/>
      </c>
      <c r="AZ51" s="386">
        <f>AY51-AB51</f>
        <v/>
      </c>
    </row>
    <row r="52">
      <c r="A52" s="456" t="n"/>
      <c r="B52" s="11" t="n">
        <v>44</v>
      </c>
      <c r="C52" s="11" t="n"/>
      <c r="D52" s="11" t="n"/>
      <c r="E52" s="1" t="n"/>
      <c r="F52" s="160" t="n"/>
      <c r="G52" s="160" t="n"/>
      <c r="H52" s="465" t="n"/>
      <c r="I52" s="455" t="n"/>
      <c r="J52" s="455" t="n"/>
      <c r="K52" s="287" t="n"/>
      <c r="L52" s="43" t="n"/>
      <c r="M52" s="43" t="n"/>
      <c r="N52" s="466" t="n"/>
      <c r="O52" s="466" t="n"/>
      <c r="P52" s="466" t="n"/>
      <c r="Q52" s="466" t="n"/>
      <c r="R52" s="466" t="n"/>
      <c r="S52" s="466" t="n"/>
      <c r="T52" s="466" t="n"/>
      <c r="U52" s="466" t="n"/>
      <c r="V52" s="466" t="n"/>
      <c r="W52" s="466" t="n"/>
      <c r="X52" s="466" t="n"/>
      <c r="Y52" s="466" t="n"/>
      <c r="Z52" s="466" t="n"/>
      <c r="AA52" s="466">
        <f>SUM(N52:Z52)</f>
        <v/>
      </c>
      <c r="AB52" s="467">
        <f>T52+W52+Z52</f>
        <v/>
      </c>
      <c r="AC52" s="468">
        <f>AA52-AB52</f>
        <v/>
      </c>
      <c r="AD52" s="468" t="n"/>
      <c r="AE52" s="468">
        <f>AA52-AD52</f>
        <v/>
      </c>
      <c r="AF52" s="144" t="n"/>
      <c r="AG52" s="29" t="n"/>
      <c r="AH52" s="29" t="n"/>
      <c r="AI52" s="287" t="n"/>
      <c r="AJ52" s="43" t="n"/>
      <c r="AK52" s="167" t="n"/>
      <c r="AL52" s="43" t="n"/>
      <c r="AM52" s="43" t="n"/>
      <c r="AN52" s="239" t="n"/>
      <c r="AO52" s="36" t="n"/>
      <c r="AP52" s="32" t="n"/>
      <c r="AQ52" s="381" t="n"/>
      <c r="AR52" s="382" t="n"/>
      <c r="AS52" s="370" t="n"/>
      <c r="AT52" s="469">
        <f>N52+O52+P52+Q52+R52</f>
        <v/>
      </c>
      <c r="AU52" s="469">
        <f>S52+T52+U52+V52+X52+Y52</f>
        <v/>
      </c>
      <c r="AV52" s="469">
        <f>SUM(AT52:AU52)</f>
        <v/>
      </c>
      <c r="AW52" s="384">
        <f>AV52-AA52+W52+Z52</f>
        <v/>
      </c>
      <c r="AY52" s="470">
        <f>AA52-AV52</f>
        <v/>
      </c>
      <c r="AZ52" s="386">
        <f>AY52-AB52</f>
        <v/>
      </c>
    </row>
    <row r="53">
      <c r="A53" s="456" t="n"/>
      <c r="B53" s="11" t="n">
        <v>45</v>
      </c>
      <c r="C53" s="11" t="n"/>
      <c r="D53" s="11" t="n"/>
      <c r="E53" s="1" t="n"/>
      <c r="F53" s="160" t="n"/>
      <c r="G53" s="160" t="n"/>
      <c r="H53" s="465" t="n"/>
      <c r="I53" s="455" t="n"/>
      <c r="J53" s="455" t="n"/>
      <c r="K53" s="287" t="n"/>
      <c r="L53" s="43" t="n"/>
      <c r="M53" s="43" t="n"/>
      <c r="N53" s="466" t="n"/>
      <c r="O53" s="466" t="n"/>
      <c r="P53" s="466" t="n"/>
      <c r="Q53" s="466" t="n"/>
      <c r="R53" s="466" t="n"/>
      <c r="S53" s="466" t="n"/>
      <c r="T53" s="466" t="n"/>
      <c r="U53" s="466" t="n"/>
      <c r="V53" s="466" t="n"/>
      <c r="W53" s="466" t="n"/>
      <c r="X53" s="466" t="n"/>
      <c r="Y53" s="466" t="n"/>
      <c r="Z53" s="466" t="n"/>
      <c r="AA53" s="466">
        <f>SUM(N53:Z53)</f>
        <v/>
      </c>
      <c r="AB53" s="467">
        <f>T53+W53+Z53</f>
        <v/>
      </c>
      <c r="AC53" s="468">
        <f>AA53-AB53</f>
        <v/>
      </c>
      <c r="AD53" s="468" t="n"/>
      <c r="AE53" s="468">
        <f>AA53-AD53</f>
        <v/>
      </c>
      <c r="AF53" s="144" t="n"/>
      <c r="AG53" s="29" t="n"/>
      <c r="AH53" s="29" t="n"/>
      <c r="AI53" s="287" t="n"/>
      <c r="AJ53" s="43" t="n"/>
      <c r="AK53" s="167" t="n"/>
      <c r="AL53" s="43" t="n"/>
      <c r="AM53" s="43" t="n"/>
      <c r="AN53" s="239" t="n"/>
      <c r="AO53" s="36" t="n"/>
      <c r="AP53" s="32" t="n"/>
      <c r="AQ53" s="381" t="n"/>
      <c r="AR53" s="382" t="n"/>
      <c r="AS53" s="370" t="n"/>
      <c r="AT53" s="469">
        <f>N53+O53+P53+Q53+R53</f>
        <v/>
      </c>
      <c r="AU53" s="469">
        <f>S53+T53+U53+V53+X53+Y53</f>
        <v/>
      </c>
      <c r="AV53" s="469">
        <f>SUM(AT53:AU53)</f>
        <v/>
      </c>
      <c r="AW53" s="384">
        <f>AV53-AA53+W53+Z53</f>
        <v/>
      </c>
      <c r="AY53" s="470">
        <f>AA53-AV53</f>
        <v/>
      </c>
      <c r="AZ53" s="386">
        <f>AY53-AB53</f>
        <v/>
      </c>
    </row>
    <row r="54">
      <c r="A54" s="456" t="n"/>
      <c r="B54" s="11" t="n">
        <v>46</v>
      </c>
      <c r="C54" s="11" t="n"/>
      <c r="D54" s="11" t="n"/>
      <c r="E54" s="287" t="n"/>
      <c r="F54" s="287" t="n"/>
      <c r="G54" s="287" t="n"/>
      <c r="H54" s="454" t="n"/>
      <c r="I54" s="455" t="n"/>
      <c r="J54" s="455" t="n"/>
      <c r="K54" s="287" t="n"/>
      <c r="L54" s="43" t="n"/>
      <c r="M54" s="43" t="n"/>
      <c r="N54" s="466" t="n"/>
      <c r="O54" s="466" t="n"/>
      <c r="P54" s="466" t="n"/>
      <c r="Q54" s="466" t="n"/>
      <c r="R54" s="466" t="n"/>
      <c r="S54" s="466" t="n"/>
      <c r="T54" s="466" t="n"/>
      <c r="U54" s="466" t="n"/>
      <c r="V54" s="466" t="n"/>
      <c r="W54" s="466" t="n"/>
      <c r="X54" s="466" t="n"/>
      <c r="Y54" s="466" t="n"/>
      <c r="Z54" s="466" t="n"/>
      <c r="AA54" s="466">
        <f>SUM(N54:Z54)</f>
        <v/>
      </c>
      <c r="AB54" s="467">
        <f>T54+W54+Z54</f>
        <v/>
      </c>
      <c r="AC54" s="468">
        <f>AA54-AB54</f>
        <v/>
      </c>
      <c r="AD54" s="468" t="n"/>
      <c r="AE54" s="468">
        <f>AA54-AD54</f>
        <v/>
      </c>
      <c r="AF54" s="144" t="n"/>
      <c r="AG54" s="29" t="n"/>
      <c r="AH54" s="36" t="n"/>
      <c r="AI54" s="287" t="n"/>
      <c r="AJ54" s="43" t="n"/>
      <c r="AK54" s="167" t="n"/>
      <c r="AL54" s="43" t="n"/>
      <c r="AM54" s="43" t="n"/>
      <c r="AN54" s="239" t="n"/>
      <c r="AO54" s="36" t="n"/>
      <c r="AP54" s="32" t="n"/>
      <c r="AQ54" s="381" t="n"/>
      <c r="AR54" s="382" t="n"/>
      <c r="AS54" s="370" t="n"/>
      <c r="AT54" s="469">
        <f>N54+O54+P54+Q54+R54</f>
        <v/>
      </c>
      <c r="AU54" s="469">
        <f>S54+T54+U54+V54+X54+Y54</f>
        <v/>
      </c>
      <c r="AV54" s="469">
        <f>SUM(AT54:AU54)</f>
        <v/>
      </c>
      <c r="AW54" s="384">
        <f>AV54-AA54+W54+Z54</f>
        <v/>
      </c>
      <c r="AY54" s="470">
        <f>AA54-AV54</f>
        <v/>
      </c>
      <c r="AZ54" s="386">
        <f>AY54-AB54</f>
        <v/>
      </c>
    </row>
    <row r="55">
      <c r="B55" s="207" t="n"/>
      <c r="C55" s="207" t="n"/>
      <c r="D55" s="207" t="n"/>
      <c r="E55" s="107" t="n"/>
      <c r="F55" s="107" t="n"/>
      <c r="G55" s="107" t="n"/>
      <c r="H55" s="49" t="n"/>
      <c r="I55" s="471" t="n"/>
      <c r="J55" s="28" t="n"/>
      <c r="K55" s="472" t="n"/>
      <c r="L55" s="49" t="n"/>
      <c r="M55" s="49" t="n"/>
      <c r="N55" s="473">
        <f>SUBTOTAL(9,N9:N54)</f>
        <v/>
      </c>
      <c r="O55" s="473">
        <f>SUBTOTAL(9,O9:O54)</f>
        <v/>
      </c>
      <c r="P55" s="473">
        <f>SUBTOTAL(9,P9:P54)</f>
        <v/>
      </c>
      <c r="Q55" s="473">
        <f>SUBTOTAL(9,Q9:Q54)</f>
        <v/>
      </c>
      <c r="R55" s="473">
        <f>SUBTOTAL(9,R9:R54)</f>
        <v/>
      </c>
      <c r="S55" s="473">
        <f>SUBTOTAL(9,S9:S54)</f>
        <v/>
      </c>
      <c r="T55" s="473">
        <f>SUBTOTAL(9,T9:T54)</f>
        <v/>
      </c>
      <c r="U55" s="473">
        <f>SUBTOTAL(9,U9:U54)</f>
        <v/>
      </c>
      <c r="V55" s="473">
        <f>SUBTOTAL(9,V9:V54)</f>
        <v/>
      </c>
      <c r="W55" s="473">
        <f>SUBTOTAL(9,W9:W54)</f>
        <v/>
      </c>
      <c r="X55" s="473">
        <f>SUBTOTAL(9,X9:X54)</f>
        <v/>
      </c>
      <c r="Y55" s="473">
        <f>SUBTOTAL(9,Y9:Y54)</f>
        <v/>
      </c>
      <c r="Z55" s="473">
        <f>SUBTOTAL(9,Z9:Z54)</f>
        <v/>
      </c>
      <c r="AA55" s="473">
        <f>SUBTOTAL(9,AA9:AA54)</f>
        <v/>
      </c>
      <c r="AB55" s="473">
        <f>SUBTOTAL(9,AB9:AB54)</f>
        <v/>
      </c>
      <c r="AC55" s="473">
        <f>SUBTOTAL(9,AC9:AC54)</f>
        <v/>
      </c>
      <c r="AD55" s="474" t="n"/>
      <c r="AE55" s="474" t="n"/>
      <c r="AF55" s="475" t="n"/>
      <c r="AG55" s="476" t="n"/>
      <c r="AH55" s="32" t="n"/>
      <c r="AI55" s="476" t="n"/>
      <c r="AJ55" s="476" t="n"/>
      <c r="AK55" s="477" t="n"/>
      <c r="AL55" s="476" t="n"/>
      <c r="AM55" s="476" t="n"/>
      <c r="AN55" s="477" t="n"/>
      <c r="AS55" s="370" t="n"/>
      <c r="AT55" s="478">
        <f>SUBTOTAL(9,AT9:AT54)</f>
        <v/>
      </c>
      <c r="AU55" s="478">
        <f>SUBTOTAL(9,AU9:AU54)</f>
        <v/>
      </c>
      <c r="AV55" s="478">
        <f>SUBTOTAL(9,AV9:AV54)</f>
        <v/>
      </c>
      <c r="AW55" s="384">
        <f>AV55-AA55+W55+Z55</f>
        <v/>
      </c>
      <c r="AY55" s="470">
        <f>SUM(AY9:AY54)</f>
        <v/>
      </c>
    </row>
    <row r="56">
      <c r="H56" s="49" t="n"/>
      <c r="I56" s="471" t="n"/>
      <c r="J56" s="28" t="n"/>
      <c r="K56" s="477" t="n"/>
      <c r="L56" s="49" t="n"/>
      <c r="M56" s="49" t="n"/>
      <c r="N56" s="479" t="n"/>
      <c r="O56" s="479" t="n"/>
      <c r="P56" s="479" t="n"/>
      <c r="Q56" s="479" t="n"/>
      <c r="R56" s="479" t="n"/>
      <c r="S56" s="479" t="n"/>
      <c r="T56" s="479" t="n"/>
      <c r="U56" s="479" t="n"/>
      <c r="V56" s="479" t="n"/>
      <c r="W56" s="479" t="n"/>
      <c r="X56" s="479" t="n"/>
      <c r="Y56" s="479" t="n"/>
      <c r="Z56" s="479" t="n"/>
      <c r="AA56" s="479" t="n"/>
      <c r="AB56" s="479" t="n"/>
      <c r="AC56" s="479" t="n"/>
      <c r="AD56" s="479" t="n"/>
      <c r="AE56" s="479" t="n"/>
      <c r="AF56" s="480" t="n"/>
      <c r="AG56" s="476" t="n"/>
      <c r="AH56" s="32" t="n"/>
      <c r="AI56" s="476" t="n"/>
      <c r="AJ56" s="476" t="n"/>
      <c r="AK56" s="477" t="n"/>
      <c r="AL56" s="476" t="n"/>
      <c r="AM56" s="476" t="n"/>
      <c r="AN56" s="477" t="n"/>
      <c r="AS56" s="370" t="n"/>
      <c r="AY56" s="470" t="n"/>
    </row>
    <row r="57" ht="15.75" customHeight="1" s="358" thickBot="1">
      <c r="I57" s="471" t="n"/>
      <c r="AF57" s="458" t="n"/>
      <c r="AN57" s="422" t="n"/>
      <c r="AT57" s="481">
        <f>SUM(AT9:AT54)</f>
        <v/>
      </c>
      <c r="AU57" s="481">
        <f>SUM(AU9:AU54)</f>
        <v/>
      </c>
      <c r="AV57" s="481">
        <f>SUM(AV9:AV54)</f>
        <v/>
      </c>
      <c r="AY57" s="481">
        <f>SUM(AY9:AY54)</f>
        <v/>
      </c>
    </row>
    <row r="58" ht="16.5" customHeight="1" s="358" thickBot="1" thickTop="1">
      <c r="A58" s="482" t="n"/>
      <c r="I58" s="471" t="n"/>
      <c r="N58" s="483">
        <f>SUM(N9:N54)</f>
        <v/>
      </c>
      <c r="O58" s="483">
        <f>SUM(O9:O54)</f>
        <v/>
      </c>
      <c r="P58" s="483">
        <f>SUM(P9:P54)</f>
        <v/>
      </c>
      <c r="Q58" s="483">
        <f>SUM(Q9:Q54)</f>
        <v/>
      </c>
      <c r="R58" s="483">
        <f>SUM(R9:R54)</f>
        <v/>
      </c>
      <c r="S58" s="483">
        <f>SUM(S9:S54)</f>
        <v/>
      </c>
      <c r="T58" s="483">
        <f>SUM(T9:T54)</f>
        <v/>
      </c>
      <c r="U58" s="483">
        <f>SUM(U9:U54)</f>
        <v/>
      </c>
      <c r="V58" s="483">
        <f>SUM(V9:V54)</f>
        <v/>
      </c>
      <c r="W58" s="483">
        <f>SUM(W9:W54)</f>
        <v/>
      </c>
      <c r="X58" s="483">
        <f>SUM(X9:X54)</f>
        <v/>
      </c>
      <c r="Y58" s="483">
        <f>SUM(Y9:Y54)</f>
        <v/>
      </c>
      <c r="Z58" s="483">
        <f>SUM(Z9:Z54)</f>
        <v/>
      </c>
      <c r="AA58" s="483">
        <f>SUM(AA9:AA54)</f>
        <v/>
      </c>
      <c r="AB58" s="483">
        <f>SUM(AB9:AB54)</f>
        <v/>
      </c>
      <c r="AC58" s="483">
        <f>SUM(AC9:AC54)</f>
        <v/>
      </c>
      <c r="AD58" s="484" t="n"/>
      <c r="AE58" s="484" t="n"/>
      <c r="AF58" s="484" t="n"/>
      <c r="AY58" s="470" t="n"/>
    </row>
    <row r="59" ht="15.75" customHeight="1" s="358" thickTop="1">
      <c r="F59" s="279" t="inlineStr">
        <is>
          <t>Invoice #</t>
        </is>
      </c>
      <c r="G59" s="279" t="inlineStr">
        <is>
          <t>Total</t>
        </is>
      </c>
      <c r="H59" s="280" t="inlineStr">
        <is>
          <t>Qualified Amount</t>
        </is>
      </c>
      <c r="I59" s="485" t="inlineStr">
        <is>
          <t>Unqualified Amount</t>
        </is>
      </c>
      <c r="AY59" s="470" t="n"/>
    </row>
    <row r="60">
      <c r="G60" s="486">
        <f>SUMIF($E$9:$E$54,$F60,$AA$9:$AA$54)</f>
        <v/>
      </c>
      <c r="H60" s="487">
        <f>SUMIFS($AC$9:$AC$54,$AJ$9:$AJ$54,"YES",$E$9:$E$54,$F60)</f>
        <v/>
      </c>
      <c r="I60" s="482">
        <f>G60-H60</f>
        <v/>
      </c>
      <c r="AY60" s="470" t="n"/>
    </row>
    <row r="61">
      <c r="G61" s="486">
        <f>SUMIF($E$9:$E$54,$F61,$AA$9:$AA$54)</f>
        <v/>
      </c>
      <c r="H61" s="487">
        <f>SUMIFS($AC$9:$AC$54,$AJ$9:$AJ$54,"YES",$E$9:$E$54,$F61)</f>
        <v/>
      </c>
      <c r="I61" s="482">
        <f>G61-H61</f>
        <v/>
      </c>
      <c r="AY61" s="470" t="n"/>
    </row>
    <row r="62">
      <c r="G62" s="486">
        <f>SUMIF($E$9:$E$54,$F62,$AA$9:$AA$54)</f>
        <v/>
      </c>
      <c r="H62" s="487">
        <f>SUMIFS($AC$9:$AC$54,$AJ$9:$AJ$54,"YES",$E$9:$E$54,$F62)</f>
        <v/>
      </c>
      <c r="I62" s="482">
        <f>G62-H62</f>
        <v/>
      </c>
      <c r="J62" s="41" t="n"/>
      <c r="L62" s="41" t="n"/>
      <c r="M62" s="41" t="n"/>
      <c r="N62" s="479" t="n"/>
      <c r="O62" s="479" t="n"/>
      <c r="P62" s="479" t="n"/>
      <c r="Q62" s="479" t="n"/>
      <c r="R62" s="479" t="n"/>
      <c r="S62" s="479" t="n"/>
      <c r="T62" s="479" t="n"/>
      <c r="U62" s="479" t="n"/>
      <c r="V62" s="479" t="n"/>
      <c r="W62" s="29" t="inlineStr">
        <is>
          <t>ELIGIBLE TOTAL</t>
        </is>
      </c>
      <c r="X62" s="459" t="n"/>
      <c r="Y62" s="460" t="n"/>
      <c r="Z62" s="479" t="n"/>
      <c r="AA62" s="422" t="n"/>
      <c r="AB62" s="29" t="inlineStr">
        <is>
          <t>INELIGIBLE TOTAL</t>
        </is>
      </c>
      <c r="AC62" s="459" t="n"/>
      <c r="AD62" s="459" t="n"/>
      <c r="AE62" s="459" t="n"/>
      <c r="AF62" s="460" t="n"/>
      <c r="AG62" s="422" t="n"/>
      <c r="AY62" s="470" t="n"/>
    </row>
    <row r="63" ht="15.75" customHeight="1" s="358" thickBot="1">
      <c r="F63" s="208" t="n"/>
      <c r="G63" s="488">
        <f>SUMIF($E$9:$E$54,$F63,$AA$9:$AA$54)</f>
        <v/>
      </c>
      <c r="H63" s="489">
        <f>SUMIFS($AC$9:$AC$54,$AJ$9:$AJ$54,"YES",$E$9:$E$54,$F63)</f>
        <v/>
      </c>
      <c r="I63" s="490">
        <f>G63-H63</f>
        <v/>
      </c>
      <c r="J63" s="41" t="n"/>
      <c r="L63" s="41" t="n"/>
      <c r="M63" s="41" t="n"/>
      <c r="N63" s="479" t="n"/>
      <c r="O63" s="479" t="n"/>
      <c r="P63" s="479" t="n"/>
      <c r="Q63" s="479" t="n"/>
      <c r="R63" s="479" t="n"/>
      <c r="S63" s="479" t="n"/>
      <c r="T63" s="479" t="n"/>
      <c r="U63" s="479" t="n"/>
      <c r="V63" s="479" t="n"/>
      <c r="W63" s="43" t="inlineStr">
        <is>
          <t>NO-OOS</t>
        </is>
      </c>
      <c r="X63" s="92" t="inlineStr">
        <is>
          <t>NO-TX</t>
        </is>
      </c>
      <c r="Y63" s="100" t="inlineStr">
        <is>
          <t>YES</t>
        </is>
      </c>
      <c r="Z63" s="479" t="n"/>
      <c r="AA63" s="487" t="n"/>
      <c r="AB63" s="43" t="inlineStr">
        <is>
          <t>NO-OOS</t>
        </is>
      </c>
      <c r="AC63" s="92" t="inlineStr">
        <is>
          <t>NO-TX</t>
        </is>
      </c>
      <c r="AD63" s="439" t="n"/>
      <c r="AE63" s="439" t="n"/>
      <c r="AF63" s="93" t="inlineStr">
        <is>
          <t>YES</t>
        </is>
      </c>
      <c r="AG63" s="422" t="n"/>
      <c r="AY63" s="470" t="n"/>
    </row>
    <row r="64" ht="15.75" customHeight="1" s="358" thickTop="1">
      <c r="F64" s="422" t="inlineStr">
        <is>
          <t>Total</t>
        </is>
      </c>
      <c r="G64" s="491">
        <f>SUM(G60:G63)</f>
        <v/>
      </c>
      <c r="H64" s="491">
        <f>SUM(H60:H63)</f>
        <v/>
      </c>
      <c r="I64" s="486">
        <f>SUM(I60:I63)</f>
        <v/>
      </c>
      <c r="J64" s="41" t="n"/>
      <c r="L64" s="41" t="n"/>
      <c r="M64" s="41" t="n"/>
      <c r="N64" s="479" t="n"/>
      <c r="O64" s="479" t="n"/>
      <c r="P64" s="479" t="n"/>
      <c r="Q64" s="479" t="n"/>
      <c r="R64" s="479" t="n"/>
      <c r="S64" s="479" t="n"/>
      <c r="T64" s="479" t="n"/>
      <c r="U64" s="479" t="n"/>
      <c r="V64" s="479" t="n"/>
      <c r="W64" s="492">
        <f>SUMIF($AJ$9:$AJ$54,W63,$AV$9:$AV$54)</f>
        <v/>
      </c>
      <c r="X64" s="492">
        <f>SUMIF($AJ$9:$AJ$54,X63,$AV$9:$AV$54)</f>
        <v/>
      </c>
      <c r="Y64" s="492">
        <f>SUMIF($AJ$9:$AJ$54,Y63,$AV$9:$AV$54)</f>
        <v/>
      </c>
      <c r="Z64" s="474">
        <f>SUM(W64:Y64)</f>
        <v/>
      </c>
      <c r="AA64" s="96" t="n"/>
      <c r="AB64" s="492">
        <f>SUMIF($AJ$9:$AJ$54,AB63,$AY$9:$AY$54)</f>
        <v/>
      </c>
      <c r="AC64" s="492">
        <f>SUMIF($AJ$9:$AJ$54,AC63,$AY$9:$AY$54)</f>
        <v/>
      </c>
      <c r="AD64" s="492" t="n"/>
      <c r="AE64" s="492" t="n"/>
      <c r="AF64" s="492">
        <f>SUMIF($AJ$9:$AJ$54,AF63,$AY$9:$AY$54)</f>
        <v/>
      </c>
      <c r="AG64" s="475">
        <f>SUM(AB64:AF64)</f>
        <v/>
      </c>
      <c r="AY64" s="470" t="n"/>
    </row>
    <row r="65">
      <c r="F65" s="422" t="n"/>
      <c r="G65" s="236">
        <f>G64-AA58</f>
        <v/>
      </c>
      <c r="H65" s="236">
        <f>H64-AA67</f>
        <v/>
      </c>
      <c r="I65" s="236">
        <f>I64-AA68</f>
        <v/>
      </c>
      <c r="J65" s="41" t="n"/>
      <c r="L65" s="41" t="n"/>
      <c r="M65" s="41" t="n"/>
      <c r="N65" s="479" t="n"/>
      <c r="O65" s="479" t="n"/>
      <c r="P65" s="479" t="n"/>
      <c r="Q65" s="479" t="n"/>
      <c r="R65" s="479" t="n"/>
      <c r="S65" s="479" t="n"/>
      <c r="T65" s="479" t="n"/>
      <c r="U65" s="479" t="n"/>
      <c r="V65" s="479" t="n"/>
      <c r="W65" s="422" t="n"/>
      <c r="Z65" s="97">
        <f>Z64-AV57</f>
        <v/>
      </c>
      <c r="AA65" s="487" t="n"/>
      <c r="AB65" s="32" t="n"/>
      <c r="AC65" s="32" t="n"/>
      <c r="AD65" s="32" t="n"/>
      <c r="AE65" s="32" t="n"/>
      <c r="AF65" s="493" t="n"/>
      <c r="AG65" s="97">
        <f>AG64-AY57</f>
        <v/>
      </c>
      <c r="AY65" s="470" t="n"/>
    </row>
    <row r="66">
      <c r="F66" s="422" t="n"/>
      <c r="I66" s="471" t="n"/>
      <c r="W66" s="479" t="n"/>
      <c r="X66" s="479" t="n"/>
      <c r="Y66" s="479" t="n"/>
      <c r="Z66" s="479" t="n"/>
      <c r="AA66" s="68" t="n"/>
      <c r="AC66" s="422" t="n"/>
      <c r="AD66" s="422" t="n"/>
      <c r="AE66" s="422" t="n"/>
      <c r="AY66" s="470" t="n"/>
    </row>
    <row r="67">
      <c r="I67" s="471" t="n"/>
      <c r="W67" s="422" t="n"/>
      <c r="X67" s="27" t="n"/>
      <c r="Y67" s="479" t="n"/>
      <c r="Z67" s="479" t="inlineStr">
        <is>
          <t>Total Eligible</t>
        </is>
      </c>
      <c r="AA67" s="479">
        <f>Y64</f>
        <v/>
      </c>
      <c r="AB67" s="479" t="n"/>
      <c r="AC67" s="479" t="n"/>
      <c r="AD67" s="479" t="n"/>
      <c r="AE67" s="479" t="n"/>
      <c r="AF67" s="479" t="n"/>
      <c r="AY67" s="470" t="n"/>
    </row>
    <row r="68" ht="15.75" customHeight="1" s="358" thickBot="1">
      <c r="I68" s="471" t="n"/>
      <c r="W68" s="422" t="n"/>
      <c r="X68" s="27" t="n"/>
      <c r="Y68" s="479" t="n"/>
      <c r="Z68" s="494" t="inlineStr">
        <is>
          <t>Total Ineligible</t>
        </is>
      </c>
      <c r="AA68" s="494">
        <f>W64+X64+AB64+AC64+AF64</f>
        <v/>
      </c>
      <c r="AB68" s="479" t="n"/>
      <c r="AC68" s="479" t="n"/>
      <c r="AD68" s="479" t="n"/>
      <c r="AE68" s="479" t="n"/>
      <c r="AF68" s="479" t="n"/>
      <c r="AY68" s="470" t="n"/>
    </row>
    <row r="69" ht="15.75" customHeight="1" s="358" thickTop="1">
      <c r="I69" s="471" t="n"/>
      <c r="W69" s="422" t="n"/>
      <c r="X69" s="27" t="n"/>
      <c r="Y69" s="479" t="n"/>
      <c r="Z69" s="479" t="inlineStr">
        <is>
          <t>Total Expenses</t>
        </is>
      </c>
      <c r="AA69" s="479">
        <f>SUM(AA67:AA68)</f>
        <v/>
      </c>
      <c r="AC69" s="479" t="n"/>
      <c r="AD69" s="479" t="n"/>
      <c r="AE69" s="479" t="n"/>
      <c r="AF69" s="479" t="n"/>
      <c r="AG69" s="68" t="n"/>
      <c r="AH69" s="119" t="n"/>
      <c r="AY69" s="470" t="n"/>
    </row>
    <row r="70">
      <c r="I70" s="471" t="n"/>
      <c r="W70" s="422" t="n"/>
      <c r="X70" s="27" t="n"/>
      <c r="Y70" s="479" t="n"/>
      <c r="Z70" s="479" t="n"/>
      <c r="AA70" s="97">
        <f>AA69-AA58</f>
        <v/>
      </c>
      <c r="AC70" s="97" t="n"/>
      <c r="AD70" s="97" t="n"/>
      <c r="AE70" s="97" t="n"/>
      <c r="AF70" s="97" t="n"/>
      <c r="AG70" s="68" t="n"/>
      <c r="AH70" s="119" t="n"/>
      <c r="AY70" s="470" t="n"/>
    </row>
    <row r="71">
      <c r="I71" s="471" t="n"/>
      <c r="AY71" s="470" t="n"/>
    </row>
    <row r="72">
      <c r="I72" s="471" t="n"/>
      <c r="AY72" s="470" t="n"/>
    </row>
    <row r="73">
      <c r="I73" s="28" t="n"/>
      <c r="AY73" s="470" t="n"/>
    </row>
    <row r="74">
      <c r="I74" s="28" t="n"/>
      <c r="AY74" s="470" t="n"/>
    </row>
    <row r="75">
      <c r="AY75" s="470" t="n"/>
    </row>
    <row r="76">
      <c r="AY76" s="470" t="n"/>
    </row>
    <row r="77">
      <c r="AY77" s="470" t="n"/>
    </row>
    <row r="78">
      <c r="AY78" s="470" t="n"/>
    </row>
    <row r="79">
      <c r="AY79" s="470" t="n"/>
    </row>
    <row r="80">
      <c r="I80" s="41" t="n"/>
      <c r="AY80" s="470" t="n"/>
    </row>
    <row r="81">
      <c r="I81" s="41" t="n"/>
      <c r="AY81" s="470" t="n"/>
    </row>
    <row r="82">
      <c r="I82" s="41" t="n"/>
      <c r="AY82" s="470" t="n"/>
    </row>
    <row r="83">
      <c r="I83" s="41" t="n"/>
      <c r="AY83" s="470" t="n"/>
    </row>
    <row r="84">
      <c r="AY84" s="470" t="n"/>
    </row>
    <row r="85">
      <c r="AY85" s="470" t="n"/>
    </row>
    <row r="86">
      <c r="AY86" s="470" t="n"/>
    </row>
    <row r="87">
      <c r="AY87" s="470" t="n"/>
    </row>
    <row r="88">
      <c r="AY88" s="470" t="n"/>
    </row>
    <row r="89">
      <c r="AY89" s="470" t="n"/>
    </row>
    <row r="90">
      <c r="AY90" s="470" t="n"/>
    </row>
    <row r="91">
      <c r="AY91" s="470" t="n"/>
    </row>
    <row r="92">
      <c r="AY92" s="470" t="n"/>
    </row>
    <row r="93">
      <c r="AY93" s="470" t="n"/>
    </row>
    <row r="94">
      <c r="AY94" s="470" t="n"/>
    </row>
    <row r="95">
      <c r="AY95" s="470" t="n"/>
    </row>
    <row r="96">
      <c r="AY96" s="470" t="n"/>
    </row>
    <row r="97">
      <c r="AY97" s="470" t="n"/>
    </row>
    <row r="98">
      <c r="AY98" s="470" t="n"/>
    </row>
    <row r="99">
      <c r="AY99" s="470" t="n"/>
    </row>
    <row r="100">
      <c r="AY100" s="470" t="n"/>
    </row>
    <row r="101">
      <c r="AY101" s="470" t="n"/>
    </row>
    <row r="102">
      <c r="AY102" s="470" t="n"/>
    </row>
    <row r="103">
      <c r="AY103" s="470" t="n"/>
    </row>
    <row r="104">
      <c r="AY104" s="470" t="n"/>
    </row>
    <row r="105">
      <c r="AY105" s="470" t="n"/>
    </row>
    <row r="106">
      <c r="AY106" s="470" t="n"/>
    </row>
    <row r="107">
      <c r="AY107" s="470" t="n"/>
    </row>
    <row r="108">
      <c r="AY108" s="470" t="n"/>
    </row>
    <row r="109">
      <c r="AY109" s="470" t="n"/>
    </row>
    <row r="110">
      <c r="AY110" s="470" t="n"/>
    </row>
    <row r="111">
      <c r="AY111" s="470" t="n"/>
    </row>
    <row r="112">
      <c r="AY112" s="470" t="n"/>
    </row>
    <row r="113">
      <c r="AY113" s="470" t="n"/>
    </row>
    <row r="114">
      <c r="AY114" s="470" t="n"/>
    </row>
    <row r="115">
      <c r="AY115" s="470" t="n"/>
    </row>
    <row r="116">
      <c r="AY116" s="470" t="n"/>
    </row>
    <row r="117">
      <c r="AY117" s="470" t="n"/>
    </row>
    <row r="118">
      <c r="AY118" s="470" t="n"/>
    </row>
    <row r="119">
      <c r="AY119" s="470" t="n"/>
    </row>
    <row r="120">
      <c r="AY120" s="470" t="n"/>
    </row>
    <row r="121">
      <c r="AY121" s="470" t="n"/>
    </row>
    <row r="122">
      <c r="AY122" s="470" t="n"/>
    </row>
    <row r="123">
      <c r="AY123" s="470" t="n"/>
    </row>
    <row r="124">
      <c r="AY124" s="470" t="n"/>
    </row>
    <row r="125">
      <c r="AY125" s="470" t="n"/>
    </row>
    <row r="126">
      <c r="AY126" s="470" t="n"/>
    </row>
    <row r="127">
      <c r="AY127" s="470" t="n"/>
    </row>
    <row r="128">
      <c r="AY128" s="470" t="n"/>
    </row>
    <row r="129">
      <c r="AY129" s="470" t="n"/>
    </row>
    <row r="130">
      <c r="AY130" s="470" t="n"/>
    </row>
    <row r="131">
      <c r="AY131" s="470" t="n"/>
    </row>
    <row r="132">
      <c r="AY132" s="470" t="n"/>
    </row>
    <row r="133">
      <c r="AY133" s="470" t="n"/>
    </row>
    <row r="134">
      <c r="AY134" s="470" t="n"/>
    </row>
    <row r="135">
      <c r="AY135" s="470" t="n"/>
    </row>
    <row r="136">
      <c r="AY136" s="470" t="n"/>
    </row>
    <row r="137">
      <c r="AY137" s="470" t="n"/>
    </row>
    <row r="138">
      <c r="AY138" s="470" t="n"/>
    </row>
    <row r="139">
      <c r="AY139" s="470" t="n"/>
    </row>
    <row r="140">
      <c r="AY140" s="470" t="n"/>
    </row>
    <row r="141">
      <c r="AY141" s="470" t="n"/>
    </row>
    <row r="142">
      <c r="AY142" s="470" t="n"/>
    </row>
    <row r="143">
      <c r="AY143" s="470" t="n"/>
    </row>
    <row r="144">
      <c r="AY144" s="470" t="n"/>
    </row>
    <row r="145">
      <c r="AY145" s="470" t="n"/>
    </row>
    <row r="146">
      <c r="AY146" s="470" t="n"/>
    </row>
    <row r="147">
      <c r="AY147" s="470" t="n"/>
    </row>
    <row r="148">
      <c r="AY148" s="470" t="n"/>
    </row>
    <row r="149">
      <c r="AY149" s="470" t="n"/>
    </row>
    <row r="150">
      <c r="AY150" s="470" t="n"/>
    </row>
    <row r="151">
      <c r="AY151" s="470" t="n"/>
    </row>
    <row r="152">
      <c r="AY152" s="470" t="n"/>
    </row>
    <row r="153">
      <c r="AY153" s="470" t="n"/>
    </row>
    <row r="154">
      <c r="AY154" s="470" t="n"/>
    </row>
    <row r="155">
      <c r="AY155" s="470" t="n"/>
    </row>
    <row r="156">
      <c r="AY156" s="470" t="n"/>
    </row>
    <row r="157">
      <c r="AY157" s="470" t="n"/>
    </row>
    <row r="158">
      <c r="AY158" s="470" t="n"/>
    </row>
    <row r="159">
      <c r="AY159" s="470" t="n"/>
    </row>
    <row r="160">
      <c r="AY160" s="470" t="n"/>
    </row>
    <row r="161">
      <c r="AY161" s="470" t="n"/>
    </row>
    <row r="162">
      <c r="AY162" s="470" t="n"/>
    </row>
    <row r="163">
      <c r="AY163" s="470" t="n"/>
    </row>
    <row r="164">
      <c r="AY164" s="470" t="n"/>
    </row>
    <row r="165">
      <c r="AY165" s="470" t="n"/>
    </row>
    <row r="166">
      <c r="AY166" s="470" t="n"/>
    </row>
    <row r="167">
      <c r="AY167" s="470" t="n"/>
    </row>
    <row r="168">
      <c r="AY168" s="470" t="n"/>
    </row>
    <row r="169">
      <c r="AY169" s="470" t="n"/>
    </row>
    <row r="170">
      <c r="AY170" s="470" t="n"/>
    </row>
    <row r="171">
      <c r="AY171" s="470" t="n"/>
    </row>
    <row r="172">
      <c r="AY172" s="470" t="n"/>
    </row>
    <row r="173">
      <c r="AY173" s="470" t="n"/>
    </row>
    <row r="174">
      <c r="AY174" s="470" t="n"/>
    </row>
    <row r="175">
      <c r="AY175" s="470" t="n"/>
    </row>
    <row r="176">
      <c r="AY176" s="470" t="n"/>
    </row>
    <row r="177">
      <c r="AY177" s="470" t="n"/>
    </row>
    <row r="178">
      <c r="AY178" s="470" t="n"/>
    </row>
    <row r="179">
      <c r="AY179" s="470" t="n"/>
    </row>
    <row r="180">
      <c r="AY180" s="470" t="n"/>
    </row>
    <row r="181">
      <c r="AY181" s="470" t="n"/>
    </row>
    <row r="182">
      <c r="AY182" s="470" t="n"/>
    </row>
    <row r="183">
      <c r="AY183" s="470" t="n"/>
    </row>
    <row r="184">
      <c r="AY184" s="470" t="n"/>
    </row>
    <row r="185">
      <c r="AY185" s="470" t="n"/>
    </row>
    <row r="186">
      <c r="AY186" s="470" t="n"/>
    </row>
    <row r="187">
      <c r="AY187" s="470" t="n"/>
    </row>
    <row r="188">
      <c r="AY188" s="470" t="n"/>
    </row>
    <row r="189">
      <c r="AY189" s="470" t="n"/>
    </row>
    <row r="190">
      <c r="AY190" s="470" t="n"/>
    </row>
    <row r="191">
      <c r="AY191" s="470" t="n"/>
    </row>
    <row r="192">
      <c r="AY192" s="470" t="n"/>
    </row>
    <row r="193">
      <c r="AY193" s="470" t="n"/>
    </row>
    <row r="194">
      <c r="AY194" s="470" t="n"/>
    </row>
    <row r="195">
      <c r="AY195" s="470" t="n"/>
    </row>
    <row r="196">
      <c r="AY196" s="470" t="n"/>
    </row>
    <row r="197">
      <c r="AY197" s="470" t="n"/>
    </row>
    <row r="198">
      <c r="AY198" s="470" t="n"/>
    </row>
    <row r="199">
      <c r="AY199" s="470" t="n"/>
    </row>
    <row r="200">
      <c r="AY200" s="470" t="n"/>
    </row>
    <row r="201">
      <c r="AY201" s="470" t="n"/>
    </row>
    <row r="202">
      <c r="AY202" s="470" t="n"/>
    </row>
    <row r="203">
      <c r="AY203" s="470" t="n"/>
    </row>
    <row r="204">
      <c r="AY204" s="470" t="n"/>
    </row>
    <row r="205">
      <c r="AY205" s="470" t="n"/>
    </row>
    <row r="206">
      <c r="AY206" s="470" t="n"/>
    </row>
    <row r="207">
      <c r="AY207" s="470" t="n"/>
    </row>
    <row r="208">
      <c r="AY208" s="470" t="n"/>
    </row>
    <row r="209">
      <c r="AY209" s="470" t="n"/>
    </row>
    <row r="210">
      <c r="AY210" s="470" t="n"/>
    </row>
    <row r="211">
      <c r="AY211" s="470" t="n"/>
    </row>
    <row r="212">
      <c r="AY212" s="470" t="n"/>
    </row>
    <row r="213">
      <c r="AY213" s="470" t="n"/>
    </row>
    <row r="214">
      <c r="AY214" s="470" t="n"/>
    </row>
    <row r="215">
      <c r="AY215" s="470" t="n"/>
    </row>
    <row r="216">
      <c r="AY216" s="470" t="n"/>
    </row>
    <row r="217">
      <c r="AY217" s="470" t="n"/>
    </row>
    <row r="218">
      <c r="AY218" s="470" t="n"/>
    </row>
    <row r="219">
      <c r="AY219" s="470" t="n"/>
    </row>
    <row r="220">
      <c r="AY220" s="470" t="n"/>
    </row>
    <row r="221">
      <c r="AY221" s="470" t="n"/>
    </row>
    <row r="222">
      <c r="AY222" s="470" t="n"/>
    </row>
    <row r="223">
      <c r="AY223" s="470" t="n"/>
    </row>
    <row r="224">
      <c r="AY224" s="470" t="n"/>
    </row>
    <row r="225">
      <c r="AY225" s="470" t="n"/>
    </row>
    <row r="226">
      <c r="AY226" s="470" t="n"/>
    </row>
    <row r="227">
      <c r="AY227" s="470" t="n"/>
    </row>
    <row r="228">
      <c r="AY228" s="470" t="n"/>
    </row>
    <row r="229">
      <c r="AY229" s="470" t="n"/>
    </row>
    <row r="230">
      <c r="AY230" s="470" t="n"/>
    </row>
    <row r="231">
      <c r="AY231" s="470" t="n"/>
    </row>
    <row r="232">
      <c r="AY232" s="470" t="n"/>
    </row>
    <row r="233">
      <c r="AY233" s="470" t="n"/>
    </row>
    <row r="234">
      <c r="AY234" s="470" t="n"/>
    </row>
    <row r="235">
      <c r="AY235" s="470" t="n"/>
    </row>
    <row r="236">
      <c r="AY236" s="470" t="n"/>
    </row>
    <row r="237">
      <c r="AY237" s="470" t="n"/>
    </row>
    <row r="238">
      <c r="AY238" s="470" t="n"/>
    </row>
    <row r="239">
      <c r="AY239" s="470" t="n"/>
    </row>
    <row r="240">
      <c r="AY240" s="470" t="n"/>
    </row>
    <row r="241">
      <c r="AY241" s="470" t="n"/>
    </row>
    <row r="242">
      <c r="AY242" s="470" t="n"/>
    </row>
    <row r="243">
      <c r="AY243" s="470" t="n"/>
    </row>
    <row r="244">
      <c r="AY244" s="470" t="n"/>
    </row>
    <row r="245">
      <c r="AY245" s="470" t="n"/>
    </row>
    <row r="246">
      <c r="AY246" s="470" t="n"/>
    </row>
    <row r="247">
      <c r="AY247" s="470" t="n"/>
    </row>
    <row r="248">
      <c r="AY248" s="470" t="n"/>
    </row>
    <row r="249">
      <c r="AY249" s="470" t="n"/>
    </row>
    <row r="250">
      <c r="AY250" s="470" t="n"/>
    </row>
    <row r="251">
      <c r="AY251" s="470" t="n"/>
    </row>
    <row r="252">
      <c r="AY252" s="470" t="n"/>
    </row>
    <row r="253">
      <c r="AY253" s="470" t="n"/>
    </row>
    <row r="254">
      <c r="AY254" s="470" t="n"/>
    </row>
    <row r="255">
      <c r="AY255" s="470" t="n"/>
    </row>
    <row r="256">
      <c r="AY256" s="470" t="n"/>
    </row>
    <row r="257">
      <c r="AY257" s="470" t="n"/>
    </row>
    <row r="258">
      <c r="AY258" s="470" t="n"/>
    </row>
    <row r="259">
      <c r="AY259" s="470" t="n"/>
    </row>
    <row r="260">
      <c r="AY260" s="470" t="n"/>
    </row>
    <row r="261">
      <c r="AY261" s="470" t="n"/>
    </row>
    <row r="262">
      <c r="AY262" s="470" t="n"/>
    </row>
    <row r="263">
      <c r="AY263" s="470" t="n"/>
    </row>
    <row r="264">
      <c r="AY264" s="470" t="n"/>
    </row>
    <row r="265">
      <c r="AY265" s="470" t="n"/>
    </row>
    <row r="266">
      <c r="AY266" s="470" t="n"/>
    </row>
    <row r="267">
      <c r="AY267" s="470" t="n"/>
    </row>
    <row r="268">
      <c r="AY268" s="470" t="n"/>
    </row>
    <row r="269">
      <c r="AY269" s="470" t="n"/>
    </row>
    <row r="270">
      <c r="AY270" s="470" t="n"/>
    </row>
    <row r="271">
      <c r="AY271" s="470" t="n"/>
    </row>
    <row r="272">
      <c r="AY272" s="470" t="n"/>
    </row>
    <row r="273">
      <c r="AY273" s="470" t="n"/>
    </row>
    <row r="274">
      <c r="AY274" s="470" t="n"/>
    </row>
    <row r="275">
      <c r="AY275" s="470" t="n"/>
    </row>
    <row r="276">
      <c r="AY276" s="470" t="n"/>
    </row>
    <row r="277">
      <c r="AY277" s="470" t="n"/>
    </row>
    <row r="278">
      <c r="AY278" s="470" t="n"/>
    </row>
    <row r="279">
      <c r="AY279" s="470" t="n"/>
    </row>
    <row r="280">
      <c r="AY280" s="470" t="n"/>
    </row>
    <row r="281">
      <c r="AY281" s="470" t="n"/>
    </row>
    <row r="282">
      <c r="AY282" s="470" t="n"/>
    </row>
    <row r="283">
      <c r="AY283" s="470" t="n"/>
    </row>
    <row r="284">
      <c r="AY284" s="470" t="n"/>
    </row>
    <row r="285">
      <c r="AY285" s="470" t="n"/>
    </row>
    <row r="286">
      <c r="AY286" s="470" t="n"/>
    </row>
    <row r="287">
      <c r="AY287" s="470" t="n"/>
    </row>
    <row r="288">
      <c r="AY288" s="470" t="n"/>
    </row>
    <row r="289">
      <c r="AY289" s="470" t="n"/>
    </row>
    <row r="290">
      <c r="AY290" s="470" t="n"/>
    </row>
    <row r="291">
      <c r="AY291" s="470" t="n"/>
    </row>
    <row r="292">
      <c r="AY292" s="470" t="n"/>
    </row>
    <row r="293">
      <c r="AY293" s="470" t="n"/>
    </row>
    <row r="294">
      <c r="AY294" s="470" t="n"/>
    </row>
    <row r="295">
      <c r="AY295" s="470" t="n"/>
    </row>
    <row r="296">
      <c r="AY296" s="470" t="n"/>
    </row>
    <row r="297">
      <c r="AY297" s="470" t="n"/>
    </row>
    <row r="298">
      <c r="AY298" s="470" t="n"/>
    </row>
    <row r="299">
      <c r="AY299" s="470" t="n"/>
    </row>
    <row r="300">
      <c r="AY300" s="470" t="n"/>
    </row>
    <row r="301">
      <c r="AY301" s="470" t="n"/>
    </row>
    <row r="302">
      <c r="AY302" s="470" t="n"/>
    </row>
    <row r="303">
      <c r="AY303" s="470" t="n"/>
    </row>
    <row r="304">
      <c r="AY304" s="470" t="n"/>
    </row>
    <row r="305">
      <c r="AY305" s="470" t="n"/>
    </row>
    <row r="306">
      <c r="AY306" s="470" t="n"/>
    </row>
    <row r="307">
      <c r="AY307" s="470" t="n"/>
    </row>
    <row r="308">
      <c r="AY308" s="470" t="n"/>
    </row>
    <row r="309">
      <c r="AY309" s="470" t="n"/>
    </row>
    <row r="310">
      <c r="AY310" s="470" t="n"/>
    </row>
    <row r="311">
      <c r="AY311" s="470" t="n"/>
    </row>
    <row r="312">
      <c r="AY312" s="470" t="n"/>
    </row>
    <row r="313">
      <c r="AY313" s="470" t="n"/>
    </row>
    <row r="314">
      <c r="AY314" s="470" t="n"/>
    </row>
    <row r="315">
      <c r="AY315" s="470" t="n"/>
    </row>
    <row r="316">
      <c r="AY316" s="470" t="n"/>
    </row>
    <row r="317">
      <c r="AY317" s="470" t="n"/>
    </row>
    <row r="318">
      <c r="AY318" s="470" t="n"/>
    </row>
    <row r="319">
      <c r="AY319" s="470" t="n"/>
    </row>
    <row r="320">
      <c r="AY320" s="470" t="n"/>
    </row>
    <row r="321">
      <c r="AY321" s="470" t="n"/>
    </row>
    <row r="322">
      <c r="AY322" s="470" t="n"/>
    </row>
    <row r="323">
      <c r="AY323" s="470" t="n"/>
    </row>
    <row r="324">
      <c r="AY324" s="470" t="n"/>
    </row>
    <row r="325">
      <c r="AY325" s="470" t="n"/>
    </row>
    <row r="326">
      <c r="AY326" s="470" t="n"/>
    </row>
    <row r="327">
      <c r="AY327" s="495" t="n"/>
    </row>
    <row r="328">
      <c r="AY328" s="496" t="n"/>
    </row>
  </sheetData>
  <mergeCells count="5">
    <mergeCell ref="I3:L3"/>
    <mergeCell ref="AB62:AF62"/>
    <mergeCell ref="W62:Y62"/>
    <mergeCell ref="AT7:AV7"/>
    <mergeCell ref="B1:AO1"/>
  </mergeCells>
  <conditionalFormatting sqref="K34:K44">
    <cfRule type="cellIs" priority="475" operator="equal" dxfId="1">
      <formula>"NO"</formula>
    </cfRule>
    <cfRule type="cellIs" priority="476" operator="equal" dxfId="0">
      <formula>"YES"</formula>
    </cfRule>
  </conditionalFormatting>
  <conditionalFormatting sqref="K48:K54">
    <cfRule type="cellIs" priority="128" operator="equal" dxfId="1">
      <formula>"NO"</formula>
    </cfRule>
    <cfRule type="cellIs" priority="129" operator="equal" dxfId="0">
      <formula>"YES"</formula>
    </cfRule>
  </conditionalFormatting>
  <conditionalFormatting sqref="W63">
    <cfRule type="cellIs" priority="495" operator="equal" dxfId="2">
      <formula>"NO-OOS"</formula>
    </cfRule>
    <cfRule type="cellIs" priority="496" operator="equal" dxfId="1">
      <formula>"NO-CO"</formula>
    </cfRule>
    <cfRule type="cellIs" priority="497" operator="equal" dxfId="0">
      <formula>"YES"</formula>
    </cfRule>
    <cfRule type="cellIs" priority="498" operator="equal" dxfId="1">
      <formula>"NO"</formula>
    </cfRule>
  </conditionalFormatting>
  <conditionalFormatting sqref="AB63">
    <cfRule type="cellIs" priority="490" operator="equal" dxfId="2">
      <formula>"NO-OOS"</formula>
    </cfRule>
    <cfRule type="cellIs" priority="491" operator="equal" dxfId="1">
      <formula>"NO-CO"</formula>
    </cfRule>
    <cfRule type="cellIs" priority="492" operator="equal" dxfId="0">
      <formula>"YES"</formula>
    </cfRule>
    <cfRule type="cellIs" priority="493" operator="equal" dxfId="1">
      <formula>"NO"</formula>
    </cfRule>
  </conditionalFormatting>
  <conditionalFormatting sqref="AG9:AG54">
    <cfRule type="cellIs" priority="85" operator="equal" dxfId="2">
      <formula>"N/A - (OOS)"</formula>
    </cfRule>
    <cfRule type="cellIs" priority="86" operator="equal" dxfId="0">
      <formula>"YES"</formula>
    </cfRule>
    <cfRule type="cellIs" priority="87" operator="equal" dxfId="1">
      <formula>"NO"</formula>
    </cfRule>
  </conditionalFormatting>
  <conditionalFormatting sqref="AI9:AI54">
    <cfRule type="cellIs" priority="93" operator="equal" dxfId="1">
      <formula>"NO"</formula>
    </cfRule>
  </conditionalFormatting>
  <conditionalFormatting sqref="AI9:AJ54">
    <cfRule type="cellIs" priority="94" operator="equal" dxfId="0">
      <formula>"YES"</formula>
    </cfRule>
  </conditionalFormatting>
  <conditionalFormatting sqref="AJ9:AJ54">
    <cfRule type="cellIs" priority="463" operator="equal" dxfId="2">
      <formula>"NO-OOS"</formula>
    </cfRule>
    <cfRule type="cellIs" priority="464" operator="equal" dxfId="1">
      <formula>"NO-TX"</formula>
    </cfRule>
  </conditionalFormatting>
  <conditionalFormatting sqref="AK11 AK26 AN26">
    <cfRule type="cellIs" priority="534" operator="equal" dxfId="0">
      <formula>"NO"</formula>
    </cfRule>
    <cfRule type="cellIs" priority="535" operator="equal" dxfId="1">
      <formula>"YES"</formula>
    </cfRule>
  </conditionalFormatting>
  <conditionalFormatting sqref="AK14:AK18 AN15:AN18">
    <cfRule type="cellIs" priority="504" operator="equal" dxfId="1">
      <formula>"NO"</formula>
    </cfRule>
    <cfRule type="cellIs" priority="505" operator="equal" dxfId="0">
      <formula>"YES"</formula>
    </cfRule>
  </conditionalFormatting>
  <conditionalFormatting sqref="AK23 AN23">
    <cfRule type="cellIs" priority="528" operator="equal" dxfId="1">
      <formula>"NO"</formula>
    </cfRule>
    <cfRule type="cellIs" priority="529" operator="equal" dxfId="0">
      <formula>"YES"</formula>
    </cfRule>
  </conditionalFormatting>
  <conditionalFormatting sqref="AK25 AN25">
    <cfRule type="cellIs" priority="526" operator="equal" dxfId="1">
      <formula>"NO"</formula>
    </cfRule>
    <cfRule type="cellIs" priority="527" operator="equal" dxfId="0">
      <formula>"YES"</formula>
    </cfRule>
  </conditionalFormatting>
  <conditionalFormatting sqref="AK28 AN28">
    <cfRule type="cellIs" priority="532" operator="equal" dxfId="1">
      <formula>"NO"</formula>
    </cfRule>
    <cfRule type="cellIs" priority="533" operator="equal" dxfId="0">
      <formula>"YES"</formula>
    </cfRule>
  </conditionalFormatting>
  <conditionalFormatting sqref="AK34 AN34">
    <cfRule type="cellIs" priority="469" operator="equal" dxfId="1">
      <formula>"NO"</formula>
    </cfRule>
    <cfRule type="cellIs" priority="470" operator="equal" dxfId="0">
      <formula>"YES"</formula>
    </cfRule>
  </conditionalFormatting>
  <conditionalFormatting sqref="AK36 AN36">
    <cfRule type="cellIs" priority="467" operator="equal" dxfId="1">
      <formula>"NO"</formula>
    </cfRule>
    <cfRule type="cellIs" priority="468" operator="equal" dxfId="0">
      <formula>"YES"</formula>
    </cfRule>
  </conditionalFormatting>
  <conditionalFormatting sqref="AK37 AN37">
    <cfRule type="cellIs" priority="473" operator="equal" dxfId="0">
      <formula>"NO"</formula>
    </cfRule>
    <cfRule type="cellIs" priority="474" operator="equal" dxfId="1">
      <formula>"YES"</formula>
    </cfRule>
  </conditionalFormatting>
  <conditionalFormatting sqref="AK39 AN39">
    <cfRule type="cellIs" priority="471" operator="equal" dxfId="1">
      <formula>"NO"</formula>
    </cfRule>
    <cfRule type="cellIs" priority="472" operator="equal" dxfId="0">
      <formula>"YES"</formula>
    </cfRule>
  </conditionalFormatting>
  <conditionalFormatting sqref="AK45:AK54 AN45:AN54">
    <cfRule type="cellIs" priority="124" operator="equal" dxfId="1">
      <formula>"NO"</formula>
    </cfRule>
    <cfRule type="cellIs" priority="125" operator="equal" dxfId="0">
      <formula>"YES"</formula>
    </cfRule>
  </conditionalFormatting>
  <conditionalFormatting sqref="AK9:AN10 AK27:AN27">
    <cfRule type="cellIs" priority="3" operator="equal" dxfId="0">
      <formula>"NO"</formula>
    </cfRule>
    <cfRule type="cellIs" priority="4" operator="equal" dxfId="1">
      <formula>"YES"</formula>
    </cfRule>
  </conditionalFormatting>
  <conditionalFormatting sqref="B55:G55 AL11:AM26">
    <cfRule type="cellIs" priority="540" operator="equal" dxfId="0">
      <formula>"NO"</formula>
    </cfRule>
    <cfRule type="cellIs" priority="541" operator="equal" dxfId="1">
      <formula>"YES"</formula>
    </cfRule>
  </conditionalFormatting>
  <conditionalFormatting sqref="AL28:AM42">
    <cfRule type="cellIs" priority="465" operator="equal" dxfId="0">
      <formula>"NO"</formula>
    </cfRule>
    <cfRule type="cellIs" priority="466" operator="equal" dxfId="1">
      <formula>"YES"</formula>
    </cfRule>
  </conditionalFormatting>
  <conditionalFormatting sqref="AL44:AM54">
    <cfRule type="cellIs" priority="117" operator="equal" dxfId="0">
      <formula>"NO"</formula>
    </cfRule>
    <cfRule type="cellIs" priority="118" operator="equal" dxfId="1">
      <formula>"YES"</formula>
    </cfRule>
  </conditionalFormatting>
  <conditionalFormatting sqref="AL43:AN43">
    <cfRule type="cellIs" priority="5" operator="equal" dxfId="0">
      <formula>"NO"</formula>
    </cfRule>
    <cfRule type="cellIs" priority="6" operator="equal" dxfId="1">
      <formula>"YES"</formula>
    </cfRule>
  </conditionalFormatting>
  <conditionalFormatting sqref="AN11:AN14">
    <cfRule type="cellIs" priority="512" operator="equal" dxfId="0">
      <formula>"NO"</formula>
    </cfRule>
    <cfRule type="cellIs" priority="513" operator="equal" dxfId="1">
      <formula>"YES"</formula>
    </cfRule>
  </conditionalFormatting>
  <conditionalFormatting sqref="AQ9:AQ54">
    <cfRule type="cellIs" priority="1" operator="equal" dxfId="1">
      <formula>"NO"</formula>
    </cfRule>
    <cfRule type="cellIs" priority="2" operator="equal" dxfId="0">
      <formula>"YES"</formula>
    </cfRule>
  </conditionalFormatting>
  <dataValidations count="1">
    <dataValidation sqref="W63 AB63 AJ3:AJ5 AL2 AL6" showDropDown="0" showInputMessage="1" showErrorMessage="1" allowBlank="1" type="list"/>
  </dataValidations>
  <pageMargins left="0.7" right="0.7" top="0.75" bottom="0.75" header="0.3" footer="0.3"/>
  <pageSetup orientation="portrait" scale="17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baseColWidth="8" defaultColWidth="9.140625" defaultRowHeight="15"/>
  <cols>
    <col width="2.5703125" customWidth="1" style="358" min="1" max="1"/>
    <col width="9.140625" customWidth="1" style="9" min="2" max="2"/>
    <col width="16.5703125" customWidth="1" style="109" min="3" max="3"/>
    <col width="22" bestFit="1" customWidth="1" style="422" min="4" max="4"/>
    <col width="22.42578125" bestFit="1" customWidth="1" style="27" min="5" max="5"/>
    <col width="26" bestFit="1" customWidth="1" style="27" min="6" max="6"/>
    <col width="20.140625" customWidth="1" style="479" min="7" max="10"/>
    <col width="18.140625" customWidth="1" style="479" min="11" max="11"/>
    <col width="18.5703125" customWidth="1" style="479" min="12" max="12"/>
    <col width="31" customWidth="1" style="68" min="13" max="14"/>
    <col width="17.42578125" customWidth="1" style="119" min="15" max="15"/>
    <col width="17.28515625" customWidth="1" style="422" min="16" max="16"/>
    <col width="12.7109375" customWidth="1" style="422" min="17" max="17"/>
    <col width="19.5703125" customWidth="1" style="422" min="18" max="18"/>
    <col width="19.140625" customWidth="1" style="422" min="19" max="19"/>
    <col width="13.85546875" customWidth="1" style="32" min="20" max="20"/>
    <col width="30.7109375" customWidth="1" style="32" min="21" max="21"/>
    <col width="28.28515625" customWidth="1" style="422" min="22" max="22"/>
    <col width="18.140625" customWidth="1" style="422" min="23" max="23"/>
    <col width="9.28515625" customWidth="1" style="422" min="24" max="24"/>
    <col width="8.28515625" customWidth="1" style="422" min="25" max="25"/>
    <col width="19.28515625" customWidth="1" style="32" min="26" max="26"/>
    <col width="15.5703125" customWidth="1" style="358" min="27" max="27"/>
    <col width="55" customWidth="1" style="32" min="28" max="28"/>
    <col width="12.7109375" bestFit="1" customWidth="1" style="422" min="30" max="30"/>
    <col width="24.7109375" customWidth="1" style="422" min="31" max="31"/>
  </cols>
  <sheetData>
    <row r="1" ht="15.75" customHeight="1" s="358">
      <c r="B1" s="431" t="n"/>
      <c r="AC1" s="431" t="n"/>
      <c r="AD1" s="431" t="n"/>
      <c r="AE1" s="431" t="n"/>
    </row>
    <row r="2" ht="15.75" customHeight="1" s="358">
      <c r="B2" s="431" t="n"/>
      <c r="C2" s="431" t="n"/>
      <c r="D2" s="431" t="n"/>
      <c r="E2" s="25" t="n"/>
      <c r="F2" s="25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31" t="n"/>
      <c r="W2" s="31" t="n"/>
      <c r="X2" s="31" t="n"/>
      <c r="Y2" s="431" t="n"/>
      <c r="Z2" s="431" t="n"/>
      <c r="AA2" s="31" t="n"/>
      <c r="AB2" s="31" t="n"/>
      <c r="AC2" s="431" t="n"/>
      <c r="AD2" s="431" t="n"/>
      <c r="AE2" s="431" t="n"/>
    </row>
    <row r="3" ht="15.75" customHeight="1" s="358">
      <c r="C3" s="9" t="n"/>
      <c r="D3" s="431" t="n"/>
      <c r="E3" s="25" t="n"/>
      <c r="F3" s="25" t="n"/>
      <c r="O3" s="422" t="n"/>
      <c r="T3" s="422" t="n"/>
      <c r="V3" s="32" t="n"/>
      <c r="W3" s="32" t="n"/>
      <c r="X3" s="32" t="n"/>
      <c r="Z3" s="422" t="n"/>
      <c r="AA3" s="32" t="n"/>
    </row>
    <row r="4" ht="18.75" customHeight="1" s="358">
      <c r="C4" s="9" t="n"/>
      <c r="D4" s="431" t="n"/>
      <c r="E4" s="25" t="n"/>
      <c r="F4" s="25" t="n"/>
      <c r="O4" s="422" t="n"/>
      <c r="R4" s="5" t="n"/>
      <c r="S4" s="5" t="n"/>
      <c r="T4" s="422" t="n"/>
      <c r="U4" s="4" t="n"/>
      <c r="V4" s="4" t="n"/>
      <c r="W4" s="4" t="n"/>
      <c r="X4" s="4" t="n"/>
      <c r="Y4" s="420" t="n"/>
      <c r="Z4" s="420" t="n"/>
      <c r="AA4" s="4" t="n"/>
      <c r="AB4" s="4" t="n"/>
      <c r="AC4" s="4" t="n"/>
      <c r="AD4" s="420" t="n"/>
      <c r="AE4" s="420" t="n"/>
    </row>
    <row r="5" ht="18.75" customHeight="1" s="358">
      <c r="C5" s="9" t="n"/>
      <c r="D5" s="15" t="n"/>
      <c r="E5" s="4" t="n"/>
      <c r="F5" s="4" t="n"/>
      <c r="O5" s="422" t="n"/>
      <c r="R5" s="5" t="n"/>
      <c r="S5" s="5" t="n"/>
      <c r="T5" s="422" t="n"/>
      <c r="U5" s="4" t="n"/>
      <c r="V5" s="4" t="n"/>
      <c r="W5" s="4" t="n"/>
      <c r="X5" s="4" t="n"/>
      <c r="Y5" s="420" t="n"/>
      <c r="Z5" s="420" t="n"/>
      <c r="AA5" s="4" t="n"/>
      <c r="AB5" s="4" t="n"/>
      <c r="AC5" s="4" t="n"/>
      <c r="AD5" s="420" t="n"/>
      <c r="AE5" s="420" t="n"/>
    </row>
    <row r="6" ht="18.75" customHeight="1" s="358">
      <c r="C6" s="9" t="n"/>
      <c r="D6" s="15" t="n"/>
      <c r="E6" s="4" t="n"/>
      <c r="F6" s="4" t="n"/>
      <c r="O6" s="422" t="n"/>
      <c r="R6" s="5" t="n"/>
      <c r="S6" s="5" t="n"/>
      <c r="T6" s="422" t="n"/>
      <c r="U6" s="4" t="n"/>
      <c r="V6" s="4" t="n"/>
      <c r="W6" s="4" t="n"/>
      <c r="X6" s="4" t="n"/>
      <c r="Y6" s="420" t="n"/>
      <c r="Z6" s="420" t="n"/>
      <c r="AA6" s="4" t="n"/>
      <c r="AB6" s="4" t="n"/>
      <c r="AC6" s="4" t="n"/>
      <c r="AD6" s="420" t="n"/>
      <c r="AE6" s="420" t="n"/>
    </row>
    <row r="7">
      <c r="C7" s="103" t="n"/>
      <c r="D7" s="103" t="n"/>
      <c r="F7" s="27" t="inlineStr">
        <is>
          <t>Pay period to Check Number</t>
        </is>
      </c>
      <c r="K7" s="480" t="n"/>
      <c r="P7" s="480" t="n"/>
      <c r="Q7" s="480" t="n"/>
      <c r="R7" s="480" t="n"/>
      <c r="S7" s="480" t="n"/>
      <c r="T7" s="480" t="n"/>
      <c r="U7" s="480" t="n"/>
      <c r="V7" s="480" t="n"/>
      <c r="W7" s="480" t="n"/>
      <c r="X7" s="480" t="n"/>
      <c r="Y7" s="480" t="n"/>
      <c r="Z7" s="480" t="n"/>
      <c r="AA7" s="480" t="n"/>
      <c r="AB7" s="480" t="n"/>
      <c r="AD7" s="480" t="n"/>
      <c r="AE7" s="480" t="n"/>
    </row>
    <row r="8" ht="18" customFormat="1" customHeight="1" s="7">
      <c r="A8" s="7" t="inlineStr">
        <is>
          <t xml:space="preserve"> -</t>
        </is>
      </c>
      <c r="B8" s="306" t="inlineStr">
        <is>
          <t>ITEM #</t>
        </is>
      </c>
      <c r="C8" s="298" t="inlineStr">
        <is>
          <t>PO #</t>
        </is>
      </c>
      <c r="D8" s="305" t="inlineStr">
        <is>
          <t>Invoice #</t>
        </is>
      </c>
      <c r="E8" s="308" t="inlineStr">
        <is>
          <t>Pay Period/Invoice Date</t>
        </is>
      </c>
      <c r="F8" s="300" t="inlineStr">
        <is>
          <t>Check Number</t>
        </is>
      </c>
      <c r="G8" s="497" t="inlineStr">
        <is>
          <t>Gross Wages</t>
        </is>
      </c>
      <c r="H8" s="497" t="inlineStr">
        <is>
          <t>Mileage</t>
        </is>
      </c>
      <c r="I8" s="497" t="inlineStr">
        <is>
          <t>Kit Rental</t>
        </is>
      </c>
      <c r="J8" s="497" t="inlineStr">
        <is>
          <t>Other</t>
        </is>
      </c>
      <c r="K8" s="498" t="inlineStr">
        <is>
          <t>Total Ineligible</t>
        </is>
      </c>
      <c r="L8" s="497" t="inlineStr">
        <is>
          <t>Submitted Amount $</t>
        </is>
      </c>
      <c r="M8" s="311" t="inlineStr">
        <is>
          <t>Crew Name (Last, First)</t>
        </is>
      </c>
      <c r="N8" s="311" t="inlineStr">
        <is>
          <t>Crew Position</t>
        </is>
      </c>
      <c r="O8" s="307" t="inlineStr">
        <is>
          <t>Valid DTR Form</t>
        </is>
      </c>
      <c r="P8" s="342" t="inlineStr">
        <is>
          <t>Pymt Method</t>
        </is>
      </c>
      <c r="Q8" s="342" t="inlineStr">
        <is>
          <t>Pymt #</t>
        </is>
      </c>
      <c r="R8" s="342" t="inlineStr">
        <is>
          <t>Proof of Payment?</t>
        </is>
      </c>
      <c r="S8" s="342" t="inlineStr">
        <is>
          <t>Payment Entity</t>
        </is>
      </c>
      <c r="T8" s="342" t="inlineStr">
        <is>
          <t>Type</t>
        </is>
      </c>
      <c r="U8" s="342" t="inlineStr">
        <is>
          <t>Description</t>
        </is>
      </c>
      <c r="V8" s="342" t="inlineStr">
        <is>
          <t>Address</t>
        </is>
      </c>
      <c r="W8" s="342" t="inlineStr">
        <is>
          <t xml:space="preserve">City </t>
        </is>
      </c>
      <c r="X8" s="342" t="inlineStr">
        <is>
          <t>State</t>
        </is>
      </c>
      <c r="Y8" s="342" t="inlineStr">
        <is>
          <t>Zip</t>
        </is>
      </c>
      <c r="Z8" s="342" t="inlineStr">
        <is>
          <t>Contact #</t>
        </is>
      </c>
      <c r="AA8" s="342" t="inlineStr">
        <is>
          <t>Qualify?</t>
        </is>
      </c>
      <c r="AB8" s="344" t="inlineStr">
        <is>
          <t>Notes:</t>
        </is>
      </c>
      <c r="AD8" s="344" t="inlineStr">
        <is>
          <t>On Call Sheet</t>
        </is>
      </c>
      <c r="AE8" s="344" t="inlineStr">
        <is>
          <t>Name on Call sheet</t>
        </is>
      </c>
    </row>
    <row r="9">
      <c r="B9" s="11" t="n">
        <v>1</v>
      </c>
      <c r="C9" s="287" t="n"/>
      <c r="D9" s="84" t="n"/>
      <c r="E9" s="454" t="n"/>
      <c r="F9" s="454" t="n"/>
      <c r="G9" s="466" t="n">
        <v>0</v>
      </c>
      <c r="H9" s="466" t="n">
        <v>0</v>
      </c>
      <c r="I9" s="466" t="n">
        <v>0</v>
      </c>
      <c r="J9" s="466" t="n">
        <v>0</v>
      </c>
      <c r="K9" s="467" t="n">
        <v>0</v>
      </c>
      <c r="L9" s="466">
        <f>SUM(G9:J9)-K9</f>
        <v/>
      </c>
      <c r="M9" s="36" t="n"/>
      <c r="N9" s="36" t="n"/>
      <c r="O9" s="29" t="n"/>
      <c r="P9" s="1" t="n"/>
      <c r="Q9" s="1" t="n"/>
      <c r="R9" s="136" t="n"/>
      <c r="S9" s="1" t="n"/>
      <c r="T9" s="1" t="n"/>
      <c r="U9" s="36" t="n"/>
      <c r="V9" s="36" t="n"/>
      <c r="W9" s="29" t="n"/>
      <c r="X9" s="29" t="n"/>
      <c r="Y9" s="73" t="n"/>
      <c r="Z9" s="499" t="n"/>
      <c r="AA9" s="43" t="n"/>
      <c r="AB9" s="36" t="n"/>
      <c r="AD9" s="268" t="n"/>
      <c r="AE9" s="29" t="n"/>
    </row>
    <row r="10" ht="15" customHeight="1" s="358">
      <c r="B10" s="11" t="n">
        <v>2</v>
      </c>
      <c r="C10" s="287" t="n"/>
      <c r="D10" s="84" t="n"/>
      <c r="E10" s="454" t="n"/>
      <c r="F10" s="454" t="n"/>
      <c r="G10" s="466" t="n">
        <v>0</v>
      </c>
      <c r="H10" s="466" t="n">
        <v>0</v>
      </c>
      <c r="I10" s="466" t="n">
        <v>0</v>
      </c>
      <c r="J10" s="466" t="n">
        <v>0</v>
      </c>
      <c r="K10" s="467" t="n">
        <v>0</v>
      </c>
      <c r="L10" s="466">
        <f>SUM(G10:J10)-K10</f>
        <v/>
      </c>
      <c r="M10" s="36" t="n"/>
      <c r="N10" s="36" t="n"/>
      <c r="O10" s="29" t="n"/>
      <c r="P10" s="1" t="n"/>
      <c r="Q10" s="1" t="n"/>
      <c r="R10" s="136" t="n"/>
      <c r="S10" s="1" t="n"/>
      <c r="T10" s="1" t="n"/>
      <c r="U10" s="36" t="n"/>
      <c r="V10" s="36" t="n"/>
      <c r="W10" s="29" t="n"/>
      <c r="X10" s="29" t="n"/>
      <c r="Y10" s="29" t="n"/>
      <c r="Z10" s="499" t="n"/>
      <c r="AA10" s="43" t="n"/>
      <c r="AB10" s="36" t="n"/>
      <c r="AD10" s="268" t="n"/>
      <c r="AE10" s="29" t="n"/>
    </row>
    <row r="11" ht="15" customHeight="1" s="358">
      <c r="B11" s="11" t="n">
        <v>3</v>
      </c>
      <c r="C11" s="287" t="n"/>
      <c r="D11" s="85" t="n"/>
      <c r="E11" s="454" t="n"/>
      <c r="F11" s="454" t="n"/>
      <c r="G11" s="466" t="n">
        <v>0</v>
      </c>
      <c r="H11" s="466" t="n">
        <v>0</v>
      </c>
      <c r="I11" s="466" t="n">
        <v>0</v>
      </c>
      <c r="J11" s="466" t="n">
        <v>0</v>
      </c>
      <c r="K11" s="467" t="n">
        <v>0</v>
      </c>
      <c r="L11" s="466">
        <f>SUM(G11:J11)-K11</f>
        <v/>
      </c>
      <c r="M11" s="36" t="n"/>
      <c r="N11" s="36" t="n"/>
      <c r="O11" s="29" t="n"/>
      <c r="P11" s="1" t="n"/>
      <c r="Q11" s="1" t="n"/>
      <c r="R11" s="136" t="n"/>
      <c r="S11" s="1" t="n"/>
      <c r="T11" s="1" t="n"/>
      <c r="U11" s="36" t="n"/>
      <c r="V11" s="36" t="n"/>
      <c r="W11" s="29" t="n"/>
      <c r="X11" s="29" t="n"/>
      <c r="Y11" s="29" t="n"/>
      <c r="Z11" s="499" t="n"/>
      <c r="AA11" s="43" t="n"/>
      <c r="AB11" s="36" t="n"/>
      <c r="AD11" s="268" t="n"/>
      <c r="AE11" s="29" t="n"/>
    </row>
    <row r="12">
      <c r="B12" s="11" t="n">
        <v>4</v>
      </c>
      <c r="C12" s="287" t="n"/>
      <c r="D12" s="86" t="n"/>
      <c r="E12" s="454" t="n"/>
      <c r="F12" s="454" t="n"/>
      <c r="G12" s="466" t="n">
        <v>0</v>
      </c>
      <c r="H12" s="466" t="n">
        <v>0</v>
      </c>
      <c r="I12" s="466" t="n">
        <v>0</v>
      </c>
      <c r="J12" s="466" t="n">
        <v>0</v>
      </c>
      <c r="K12" s="467" t="n">
        <v>0</v>
      </c>
      <c r="L12" s="466">
        <f>SUM(G12:J12)-K12</f>
        <v/>
      </c>
      <c r="M12" s="36" t="n"/>
      <c r="N12" s="36" t="n"/>
      <c r="O12" s="29" t="n"/>
      <c r="P12" s="1" t="n"/>
      <c r="Q12" s="1" t="n"/>
      <c r="R12" s="136" t="n"/>
      <c r="S12" s="1" t="n"/>
      <c r="T12" s="1" t="n"/>
      <c r="U12" s="36" t="n"/>
      <c r="V12" s="36" t="n"/>
      <c r="W12" s="29" t="n"/>
      <c r="X12" s="29" t="n"/>
      <c r="Y12" s="29" t="n"/>
      <c r="Z12" s="499" t="n"/>
      <c r="AA12" s="43" t="n"/>
      <c r="AB12" s="36" t="n"/>
      <c r="AD12" s="268" t="n"/>
      <c r="AE12" s="29" t="n"/>
    </row>
    <row r="13" ht="15" customHeight="1" s="358">
      <c r="B13" s="11" t="n">
        <v>5</v>
      </c>
      <c r="C13" s="287" t="n"/>
      <c r="D13" s="86" t="n"/>
      <c r="E13" s="454" t="n"/>
      <c r="F13" s="454" t="n"/>
      <c r="G13" s="466" t="n">
        <v>0</v>
      </c>
      <c r="H13" s="466" t="n">
        <v>0</v>
      </c>
      <c r="I13" s="466" t="n">
        <v>0</v>
      </c>
      <c r="J13" s="466" t="n">
        <v>0</v>
      </c>
      <c r="K13" s="467" t="n">
        <v>0</v>
      </c>
      <c r="L13" s="466">
        <f>SUM(G13:J13)-K13</f>
        <v/>
      </c>
      <c r="M13" s="36" t="n"/>
      <c r="N13" s="36" t="n"/>
      <c r="O13" s="287" t="n"/>
      <c r="P13" s="1" t="n"/>
      <c r="Q13" s="1" t="n"/>
      <c r="R13" s="136" t="n"/>
      <c r="S13" s="1" t="n"/>
      <c r="T13" s="1" t="n"/>
      <c r="U13" s="36" t="n"/>
      <c r="V13" s="36" t="n"/>
      <c r="W13" s="29" t="n"/>
      <c r="X13" s="29" t="n"/>
      <c r="Y13" s="29" t="n"/>
      <c r="Z13" s="499" t="n"/>
      <c r="AA13" s="43" t="n"/>
      <c r="AB13" s="36" t="n"/>
      <c r="AD13" s="268" t="n"/>
      <c r="AE13" s="29" t="n"/>
    </row>
    <row r="14">
      <c r="B14" s="11" t="n">
        <v>6</v>
      </c>
      <c r="C14" s="287" t="n"/>
      <c r="D14" s="84" t="n"/>
      <c r="E14" s="454" t="n"/>
      <c r="F14" s="454" t="n"/>
      <c r="G14" s="466" t="n">
        <v>0</v>
      </c>
      <c r="H14" s="466" t="n">
        <v>0</v>
      </c>
      <c r="I14" s="466" t="n">
        <v>0</v>
      </c>
      <c r="J14" s="466" t="n">
        <v>0</v>
      </c>
      <c r="K14" s="467" t="n">
        <v>0</v>
      </c>
      <c r="L14" s="466">
        <f>SUM(G14:J14)-K14</f>
        <v/>
      </c>
      <c r="M14" s="36" t="n"/>
      <c r="N14" s="36" t="n"/>
      <c r="O14" s="29" t="n"/>
      <c r="P14" s="1" t="n"/>
      <c r="Q14" s="1" t="n"/>
      <c r="R14" s="136" t="n"/>
      <c r="S14" s="1" t="n"/>
      <c r="T14" s="1" t="n"/>
      <c r="V14" s="36" t="n"/>
      <c r="W14" s="29" t="n"/>
      <c r="X14" s="29" t="n"/>
      <c r="Y14" s="29" t="n"/>
      <c r="Z14" s="499" t="n"/>
      <c r="AA14" s="43" t="n"/>
      <c r="AB14" s="36" t="n"/>
      <c r="AD14" s="268" t="n"/>
      <c r="AE14" s="29" t="n"/>
    </row>
    <row r="15">
      <c r="B15" s="11" t="n">
        <v>7</v>
      </c>
      <c r="C15" s="287" t="n"/>
      <c r="D15" s="84" t="n"/>
      <c r="E15" s="454" t="n"/>
      <c r="F15" s="454" t="n"/>
      <c r="G15" s="466" t="n">
        <v>0</v>
      </c>
      <c r="H15" s="466" t="n">
        <v>0</v>
      </c>
      <c r="I15" s="466" t="n">
        <v>0</v>
      </c>
      <c r="J15" s="466" t="n">
        <v>0</v>
      </c>
      <c r="K15" s="467" t="n">
        <v>0</v>
      </c>
      <c r="L15" s="466">
        <f>SUM(G15:J15)-K15</f>
        <v/>
      </c>
      <c r="M15" s="36" t="n"/>
      <c r="N15" s="36" t="n"/>
      <c r="O15" s="29" t="n"/>
      <c r="P15" s="1" t="n"/>
      <c r="Q15" s="1" t="n"/>
      <c r="R15" s="136" t="n"/>
      <c r="S15" s="1" t="n"/>
      <c r="T15" s="1" t="n"/>
      <c r="U15" s="36" t="n"/>
      <c r="V15" s="36" t="n"/>
      <c r="W15" s="29" t="n"/>
      <c r="X15" s="29" t="n"/>
      <c r="Y15" s="29" t="n"/>
      <c r="Z15" s="499" t="n"/>
      <c r="AA15" s="43" t="n"/>
      <c r="AB15" s="36" t="n"/>
      <c r="AD15" s="268" t="n"/>
      <c r="AE15" s="29" t="n"/>
    </row>
    <row r="16" ht="15" customHeight="1" s="358">
      <c r="B16" s="11" t="n">
        <v>8</v>
      </c>
      <c r="C16" s="287" t="n"/>
      <c r="D16" s="85" t="n"/>
      <c r="E16" s="454" t="n"/>
      <c r="F16" s="454" t="n"/>
      <c r="G16" s="466" t="n">
        <v>0</v>
      </c>
      <c r="H16" s="466" t="n">
        <v>0</v>
      </c>
      <c r="I16" s="466" t="n">
        <v>0</v>
      </c>
      <c r="J16" s="466" t="n">
        <v>0</v>
      </c>
      <c r="K16" s="467" t="n">
        <v>0</v>
      </c>
      <c r="L16" s="466">
        <f>SUM(G16:J16)-K16</f>
        <v/>
      </c>
      <c r="M16" s="36" t="n"/>
      <c r="N16" s="36" t="n"/>
      <c r="O16" s="29" t="n"/>
      <c r="P16" s="1" t="n"/>
      <c r="Q16" s="1" t="n"/>
      <c r="R16" s="136" t="n"/>
      <c r="S16" s="1" t="n"/>
      <c r="T16" s="1" t="n"/>
      <c r="U16" s="36" t="n"/>
      <c r="V16" s="36" t="n"/>
      <c r="W16" s="29" t="n"/>
      <c r="X16" s="29" t="n"/>
      <c r="Y16" s="73" t="n"/>
      <c r="Z16" s="499" t="n"/>
      <c r="AA16" s="43" t="n"/>
      <c r="AB16" s="36" t="n"/>
      <c r="AD16" s="268" t="n"/>
      <c r="AE16" s="29" t="n"/>
    </row>
    <row r="17">
      <c r="B17" s="11" t="n">
        <v>9</v>
      </c>
      <c r="C17" s="287" t="n"/>
      <c r="D17" s="85" t="n"/>
      <c r="E17" s="454" t="n"/>
      <c r="F17" s="454" t="n"/>
      <c r="G17" s="466" t="n">
        <v>0</v>
      </c>
      <c r="H17" s="466" t="n">
        <v>0</v>
      </c>
      <c r="I17" s="466" t="n">
        <v>0</v>
      </c>
      <c r="J17" s="466" t="n">
        <v>0</v>
      </c>
      <c r="K17" s="467" t="n">
        <v>0</v>
      </c>
      <c r="L17" s="466">
        <f>SUM(G17:J17)-K17</f>
        <v/>
      </c>
      <c r="M17" s="36" t="n"/>
      <c r="N17" s="36" t="n"/>
      <c r="O17" s="29" t="n"/>
      <c r="P17" s="1" t="n"/>
      <c r="Q17" s="1" t="n"/>
      <c r="R17" s="136" t="n"/>
      <c r="S17" s="1" t="n"/>
      <c r="T17" s="1" t="n"/>
      <c r="U17" s="36" t="n"/>
      <c r="V17" s="36" t="n"/>
      <c r="W17" s="29" t="n"/>
      <c r="X17" s="29" t="n"/>
      <c r="Y17" s="73" t="n"/>
      <c r="Z17" s="499" t="n"/>
      <c r="AA17" s="43" t="n"/>
      <c r="AB17" s="36" t="n"/>
      <c r="AD17" s="268" t="n"/>
      <c r="AE17" s="29" t="n"/>
    </row>
    <row r="18">
      <c r="B18" s="11" t="n">
        <v>10</v>
      </c>
      <c r="C18" s="287" t="n"/>
      <c r="D18" s="85" t="n"/>
      <c r="E18" s="454" t="n"/>
      <c r="F18" s="454" t="n"/>
      <c r="G18" s="466" t="n">
        <v>0</v>
      </c>
      <c r="H18" s="466" t="n">
        <v>0</v>
      </c>
      <c r="I18" s="466" t="n">
        <v>0</v>
      </c>
      <c r="J18" s="466" t="n">
        <v>0</v>
      </c>
      <c r="K18" s="467" t="n">
        <v>0</v>
      </c>
      <c r="L18" s="466">
        <f>SUM(G18:J18)-K18</f>
        <v/>
      </c>
      <c r="M18" s="36" t="n"/>
      <c r="N18" s="36" t="n"/>
      <c r="O18" s="29" t="n"/>
      <c r="P18" s="1" t="n"/>
      <c r="Q18" s="1" t="n"/>
      <c r="R18" s="136" t="n"/>
      <c r="S18" s="1" t="n"/>
      <c r="T18" s="1" t="n"/>
      <c r="U18" s="36" t="n"/>
      <c r="V18" s="36" t="n"/>
      <c r="W18" s="29" t="n"/>
      <c r="X18" s="29" t="n"/>
      <c r="Y18" s="73" t="n"/>
      <c r="Z18" s="499" t="n"/>
      <c r="AA18" s="43" t="n"/>
      <c r="AB18" s="36" t="n"/>
      <c r="AD18" s="268" t="n"/>
      <c r="AE18" s="29" t="n"/>
    </row>
    <row r="19" ht="15" customHeight="1" s="358">
      <c r="B19" s="11" t="n">
        <v>11</v>
      </c>
      <c r="C19" s="287" t="n"/>
      <c r="D19" s="85" t="n"/>
      <c r="E19" s="454" t="n"/>
      <c r="F19" s="454" t="n"/>
      <c r="G19" s="466" t="n">
        <v>0</v>
      </c>
      <c r="H19" s="466" t="n">
        <v>0</v>
      </c>
      <c r="I19" s="466" t="n">
        <v>0</v>
      </c>
      <c r="J19" s="466" t="n">
        <v>0</v>
      </c>
      <c r="K19" s="467" t="n">
        <v>0</v>
      </c>
      <c r="L19" s="466">
        <f>SUM(G19:J19)-K19</f>
        <v/>
      </c>
      <c r="M19" s="36" t="n"/>
      <c r="N19" s="36" t="n"/>
      <c r="O19" s="29" t="n"/>
      <c r="P19" s="1" t="n"/>
      <c r="Q19" s="1" t="n"/>
      <c r="R19" s="136" t="n"/>
      <c r="S19" s="1" t="n"/>
      <c r="T19" s="1" t="n"/>
      <c r="U19" s="36" t="n"/>
      <c r="V19" s="36" t="n"/>
      <c r="W19" s="29" t="n"/>
      <c r="X19" s="29" t="n"/>
      <c r="Y19" s="29" t="n"/>
      <c r="Z19" s="499" t="n"/>
      <c r="AA19" s="43" t="n"/>
      <c r="AB19" s="36" t="n"/>
      <c r="AD19" s="268" t="n"/>
      <c r="AE19" s="29" t="n"/>
    </row>
    <row r="20" ht="15" customHeight="1" s="358">
      <c r="B20" s="11" t="n">
        <v>12</v>
      </c>
      <c r="C20" s="287" t="n"/>
      <c r="D20" s="72" t="n"/>
      <c r="E20" s="454" t="n"/>
      <c r="F20" s="454" t="n"/>
      <c r="G20" s="466" t="n">
        <v>0</v>
      </c>
      <c r="H20" s="466" t="n">
        <v>0</v>
      </c>
      <c r="I20" s="466" t="n">
        <v>0</v>
      </c>
      <c r="J20" s="466" t="n">
        <v>0</v>
      </c>
      <c r="K20" s="467" t="n">
        <v>0</v>
      </c>
      <c r="L20" s="466">
        <f>SUM(G20:J20)-K20</f>
        <v/>
      </c>
      <c r="M20" s="36" t="n"/>
      <c r="N20" s="36" t="n"/>
      <c r="O20" s="29" t="n"/>
      <c r="P20" s="1" t="n"/>
      <c r="Q20" s="1" t="n"/>
      <c r="R20" s="136" t="n"/>
      <c r="S20" s="1" t="n"/>
      <c r="T20" s="1" t="n"/>
      <c r="U20" s="36" t="n"/>
      <c r="V20" s="36" t="n"/>
      <c r="W20" s="29" t="n"/>
      <c r="X20" s="29" t="n"/>
      <c r="Y20" s="73" t="n"/>
      <c r="Z20" s="499" t="n"/>
      <c r="AA20" s="43" t="n"/>
      <c r="AB20" s="36" t="n"/>
      <c r="AD20" s="268" t="n"/>
      <c r="AE20" s="29" t="n"/>
    </row>
    <row r="21" ht="15" customHeight="1" s="358">
      <c r="B21" s="11" t="n">
        <v>13</v>
      </c>
      <c r="C21" s="287" t="n"/>
      <c r="D21" s="85" t="n"/>
      <c r="E21" s="454" t="n"/>
      <c r="F21" s="454" t="n"/>
      <c r="G21" s="466" t="n">
        <v>0</v>
      </c>
      <c r="H21" s="466" t="n">
        <v>0</v>
      </c>
      <c r="I21" s="466" t="n">
        <v>0</v>
      </c>
      <c r="J21" s="466" t="n">
        <v>0</v>
      </c>
      <c r="K21" s="467" t="n">
        <v>0</v>
      </c>
      <c r="L21" s="466">
        <f>SUM(G21:J21)-K21</f>
        <v/>
      </c>
      <c r="M21" s="36" t="n"/>
      <c r="N21" s="36" t="n"/>
      <c r="O21" s="29" t="n"/>
      <c r="P21" s="1" t="n"/>
      <c r="Q21" s="1" t="n"/>
      <c r="R21" s="136" t="n"/>
      <c r="S21" s="1" t="n"/>
      <c r="T21" s="1" t="n"/>
      <c r="U21" s="36" t="n"/>
      <c r="V21" s="36" t="n"/>
      <c r="W21" s="29" t="n"/>
      <c r="X21" s="29" t="n"/>
      <c r="Y21" s="73" t="n"/>
      <c r="Z21" s="499" t="n"/>
      <c r="AA21" s="43" t="n"/>
      <c r="AB21" s="36" t="n"/>
      <c r="AD21" s="268" t="n"/>
      <c r="AE21" s="29" t="n"/>
    </row>
    <row r="22" ht="15" customHeight="1" s="358">
      <c r="B22" s="11" t="n">
        <v>14</v>
      </c>
      <c r="C22" s="287" t="n"/>
      <c r="D22" s="85" t="n"/>
      <c r="E22" s="454" t="n"/>
      <c r="F22" s="454" t="n"/>
      <c r="G22" s="466" t="n">
        <v>0</v>
      </c>
      <c r="H22" s="466" t="n">
        <v>0</v>
      </c>
      <c r="I22" s="466" t="n">
        <v>0</v>
      </c>
      <c r="J22" s="466" t="n">
        <v>0</v>
      </c>
      <c r="K22" s="467" t="n">
        <v>0</v>
      </c>
      <c r="L22" s="466">
        <f>SUM(G22:J22)-K22</f>
        <v/>
      </c>
      <c r="M22" s="36" t="n"/>
      <c r="N22" s="36" t="n"/>
      <c r="O22" s="29" t="n"/>
      <c r="P22" s="1" t="n"/>
      <c r="Q22" s="1" t="n"/>
      <c r="R22" s="136" t="n"/>
      <c r="S22" s="1" t="n"/>
      <c r="T22" s="1" t="n"/>
      <c r="U22" s="36" t="n"/>
      <c r="V22" s="36" t="n"/>
      <c r="W22" s="29" t="n"/>
      <c r="X22" s="29" t="n"/>
      <c r="Y22" s="73" t="n"/>
      <c r="Z22" s="499" t="n"/>
      <c r="AA22" s="43" t="n"/>
      <c r="AB22" s="36" t="n"/>
      <c r="AD22" s="268" t="n"/>
      <c r="AE22" s="29" t="n"/>
    </row>
    <row r="23" ht="15" customHeight="1" s="358">
      <c r="B23" s="11" t="n">
        <v>15</v>
      </c>
      <c r="C23" s="287" t="n"/>
      <c r="D23" s="85" t="n"/>
      <c r="E23" s="454" t="n"/>
      <c r="F23" s="454" t="n"/>
      <c r="G23" s="466" t="n">
        <v>0</v>
      </c>
      <c r="H23" s="466" t="n">
        <v>0</v>
      </c>
      <c r="I23" s="466" t="n">
        <v>0</v>
      </c>
      <c r="J23" s="466" t="n">
        <v>0</v>
      </c>
      <c r="K23" s="467" t="n">
        <v>0</v>
      </c>
      <c r="L23" s="466">
        <f>SUM(G23:J23)-K23</f>
        <v/>
      </c>
      <c r="M23" s="36" t="n"/>
      <c r="N23" s="36" t="n"/>
      <c r="O23" s="29" t="n"/>
      <c r="P23" s="1" t="n"/>
      <c r="Q23" s="1" t="n"/>
      <c r="R23" s="136" t="n"/>
      <c r="S23" s="1" t="n"/>
      <c r="T23" s="1" t="n"/>
      <c r="U23" s="36" t="n"/>
      <c r="V23" s="36" t="n"/>
      <c r="W23" s="29" t="n"/>
      <c r="X23" s="29" t="n"/>
      <c r="Y23" s="73" t="n"/>
      <c r="Z23" s="499" t="n"/>
      <c r="AA23" s="43" t="n"/>
      <c r="AB23" s="36" t="n"/>
      <c r="AD23" s="268" t="n"/>
      <c r="AE23" s="29" t="n"/>
    </row>
    <row r="24" ht="15" customHeight="1" s="358">
      <c r="B24" s="11" t="n">
        <v>16</v>
      </c>
      <c r="C24" s="287" t="n"/>
      <c r="D24" s="85" t="n"/>
      <c r="E24" s="454" t="n"/>
      <c r="F24" s="454" t="n"/>
      <c r="G24" s="466" t="n">
        <v>0</v>
      </c>
      <c r="H24" s="466" t="n">
        <v>0</v>
      </c>
      <c r="I24" s="466" t="n">
        <v>0</v>
      </c>
      <c r="J24" s="466" t="n">
        <v>0</v>
      </c>
      <c r="K24" s="467" t="n">
        <v>0</v>
      </c>
      <c r="L24" s="466">
        <f>SUM(G24:J24)-K24</f>
        <v/>
      </c>
      <c r="M24" s="36" t="n"/>
      <c r="N24" s="36" t="n"/>
      <c r="O24" s="29" t="n"/>
      <c r="P24" s="1" t="n"/>
      <c r="Q24" s="1" t="n"/>
      <c r="R24" s="136" t="n"/>
      <c r="S24" s="1" t="n"/>
      <c r="T24" s="1" t="n"/>
      <c r="U24" s="36" t="n"/>
      <c r="V24" s="36" t="n"/>
      <c r="W24" s="29" t="n"/>
      <c r="X24" s="29" t="n"/>
      <c r="Y24" s="73" t="n"/>
      <c r="Z24" s="499" t="n"/>
      <c r="AA24" s="43" t="n"/>
      <c r="AB24" s="36" t="n"/>
      <c r="AD24" s="268" t="n"/>
      <c r="AE24" s="29" t="n"/>
    </row>
    <row r="25" ht="15" customHeight="1" s="358">
      <c r="B25" s="11" t="n">
        <v>17</v>
      </c>
      <c r="C25" s="287" t="n"/>
      <c r="D25" s="85" t="n"/>
      <c r="E25" s="454" t="n"/>
      <c r="F25" s="454" t="n"/>
      <c r="G25" s="466" t="n">
        <v>0</v>
      </c>
      <c r="H25" s="466" t="n">
        <v>0</v>
      </c>
      <c r="I25" s="466" t="n">
        <v>0</v>
      </c>
      <c r="J25" s="466" t="n">
        <v>0</v>
      </c>
      <c r="K25" s="467" t="n">
        <v>0</v>
      </c>
      <c r="L25" s="466">
        <f>SUM(G25:J25)-K25</f>
        <v/>
      </c>
      <c r="M25" s="36" t="n"/>
      <c r="N25" s="36" t="n"/>
      <c r="O25" s="29" t="n"/>
      <c r="P25" s="1" t="n"/>
      <c r="Q25" s="1" t="n"/>
      <c r="R25" s="136" t="n"/>
      <c r="S25" s="1" t="n"/>
      <c r="T25" s="1" t="n"/>
      <c r="U25" s="36" t="n"/>
      <c r="V25" s="36" t="n"/>
      <c r="W25" s="29" t="n"/>
      <c r="X25" s="29" t="n"/>
      <c r="Y25" s="73" t="n"/>
      <c r="Z25" s="499" t="n"/>
      <c r="AA25" s="43" t="n"/>
      <c r="AB25" s="36" t="n"/>
      <c r="AD25" s="268" t="n"/>
      <c r="AE25" s="29" t="n"/>
    </row>
    <row r="26" ht="15" customHeight="1" s="358">
      <c r="B26" s="11" t="n">
        <v>18</v>
      </c>
      <c r="C26" s="287" t="n"/>
      <c r="D26" s="85" t="n"/>
      <c r="E26" s="454" t="n"/>
      <c r="F26" s="454" t="n"/>
      <c r="G26" s="466" t="n">
        <v>0</v>
      </c>
      <c r="H26" s="466" t="n">
        <v>0</v>
      </c>
      <c r="I26" s="466" t="n">
        <v>0</v>
      </c>
      <c r="J26" s="466" t="n">
        <v>0</v>
      </c>
      <c r="K26" s="467" t="n">
        <v>0</v>
      </c>
      <c r="L26" s="466">
        <f>SUM(G26:J26)-K26</f>
        <v/>
      </c>
      <c r="M26" s="36" t="n"/>
      <c r="N26" s="36" t="n"/>
      <c r="O26" s="29" t="n"/>
      <c r="P26" s="1" t="n"/>
      <c r="Q26" s="1" t="n"/>
      <c r="R26" s="136" t="n"/>
      <c r="S26" s="1" t="n"/>
      <c r="T26" s="1" t="n"/>
      <c r="U26" s="36" t="n"/>
      <c r="V26" s="36" t="n"/>
      <c r="W26" s="29" t="n"/>
      <c r="X26" s="29" t="n"/>
      <c r="Y26" s="73" t="n"/>
      <c r="Z26" s="499" t="n"/>
      <c r="AA26" s="43" t="n"/>
      <c r="AB26" s="36" t="n"/>
      <c r="AD26" s="268" t="n"/>
      <c r="AE26" s="29" t="n"/>
    </row>
    <row r="27" ht="15" customHeight="1" s="358">
      <c r="B27" s="11" t="n">
        <v>19</v>
      </c>
      <c r="C27" s="287" t="n"/>
      <c r="D27" s="85" t="n"/>
      <c r="E27" s="454" t="n"/>
      <c r="F27" s="454" t="n"/>
      <c r="G27" s="466" t="n">
        <v>0</v>
      </c>
      <c r="H27" s="466" t="n">
        <v>0</v>
      </c>
      <c r="I27" s="466" t="n">
        <v>0</v>
      </c>
      <c r="J27" s="466" t="n">
        <v>0</v>
      </c>
      <c r="K27" s="467" t="n">
        <v>0</v>
      </c>
      <c r="L27" s="466">
        <f>SUM(G27:J27)-K27</f>
        <v/>
      </c>
      <c r="M27" s="36" t="n"/>
      <c r="N27" s="36" t="n"/>
      <c r="O27" s="29" t="n"/>
      <c r="P27" s="1" t="n"/>
      <c r="Q27" s="1" t="n"/>
      <c r="R27" s="136" t="n"/>
      <c r="S27" s="1" t="n"/>
      <c r="T27" s="1" t="n"/>
      <c r="U27" s="36" t="n"/>
      <c r="V27" s="36" t="n"/>
      <c r="W27" s="29" t="n"/>
      <c r="X27" s="29" t="n"/>
      <c r="Y27" s="73" t="n"/>
      <c r="Z27" s="499" t="n"/>
      <c r="AA27" s="43" t="n"/>
      <c r="AB27" s="36" t="n"/>
      <c r="AD27" s="268" t="n"/>
      <c r="AE27" s="29" t="n"/>
    </row>
    <row r="28" ht="15" customHeight="1" s="358">
      <c r="B28" s="11" t="n">
        <v>20</v>
      </c>
      <c r="C28" s="287" t="n"/>
      <c r="D28" s="85" t="n"/>
      <c r="E28" s="454" t="n"/>
      <c r="F28" s="454" t="n"/>
      <c r="G28" s="466" t="n">
        <v>0</v>
      </c>
      <c r="H28" s="466" t="n">
        <v>0</v>
      </c>
      <c r="I28" s="466" t="n">
        <v>0</v>
      </c>
      <c r="J28" s="466" t="n">
        <v>0</v>
      </c>
      <c r="K28" s="467" t="n">
        <v>0</v>
      </c>
      <c r="L28" s="466">
        <f>SUM(G28:J28)-K28</f>
        <v/>
      </c>
      <c r="M28" s="36" t="n"/>
      <c r="N28" s="36" t="n"/>
      <c r="O28" s="29" t="n"/>
      <c r="P28" s="1" t="n"/>
      <c r="Q28" s="1" t="n"/>
      <c r="R28" s="136" t="n"/>
      <c r="S28" s="1" t="n"/>
      <c r="T28" s="1" t="n"/>
      <c r="U28" s="36" t="n"/>
      <c r="V28" s="36" t="n"/>
      <c r="W28" s="29" t="n"/>
      <c r="X28" s="29" t="n"/>
      <c r="Y28" s="73" t="n"/>
      <c r="Z28" s="499" t="n"/>
      <c r="AA28" s="43" t="n"/>
      <c r="AB28" s="36" t="n"/>
      <c r="AD28" s="268" t="n"/>
      <c r="AE28" s="29" t="n"/>
    </row>
    <row r="29" ht="15" customHeight="1" s="358">
      <c r="B29" s="11" t="n">
        <v>21</v>
      </c>
      <c r="C29" s="287" t="n"/>
      <c r="D29" s="85" t="n"/>
      <c r="E29" s="454" t="n"/>
      <c r="F29" s="454" t="n"/>
      <c r="G29" s="466" t="n">
        <v>0</v>
      </c>
      <c r="H29" s="466" t="n">
        <v>0</v>
      </c>
      <c r="I29" s="466" t="n">
        <v>0</v>
      </c>
      <c r="J29" s="466" t="n">
        <v>0</v>
      </c>
      <c r="K29" s="467" t="n">
        <v>0</v>
      </c>
      <c r="L29" s="466">
        <f>SUM(G29:J29)-K29</f>
        <v/>
      </c>
      <c r="M29" s="36" t="n"/>
      <c r="N29" s="36" t="n"/>
      <c r="O29" s="29" t="n"/>
      <c r="P29" s="1" t="n"/>
      <c r="Q29" s="1" t="n"/>
      <c r="R29" s="136" t="n"/>
      <c r="S29" s="1" t="n"/>
      <c r="T29" s="1" t="n"/>
      <c r="U29" s="36" t="n"/>
      <c r="V29" s="36" t="n"/>
      <c r="W29" s="29" t="n"/>
      <c r="X29" s="29" t="n"/>
      <c r="Y29" s="73" t="n"/>
      <c r="Z29" s="499" t="n"/>
      <c r="AA29" s="43" t="n"/>
      <c r="AB29" s="36" t="n"/>
      <c r="AD29" s="268" t="n"/>
      <c r="AE29" s="29" t="n"/>
    </row>
    <row r="30" ht="15" customHeight="1" s="358">
      <c r="B30" s="11" t="n">
        <v>22</v>
      </c>
      <c r="C30" s="287" t="n"/>
      <c r="D30" s="85" t="n"/>
      <c r="E30" s="454" t="n"/>
      <c r="F30" s="454" t="n"/>
      <c r="G30" s="466" t="n">
        <v>0</v>
      </c>
      <c r="H30" s="466" t="n">
        <v>0</v>
      </c>
      <c r="I30" s="466" t="n">
        <v>0</v>
      </c>
      <c r="J30" s="466" t="n">
        <v>0</v>
      </c>
      <c r="K30" s="467" t="n">
        <v>0</v>
      </c>
      <c r="L30" s="466">
        <f>SUM(G30:J30)-K30</f>
        <v/>
      </c>
      <c r="M30" s="36" t="n"/>
      <c r="N30" s="36" t="n"/>
      <c r="O30" s="29" t="n"/>
      <c r="P30" s="1" t="n"/>
      <c r="Q30" s="1" t="n"/>
      <c r="R30" s="136" t="n"/>
      <c r="S30" s="1" t="n"/>
      <c r="T30" s="1" t="n"/>
      <c r="U30" s="36" t="n"/>
      <c r="V30" s="36" t="n"/>
      <c r="W30" s="29" t="n"/>
      <c r="X30" s="29" t="n"/>
      <c r="Y30" s="73" t="n"/>
      <c r="Z30" s="499" t="n"/>
      <c r="AA30" s="43" t="n"/>
      <c r="AB30" s="36" t="n"/>
      <c r="AD30" s="268" t="n"/>
      <c r="AE30" s="29" t="n"/>
    </row>
    <row r="31" ht="15" customHeight="1" s="358">
      <c r="B31" s="11" t="n">
        <v>23</v>
      </c>
      <c r="C31" s="287" t="n"/>
      <c r="D31" s="85" t="n"/>
      <c r="E31" s="454" t="n"/>
      <c r="F31" s="454" t="n"/>
      <c r="G31" s="466" t="n">
        <v>0</v>
      </c>
      <c r="H31" s="466" t="n">
        <v>0</v>
      </c>
      <c r="I31" s="466" t="n">
        <v>0</v>
      </c>
      <c r="J31" s="466" t="n">
        <v>0</v>
      </c>
      <c r="K31" s="467" t="n">
        <v>0</v>
      </c>
      <c r="L31" s="466">
        <f>SUM(G31:J31)-K31</f>
        <v/>
      </c>
      <c r="M31" s="36" t="n"/>
      <c r="N31" s="36" t="n"/>
      <c r="O31" s="29" t="n"/>
      <c r="P31" s="1" t="n"/>
      <c r="Q31" s="1" t="n"/>
      <c r="R31" s="136" t="n"/>
      <c r="S31" s="1" t="n"/>
      <c r="T31" s="1" t="n"/>
      <c r="U31" s="36" t="n"/>
      <c r="V31" s="36" t="n"/>
      <c r="W31" s="29" t="n"/>
      <c r="X31" s="29" t="n"/>
      <c r="Y31" s="73" t="n"/>
      <c r="Z31" s="499" t="n"/>
      <c r="AA31" s="43" t="n"/>
      <c r="AB31" s="36" t="n"/>
      <c r="AD31" s="268" t="n"/>
      <c r="AE31" s="29" t="n"/>
    </row>
    <row r="32" ht="15" customHeight="1" s="358">
      <c r="B32" s="11" t="n">
        <v>24</v>
      </c>
      <c r="C32" s="287" t="n"/>
      <c r="D32" s="85" t="n"/>
      <c r="E32" s="454" t="n"/>
      <c r="F32" s="454" t="n"/>
      <c r="G32" s="466" t="n">
        <v>0</v>
      </c>
      <c r="H32" s="466" t="n">
        <v>0</v>
      </c>
      <c r="I32" s="466" t="n">
        <v>0</v>
      </c>
      <c r="J32" s="466" t="n">
        <v>0</v>
      </c>
      <c r="K32" s="467" t="n">
        <v>0</v>
      </c>
      <c r="L32" s="466">
        <f>SUM(G32:J32)-K32</f>
        <v/>
      </c>
      <c r="M32" s="36" t="n"/>
      <c r="N32" s="36" t="n"/>
      <c r="O32" s="29" t="n"/>
      <c r="P32" s="1" t="n"/>
      <c r="Q32" s="1" t="n"/>
      <c r="R32" s="136" t="n"/>
      <c r="S32" s="1" t="n"/>
      <c r="T32" s="1" t="n"/>
      <c r="U32" s="36" t="n"/>
      <c r="V32" s="36" t="n"/>
      <c r="W32" s="29" t="n"/>
      <c r="X32" s="29" t="n"/>
      <c r="Y32" s="73" t="n"/>
      <c r="Z32" s="499" t="n"/>
      <c r="AA32" s="43" t="n"/>
      <c r="AB32" s="36" t="n"/>
      <c r="AD32" s="268" t="n"/>
      <c r="AE32" s="29" t="n"/>
    </row>
    <row r="33" ht="15" customHeight="1" s="358">
      <c r="B33" s="11" t="n">
        <v>25</v>
      </c>
      <c r="C33" s="287" t="n"/>
      <c r="D33" s="85" t="n"/>
      <c r="E33" s="454" t="n"/>
      <c r="F33" s="454" t="n"/>
      <c r="G33" s="466" t="n">
        <v>0</v>
      </c>
      <c r="H33" s="466" t="n">
        <v>0</v>
      </c>
      <c r="I33" s="466" t="n">
        <v>0</v>
      </c>
      <c r="J33" s="466" t="n">
        <v>0</v>
      </c>
      <c r="K33" s="467" t="n">
        <v>0</v>
      </c>
      <c r="L33" s="466">
        <f>SUM(G33:J33)-K33</f>
        <v/>
      </c>
      <c r="M33" s="36" t="n"/>
      <c r="N33" s="36" t="n"/>
      <c r="O33" s="29" t="n"/>
      <c r="P33" s="1" t="n"/>
      <c r="Q33" s="1" t="n"/>
      <c r="R33" s="136" t="n"/>
      <c r="S33" s="1" t="n"/>
      <c r="T33" s="1" t="n"/>
      <c r="U33" s="36" t="n"/>
      <c r="V33" s="36" t="n"/>
      <c r="W33" s="29" t="n"/>
      <c r="X33" s="29" t="n"/>
      <c r="Y33" s="73" t="n"/>
      <c r="Z33" s="499" t="n"/>
      <c r="AA33" s="43" t="n"/>
      <c r="AB33" s="36" t="n"/>
      <c r="AD33" s="268" t="n"/>
      <c r="AE33" s="29" t="n"/>
    </row>
    <row r="34" ht="15" customHeight="1" s="358">
      <c r="B34" s="11" t="n">
        <v>26</v>
      </c>
      <c r="C34" s="287" t="n"/>
      <c r="D34" s="85" t="n"/>
      <c r="E34" s="454" t="n"/>
      <c r="F34" s="454" t="n"/>
      <c r="G34" s="466" t="n">
        <v>0</v>
      </c>
      <c r="H34" s="466" t="n">
        <v>0</v>
      </c>
      <c r="I34" s="466" t="n">
        <v>0</v>
      </c>
      <c r="J34" s="466" t="n">
        <v>0</v>
      </c>
      <c r="K34" s="467" t="n">
        <v>0</v>
      </c>
      <c r="L34" s="466">
        <f>SUM(G34:J34)-K34</f>
        <v/>
      </c>
      <c r="M34" s="36" t="n"/>
      <c r="N34" s="36" t="n"/>
      <c r="O34" s="29" t="n"/>
      <c r="P34" s="1" t="n"/>
      <c r="Q34" s="1" t="n"/>
      <c r="R34" s="136" t="n"/>
      <c r="S34" s="1" t="n"/>
      <c r="T34" s="1" t="n"/>
      <c r="U34" s="36" t="n"/>
      <c r="V34" s="36" t="n"/>
      <c r="W34" s="29" t="n"/>
      <c r="X34" s="29" t="n"/>
      <c r="Y34" s="73" t="n"/>
      <c r="Z34" s="499" t="n"/>
      <c r="AA34" s="43" t="n"/>
      <c r="AB34" s="36" t="n"/>
      <c r="AD34" s="268" t="n"/>
      <c r="AE34" s="29" t="n"/>
    </row>
    <row r="35" ht="15" customHeight="1" s="358">
      <c r="B35" s="11" t="n">
        <v>27</v>
      </c>
      <c r="C35" s="287" t="n"/>
      <c r="D35" s="500" t="n"/>
      <c r="E35" s="454" t="n"/>
      <c r="F35" s="454" t="n"/>
      <c r="G35" s="466" t="n">
        <v>0</v>
      </c>
      <c r="H35" s="466" t="n">
        <v>0</v>
      </c>
      <c r="I35" s="466" t="n">
        <v>0</v>
      </c>
      <c r="J35" s="466" t="n">
        <v>0</v>
      </c>
      <c r="K35" s="467" t="n">
        <v>0</v>
      </c>
      <c r="L35" s="466">
        <f>SUM(G35:J35)-K35</f>
        <v/>
      </c>
      <c r="M35" s="36" t="n"/>
      <c r="N35" s="36" t="n"/>
      <c r="O35" s="29" t="n"/>
      <c r="P35" s="1" t="n"/>
      <c r="Q35" s="1" t="n"/>
      <c r="R35" s="136" t="n"/>
      <c r="S35" s="1" t="n"/>
      <c r="T35" s="1" t="n"/>
      <c r="U35" s="36" t="n"/>
      <c r="V35" s="36" t="n"/>
      <c r="W35" s="29" t="n"/>
      <c r="X35" s="29" t="n"/>
      <c r="Y35" s="29" t="n"/>
      <c r="Z35" s="499" t="n"/>
      <c r="AA35" s="43" t="n"/>
      <c r="AB35" s="36" t="n"/>
      <c r="AD35" s="268" t="n"/>
      <c r="AE35" s="29" t="n"/>
    </row>
    <row r="36" ht="15" customHeight="1" s="358">
      <c r="B36" s="11" t="n">
        <v>28</v>
      </c>
      <c r="C36" s="287" t="n"/>
      <c r="D36" s="85" t="n"/>
      <c r="E36" s="454" t="n"/>
      <c r="F36" s="454" t="n"/>
      <c r="G36" s="466" t="n">
        <v>0</v>
      </c>
      <c r="H36" s="466" t="n">
        <v>0</v>
      </c>
      <c r="I36" s="466" t="n">
        <v>0</v>
      </c>
      <c r="J36" s="466" t="n">
        <v>0</v>
      </c>
      <c r="K36" s="467" t="n">
        <v>0</v>
      </c>
      <c r="L36" s="466">
        <f>SUM(G36:J36)-K36</f>
        <v/>
      </c>
      <c r="M36" s="36" t="n"/>
      <c r="N36" s="36" t="n"/>
      <c r="O36" s="29" t="n"/>
      <c r="P36" s="1" t="n"/>
      <c r="Q36" s="1" t="n"/>
      <c r="R36" s="136" t="n"/>
      <c r="S36" s="1" t="n"/>
      <c r="T36" s="1" t="n"/>
      <c r="U36" s="36" t="n"/>
      <c r="V36" s="36" t="n"/>
      <c r="W36" s="29" t="n"/>
      <c r="X36" s="29" t="n"/>
      <c r="Y36" s="73" t="n"/>
      <c r="Z36" s="499" t="n"/>
      <c r="AA36" s="43" t="n"/>
      <c r="AB36" s="36" t="n"/>
      <c r="AD36" s="268" t="n"/>
      <c r="AE36" s="29" t="n"/>
    </row>
    <row r="37" ht="15" customHeight="1" s="358">
      <c r="B37" s="11" t="n">
        <v>29</v>
      </c>
      <c r="C37" s="287" t="n"/>
      <c r="D37" s="500" t="n"/>
      <c r="E37" s="454" t="n"/>
      <c r="F37" s="454" t="n"/>
      <c r="G37" s="466" t="n">
        <v>0</v>
      </c>
      <c r="H37" s="466" t="n">
        <v>0</v>
      </c>
      <c r="I37" s="466" t="n">
        <v>0</v>
      </c>
      <c r="J37" s="466" t="n">
        <v>0</v>
      </c>
      <c r="K37" s="467" t="n">
        <v>0</v>
      </c>
      <c r="L37" s="466">
        <f>SUM(G37:J37)-K37</f>
        <v/>
      </c>
      <c r="M37" s="36" t="n"/>
      <c r="N37" s="36" t="n"/>
      <c r="O37" s="29" t="n"/>
      <c r="P37" s="1" t="n"/>
      <c r="Q37" s="1" t="n"/>
      <c r="R37" s="136" t="n"/>
      <c r="S37" s="1" t="n"/>
      <c r="T37" s="1" t="n"/>
      <c r="U37" s="36" t="n"/>
      <c r="V37" s="36" t="n"/>
      <c r="W37" s="29" t="n"/>
      <c r="X37" s="29" t="n"/>
      <c r="Y37" s="29" t="n"/>
      <c r="Z37" s="499" t="n"/>
      <c r="AA37" s="43" t="n"/>
      <c r="AB37" s="36" t="n"/>
      <c r="AD37" s="268" t="n"/>
      <c r="AE37" s="29" t="n"/>
    </row>
    <row r="38" ht="15" customHeight="1" s="358">
      <c r="B38" s="11" t="n">
        <v>30</v>
      </c>
      <c r="C38" s="287" t="n"/>
      <c r="D38" s="500" t="n"/>
      <c r="E38" s="454" t="n"/>
      <c r="F38" s="454" t="n"/>
      <c r="G38" s="466" t="n">
        <v>0</v>
      </c>
      <c r="H38" s="466" t="n">
        <v>0</v>
      </c>
      <c r="I38" s="466" t="n">
        <v>0</v>
      </c>
      <c r="J38" s="466" t="n">
        <v>0</v>
      </c>
      <c r="K38" s="467" t="n">
        <v>0</v>
      </c>
      <c r="L38" s="466">
        <f>SUM(G38:J38)-K38</f>
        <v/>
      </c>
      <c r="M38" s="36" t="n"/>
      <c r="N38" s="36" t="n"/>
      <c r="O38" s="29" t="n"/>
      <c r="P38" s="1" t="n"/>
      <c r="Q38" s="1" t="n"/>
      <c r="R38" s="136" t="n"/>
      <c r="S38" s="1" t="n"/>
      <c r="T38" s="1" t="n"/>
      <c r="U38" s="36" t="n"/>
      <c r="V38" s="36" t="n"/>
      <c r="W38" s="29" t="n"/>
      <c r="X38" s="29" t="n"/>
      <c r="Y38" s="29" t="n"/>
      <c r="Z38" s="499" t="n"/>
      <c r="AA38" s="43" t="n"/>
      <c r="AB38" s="36" t="n"/>
      <c r="AD38" s="268" t="n"/>
      <c r="AE38" s="29" t="n"/>
    </row>
    <row r="39">
      <c r="B39" s="11" t="n"/>
      <c r="C39" s="108" t="n"/>
      <c r="D39" s="43" t="n"/>
      <c r="E39" s="454" t="n"/>
      <c r="F39" s="454" t="n"/>
      <c r="G39" s="466" t="n">
        <v>0</v>
      </c>
      <c r="H39" s="466" t="n">
        <v>0</v>
      </c>
      <c r="I39" s="466" t="n">
        <v>0</v>
      </c>
      <c r="J39" s="466" t="n">
        <v>0</v>
      </c>
      <c r="K39" s="467" t="n">
        <v>0</v>
      </c>
      <c r="L39" s="466">
        <f>SUM(G39:J39)-K39</f>
        <v/>
      </c>
      <c r="M39" s="36" t="n"/>
      <c r="N39" s="36" t="n"/>
      <c r="O39" s="29" t="n"/>
      <c r="P39" s="1" t="n"/>
      <c r="Q39" s="1" t="n"/>
      <c r="R39" s="136" t="n"/>
      <c r="S39" s="1" t="n"/>
      <c r="T39" s="1" t="n"/>
      <c r="U39" s="36" t="n"/>
      <c r="V39" s="36" t="n"/>
      <c r="W39" s="29" t="n"/>
      <c r="X39" s="29" t="n"/>
      <c r="Y39" s="29" t="n"/>
      <c r="Z39" s="499" t="n"/>
      <c r="AA39" s="43" t="n"/>
      <c r="AB39" s="36" t="n"/>
      <c r="AD39" s="268" t="n"/>
      <c r="AE39" s="29" t="n"/>
    </row>
    <row r="40">
      <c r="C40" s="104" t="n"/>
      <c r="D40" s="61" t="n"/>
      <c r="E40" s="80" t="n"/>
      <c r="F40" s="80" t="n"/>
      <c r="G40" s="501">
        <f>SUBTOTAL(9,G9:G39)</f>
        <v/>
      </c>
      <c r="H40" s="501">
        <f>SUBTOTAL(9,H9:H39)</f>
        <v/>
      </c>
      <c r="I40" s="501">
        <f>SUBTOTAL(9,I9:I39)</f>
        <v/>
      </c>
      <c r="J40" s="501">
        <f>SUBTOTAL(9,J9:J39)</f>
        <v/>
      </c>
      <c r="K40" s="501">
        <f>SUBTOTAL(9,K9:K39)</f>
        <v/>
      </c>
      <c r="L40" s="501">
        <f>SUBTOTAL(9,L9:L39)</f>
        <v/>
      </c>
      <c r="M40" s="70" t="n"/>
      <c r="N40" s="147" t="n"/>
      <c r="O40" s="147" t="n"/>
      <c r="P40" s="502" t="n"/>
      <c r="Q40" s="30">
        <f>SUBTOTAL(2,Q9:Q39)</f>
        <v/>
      </c>
      <c r="R40" s="503" t="n"/>
      <c r="S40" s="504" t="n"/>
      <c r="T40" s="505" t="n"/>
      <c r="U40" s="505" t="n"/>
      <c r="V40" s="504" t="n"/>
      <c r="W40" s="504" t="n"/>
      <c r="X40" s="504" t="n"/>
      <c r="Y40" s="504" t="n"/>
      <c r="Z40" s="505" t="n"/>
      <c r="AA40" s="506" t="n"/>
      <c r="AB40" s="37" t="n"/>
      <c r="AD40" s="291" t="n"/>
      <c r="AE40" s="291" t="n"/>
    </row>
    <row r="41">
      <c r="G41" s="482" t="n"/>
      <c r="H41" s="482" t="n"/>
      <c r="I41" s="482" t="n"/>
      <c r="J41" s="482" t="n"/>
      <c r="K41" s="482" t="n"/>
      <c r="L41" s="482" t="n"/>
    </row>
    <row r="42">
      <c r="G42" s="482" t="n"/>
      <c r="H42" s="482" t="n"/>
      <c r="I42" s="482" t="n"/>
      <c r="J42" s="482" t="n"/>
      <c r="K42" s="482" t="n"/>
      <c r="L42" s="482" t="n"/>
    </row>
    <row r="43" ht="15.75" customHeight="1" s="358" thickBot="1">
      <c r="C43" s="507" t="n"/>
      <c r="D43" s="508" t="n"/>
      <c r="E43" s="28" t="n"/>
      <c r="F43" s="28" t="n"/>
      <c r="G43" s="509" t="n"/>
      <c r="H43" s="509" t="inlineStr">
        <is>
          <t>'Comm Summary'!A1</t>
        </is>
      </c>
      <c r="I43" s="509" t="inlineStr">
        <is>
          <t>'Comm Summary'!A1</t>
        </is>
      </c>
      <c r="J43" s="509" t="inlineStr">
        <is>
          <t>'Comm Summary'!A1</t>
        </is>
      </c>
      <c r="K43" s="509" t="inlineStr">
        <is>
          <t>'Comm Summary'!A1</t>
        </is>
      </c>
      <c r="L43" s="510">
        <f>SUM(L9:L39)</f>
        <v/>
      </c>
      <c r="M43" s="75" t="n"/>
      <c r="N43" s="75" t="n"/>
      <c r="O43" s="148" t="n"/>
      <c r="P43" s="477" t="n"/>
      <c r="R43" s="477" t="n"/>
      <c r="S43" s="477" t="n"/>
      <c r="T43" s="511" t="n"/>
      <c r="U43" s="511" t="n"/>
      <c r="V43" s="477" t="n"/>
      <c r="W43" s="477" t="n"/>
      <c r="X43" s="477" t="n"/>
      <c r="Y43" s="477" t="n"/>
      <c r="Z43" s="511" t="n"/>
      <c r="AA43" s="476" t="n"/>
    </row>
    <row r="44" ht="15.75" customHeight="1" s="358" thickTop="1">
      <c r="R44" s="477" t="n"/>
    </row>
    <row r="47">
      <c r="D47" s="428" t="inlineStr">
        <is>
          <t>ELIGIBLE TOTAL</t>
        </is>
      </c>
      <c r="E47" s="429" t="n"/>
      <c r="F47" s="429" t="n"/>
      <c r="G47" s="430" t="n"/>
      <c r="H47" s="422" t="n"/>
      <c r="J47" s="29" t="inlineStr">
        <is>
          <t>INELIGIBLE TOTAL</t>
        </is>
      </c>
      <c r="K47" s="459" t="n"/>
      <c r="L47" s="460" t="n"/>
      <c r="M47" s="422" t="n"/>
      <c r="N47" s="422" t="n"/>
      <c r="O47" s="422" t="n"/>
    </row>
    <row r="48">
      <c r="D48" s="43" t="inlineStr">
        <is>
          <t>NO-OOS</t>
        </is>
      </c>
      <c r="E48" s="92" t="inlineStr">
        <is>
          <t>NO-TX</t>
        </is>
      </c>
      <c r="F48" s="92" t="inlineStr">
        <is>
          <t>NO-TX</t>
        </is>
      </c>
      <c r="G48" s="93" t="inlineStr">
        <is>
          <t>YES</t>
        </is>
      </c>
      <c r="H48" s="487" t="n"/>
      <c r="J48" s="43" t="inlineStr">
        <is>
          <t>NO-OOS</t>
        </is>
      </c>
      <c r="K48" s="92" t="inlineStr">
        <is>
          <t>NO-TX</t>
        </is>
      </c>
      <c r="L48" s="93" t="inlineStr">
        <is>
          <t>YES</t>
        </is>
      </c>
      <c r="M48" s="422" t="n"/>
      <c r="N48" s="422" t="n"/>
      <c r="O48" s="422" t="n"/>
    </row>
    <row r="49">
      <c r="D49" s="492">
        <f>SUMIF($AA$9:$AA$38,D48,$L$9:$L$39)</f>
        <v/>
      </c>
      <c r="E49" s="492">
        <f>SUMIF($AA$9:$AA$38,E48,$L$9:$L$39)</f>
        <v/>
      </c>
      <c r="F49" s="492">
        <f>SUMIF($AA$9:$AA$38,F48,$L$9:$L$39)</f>
        <v/>
      </c>
      <c r="G49" s="492">
        <f>SUMIF($AA$9:$AA$38,G48,$L$10:$L$40)</f>
        <v/>
      </c>
      <c r="H49" s="474">
        <f>SUM(D49:G49)</f>
        <v/>
      </c>
      <c r="J49" s="492">
        <f>SUMIF($AA$9:$AA$38,J48,$K$9:$K$38)</f>
        <v/>
      </c>
      <c r="K49" s="492">
        <f>SUMIF($AA$9:$AA$38,K48,$K$9:$K$38)</f>
        <v/>
      </c>
      <c r="L49" s="492">
        <f>SUMIF($AA$9:$AA$38,L48,$K$9:$K$38)</f>
        <v/>
      </c>
      <c r="M49" s="474">
        <f>SUM(J49:L49)</f>
        <v/>
      </c>
      <c r="N49" s="422" t="n"/>
      <c r="O49" s="422" t="n"/>
    </row>
    <row r="50">
      <c r="H50" s="97">
        <f>L43-H49</f>
        <v/>
      </c>
      <c r="J50" s="32" t="n"/>
      <c r="K50" s="32" t="n"/>
      <c r="L50" s="512" t="n"/>
      <c r="M50" s="97">
        <f>K43-M49</f>
        <v/>
      </c>
      <c r="N50" s="422" t="n"/>
      <c r="O50" s="422" t="n"/>
    </row>
    <row r="51">
      <c r="D51" s="479" t="n"/>
      <c r="E51" s="479" t="n"/>
      <c r="F51" s="479" t="n"/>
      <c r="H51" s="68" t="n"/>
      <c r="L51" s="422" t="n"/>
      <c r="M51" s="422" t="n"/>
      <c r="O51" s="422" t="n"/>
    </row>
    <row r="52">
      <c r="H52" s="480" t="inlineStr">
        <is>
          <t>Total Eligible</t>
        </is>
      </c>
      <c r="I52" s="479">
        <f>G49</f>
        <v/>
      </c>
      <c r="L52" s="480" t="n"/>
      <c r="N52" s="422" t="n"/>
      <c r="O52" s="422" t="n"/>
    </row>
    <row r="53" ht="15.75" customHeight="1" s="358" thickBot="1">
      <c r="H53" s="513" t="inlineStr">
        <is>
          <t>Total Ineligible</t>
        </is>
      </c>
      <c r="I53" s="494">
        <f>D49+E49+J49+K49+L49</f>
        <v/>
      </c>
      <c r="L53" s="480" t="n"/>
      <c r="N53" s="422" t="n"/>
      <c r="O53" s="422" t="n"/>
    </row>
    <row r="54" ht="15.75" customHeight="1" s="358" thickTop="1">
      <c r="H54" s="480" t="inlineStr">
        <is>
          <t>Total Expenses</t>
        </is>
      </c>
      <c r="I54" s="479">
        <f>SUM(I52:I53)</f>
        <v/>
      </c>
      <c r="L54" s="480" t="n"/>
      <c r="N54" s="422" t="n"/>
      <c r="O54" s="422" t="n"/>
    </row>
    <row r="55">
      <c r="I55" s="97">
        <f>G43-I54</f>
        <v/>
      </c>
      <c r="L55" s="480" t="n"/>
      <c r="M55" s="422" t="n"/>
      <c r="N55" s="422" t="n"/>
      <c r="O55" s="422" t="n"/>
    </row>
    <row r="56">
      <c r="J56" s="68" t="n"/>
      <c r="K56" s="68" t="n"/>
      <c r="L56" s="119" t="n"/>
      <c r="M56" s="422" t="n"/>
      <c r="N56" s="422" t="n"/>
      <c r="O56" s="422" t="n"/>
    </row>
    <row r="57">
      <c r="J57" s="68" t="n"/>
      <c r="K57" s="68" t="n"/>
      <c r="L57" s="119" t="n"/>
      <c r="M57" s="422" t="n"/>
      <c r="N57" s="422" t="n"/>
      <c r="O57" s="422" t="n"/>
    </row>
  </sheetData>
  <mergeCells count="2">
    <mergeCell ref="J47:L47"/>
    <mergeCell ref="B1:AB1"/>
  </mergeCells>
  <conditionalFormatting sqref="D48">
    <cfRule type="cellIs" priority="14" operator="equal" dxfId="2">
      <formula>"NO-OOS"</formula>
    </cfRule>
    <cfRule type="cellIs" priority="15" operator="equal" dxfId="1">
      <formula>"NO-CO"</formula>
    </cfRule>
    <cfRule type="cellIs" priority="16" operator="equal" dxfId="0">
      <formula>"YES"</formula>
    </cfRule>
    <cfRule type="cellIs" priority="17" operator="equal" dxfId="1">
      <formula>"NO"</formula>
    </cfRule>
  </conditionalFormatting>
  <conditionalFormatting sqref="J48">
    <cfRule type="cellIs" priority="9" operator="equal" dxfId="2">
      <formula>"NO-OOS"</formula>
    </cfRule>
    <cfRule type="cellIs" priority="10" operator="equal" dxfId="1">
      <formula>"NO-CO"</formula>
    </cfRule>
    <cfRule type="cellIs" priority="11" operator="equal" dxfId="0">
      <formula>"YES"</formula>
    </cfRule>
    <cfRule type="cellIs" priority="12" operator="equal" dxfId="1">
      <formula>"NO"</formula>
    </cfRule>
  </conditionalFormatting>
  <conditionalFormatting sqref="O9:O39">
    <cfRule type="cellIs" priority="4" operator="equal" dxfId="1">
      <formula>"NO"</formula>
    </cfRule>
    <cfRule type="cellIs" priority="5" operator="equal" dxfId="0">
      <formula>"YES"</formula>
    </cfRule>
  </conditionalFormatting>
  <conditionalFormatting sqref="R9:R39">
    <cfRule type="cellIs" priority="6" operator="equal" dxfId="2">
      <formula>"N/A"</formula>
    </cfRule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AA9:AA39">
    <cfRule type="cellIs" priority="19" operator="equal" dxfId="2">
      <formula>"NO-OOS"</formula>
    </cfRule>
    <cfRule type="cellIs" priority="20" operator="equal" dxfId="1">
      <formula>"NO-TX"</formula>
    </cfRule>
    <cfRule type="cellIs" priority="21" operator="equal" dxfId="0">
      <formula>"YES"</formula>
    </cfRule>
  </conditionalFormatting>
  <conditionalFormatting sqref="AD9:AD39">
    <cfRule type="cellIs" priority="1" operator="equal" dxfId="2">
      <formula>"N/A"</formula>
    </cfRule>
    <cfRule type="cellIs" priority="2" operator="equal" dxfId="0">
      <formula>"YES"</formula>
    </cfRule>
    <cfRule type="cellIs" priority="3" operator="equal" dxfId="1">
      <formula>"NO"</formula>
    </cfRule>
  </conditionalFormatting>
  <dataValidations count="1">
    <dataValidation sqref="D48 J48 AC2:AC6" showDropDown="0" showInputMessage="1" showErrorMessage="1" allowBlank="1" type="list"/>
  </dataValidations>
  <hyperlinks>
    <hyperlink ref="H43" location="'Comm Summary'!A1" display="'Comm Summary'!A1"/>
    <hyperlink ref="I43" location="'Comm Summary'!A1" display="'Comm Summary'!A1"/>
    <hyperlink ref="J43" location="'Comm Summary'!A1" display="'Comm Summary'!A1"/>
    <hyperlink ref="K43" location="'Comm Summary'!A1" display="'Comm Summary'!A1"/>
    <hyperlink ref="L4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7.xml><?xml version="1.0" encoding="utf-8"?>
<worksheet xmlns="http://schemas.openxmlformats.org/spreadsheetml/2006/main">
  <sheetPr>
    <tabColor rgb="FFFFCCFF"/>
    <outlinePr summaryBelow="1" summaryRight="1"/>
    <pageSetUpPr fitToPage="1"/>
  </sheetPr>
  <dimension ref="A1:AP70"/>
  <sheetViews>
    <sheetView zoomScale="90" zoomScaleNormal="90" workbookViewId="0">
      <pane xSplit="2" ySplit="8" topLeftCell="AC9" activePane="bottomRight" state="frozen"/>
      <selection activeCell="T4" sqref="T4"/>
      <selection pane="topRight" activeCell="T4" sqref="T4"/>
      <selection pane="bottomLeft" activeCell="T4" sqref="T4"/>
      <selection pane="bottomRight" activeCell="AG3" sqref="AG3"/>
    </sheetView>
  </sheetViews>
  <sheetFormatPr baseColWidth="8" defaultColWidth="9.140625" defaultRowHeight="15"/>
  <cols>
    <col width="7.28515625" customWidth="1" style="358" min="1" max="1"/>
    <col width="9.140625" customWidth="1" style="9" min="2" max="2"/>
    <col width="14.85546875" customWidth="1" style="103" min="3" max="3"/>
    <col width="18.7109375" customWidth="1" style="27" min="4" max="4"/>
    <col width="22.28515625" customWidth="1" style="27" min="5" max="5"/>
    <col width="34.85546875" customWidth="1" style="358" min="6" max="6"/>
    <col width="19.7109375" customWidth="1" style="422" min="7" max="7"/>
    <col width="20.7109375" customWidth="1" style="103" min="8" max="8"/>
    <col width="16.140625" customWidth="1" style="422" min="9" max="10"/>
    <col width="19.28515625" customWidth="1" style="456" min="11" max="21"/>
    <col width="19.28515625" customWidth="1" style="422" min="22" max="24"/>
    <col width="26.28515625" customWidth="1" style="422" min="25" max="25"/>
    <col width="12.85546875" customWidth="1" style="422" min="26" max="26"/>
    <col width="13.5703125" customWidth="1" style="63" min="27" max="27"/>
    <col width="20.7109375" customWidth="1" style="358" min="28" max="28"/>
    <col width="44.28515625" customWidth="1" style="358" min="29" max="29"/>
    <col width="14.140625" customWidth="1" style="422" min="30" max="30"/>
    <col width="10.140625" customWidth="1" style="422" min="31" max="31"/>
    <col width="8.28515625" customWidth="1" style="422" min="32" max="32"/>
    <col width="53.5703125" bestFit="1" customWidth="1" style="358" min="33" max="33"/>
    <col width="13.28515625" bestFit="1" customWidth="1" style="370" min="35" max="35"/>
    <col width="12" customWidth="1" style="370" min="36" max="36"/>
    <col width="13.28515625" bestFit="1" customWidth="1" style="370" min="37" max="37"/>
    <col width="10.28515625" bestFit="1" customWidth="1" style="370" min="38" max="38"/>
    <col width="9.140625" customWidth="1" style="370" min="39" max="39"/>
    <col width="11.140625" bestFit="1" customWidth="1" style="372" min="40" max="40"/>
    <col width="9.140625" customWidth="1" style="370" min="41" max="42"/>
  </cols>
  <sheetData>
    <row r="1" ht="15.75" customHeight="1" s="358">
      <c r="A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1" t="n"/>
      <c r="AE1" s="431" t="n"/>
      <c r="AF1" s="431" t="n"/>
      <c r="AG1" s="431" t="n"/>
      <c r="AH1" s="431" t="n"/>
      <c r="AI1" s="369" t="n"/>
      <c r="AJ1" s="369" t="n"/>
    </row>
    <row r="2" ht="15.75" customHeight="1" s="358"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25" t="n"/>
      <c r="L2" s="25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31" t="n"/>
      <c r="AC2" s="31" t="n"/>
      <c r="AD2" s="431" t="n"/>
      <c r="AE2" s="431" t="n"/>
      <c r="AF2" s="431" t="n"/>
      <c r="AG2" s="31" t="n"/>
      <c r="AH2" s="31" t="n"/>
      <c r="AI2" s="369" t="n"/>
      <c r="AJ2" s="391" t="n"/>
    </row>
    <row r="3" ht="18.75" customHeight="1" s="358">
      <c r="C3" s="9" t="n"/>
      <c r="D3" s="15" t="n"/>
      <c r="E3" s="15" t="n"/>
      <c r="F3" s="23" t="n"/>
      <c r="G3" s="23" t="n"/>
      <c r="H3" s="422" t="n"/>
      <c r="O3" s="514" t="n"/>
      <c r="P3" s="514" t="n"/>
      <c r="Q3" s="514" t="n"/>
      <c r="T3" s="436" t="inlineStr">
        <is>
          <t>35% of paid cast &amp; crew, including extras, must be Texas Residents</t>
        </is>
      </c>
      <c r="AB3" s="32" t="n"/>
      <c r="AC3" s="32" t="n"/>
      <c r="AG3" s="32" t="n"/>
      <c r="AH3" s="32" t="n"/>
      <c r="AJ3" s="392" t="n"/>
    </row>
    <row r="4" ht="18.75" customHeight="1" s="358">
      <c r="C4" s="9" t="n"/>
      <c r="D4" s="15" t="n"/>
      <c r="E4" s="15" t="n"/>
      <c r="F4" s="4" t="n"/>
      <c r="G4" s="4" t="n"/>
      <c r="H4" s="420" t="n"/>
      <c r="I4" s="420" t="n"/>
      <c r="J4" s="420" t="n"/>
      <c r="T4" s="436" t="inlineStr">
        <is>
          <t>Add a column for who paid the talent (Prodco vs Agency) if needed</t>
        </is>
      </c>
      <c r="X4" s="5" t="n"/>
      <c r="Y4" s="419" t="n"/>
      <c r="AA4" s="4" t="n"/>
      <c r="AB4" s="4" t="n"/>
      <c r="AC4" s="4" t="n"/>
      <c r="AD4" s="420" t="n"/>
      <c r="AE4" s="420" t="n"/>
      <c r="AF4" s="420" t="n"/>
      <c r="AG4" s="4" t="n"/>
      <c r="AH4" s="4" t="n"/>
      <c r="AI4" s="393" t="n"/>
      <c r="AJ4" s="393" t="n"/>
      <c r="AK4" s="393" t="n"/>
    </row>
    <row r="5" ht="18.75" customHeight="1" s="358">
      <c r="C5" s="9" t="n"/>
      <c r="D5" s="15" t="n"/>
      <c r="E5" s="15" t="n"/>
      <c r="F5" s="4" t="n"/>
      <c r="G5" s="4" t="n"/>
      <c r="H5" s="420" t="n"/>
      <c r="I5" s="420" t="n"/>
      <c r="J5" s="420" t="n"/>
      <c r="O5" s="182" t="inlineStr">
        <is>
          <t>Taxes need to be broken Down: FICA, FUTA MEDI, SUTA</t>
        </is>
      </c>
      <c r="P5" s="182" t="n"/>
      <c r="Q5" s="182" t="n"/>
      <c r="R5" s="183" t="n"/>
      <c r="V5" s="5" t="n"/>
      <c r="W5" s="5" t="n"/>
      <c r="X5" s="5" t="n"/>
      <c r="Y5" s="419" t="n"/>
      <c r="AA5" s="4" t="n"/>
      <c r="AB5" s="4" t="n"/>
      <c r="AC5" s="4" t="n"/>
      <c r="AD5" s="420" t="n"/>
      <c r="AE5" s="420" t="n"/>
      <c r="AF5" s="420" t="n"/>
      <c r="AG5" s="4" t="n"/>
      <c r="AH5" s="4" t="n"/>
      <c r="AI5" s="393" t="n"/>
      <c r="AJ5" s="393" t="n"/>
      <c r="AK5" s="393" t="n"/>
    </row>
    <row r="6" ht="18.75" customHeight="1" s="358">
      <c r="C6" s="9" t="n"/>
      <c r="D6" s="15" t="n"/>
      <c r="E6" s="15" t="n"/>
      <c r="F6" s="4" t="n"/>
      <c r="G6" s="420" t="n"/>
      <c r="H6" s="420" t="n"/>
      <c r="I6" s="420" t="n"/>
      <c r="J6" s="420" t="n"/>
      <c r="K6" s="4" t="n"/>
      <c r="L6" s="4" t="n"/>
      <c r="V6" s="5" t="n"/>
      <c r="W6" s="5" t="n"/>
      <c r="X6" s="5" t="n"/>
      <c r="Y6" s="419" t="n"/>
      <c r="AA6" s="4" t="n"/>
      <c r="AB6" s="4" t="n"/>
      <c r="AC6" s="4" t="n"/>
      <c r="AD6" s="420" t="n"/>
      <c r="AE6" s="420" t="n"/>
      <c r="AF6" s="420" t="n"/>
      <c r="AG6" s="4" t="n"/>
      <c r="AH6" s="4" t="n"/>
      <c r="AI6" s="393" t="n"/>
      <c r="AJ6" s="393" t="n"/>
      <c r="AK6" s="393" t="n"/>
    </row>
    <row r="7">
      <c r="K7" s="184" t="inlineStr">
        <is>
          <t>Include</t>
        </is>
      </c>
      <c r="L7" s="184" t="n"/>
      <c r="M7" s="184" t="inlineStr">
        <is>
          <t>Include</t>
        </is>
      </c>
      <c r="N7" s="184" t="n"/>
      <c r="O7" s="184" t="inlineStr">
        <is>
          <t>Include</t>
        </is>
      </c>
      <c r="Q7" s="184" t="inlineStr">
        <is>
          <t>Include</t>
        </is>
      </c>
      <c r="R7" s="184" t="inlineStr">
        <is>
          <t>Include</t>
        </is>
      </c>
      <c r="U7" s="184" t="inlineStr">
        <is>
          <t>Include</t>
        </is>
      </c>
      <c r="Z7" s="184" t="inlineStr">
        <is>
          <t>Include</t>
        </is>
      </c>
      <c r="AG7" s="184" t="inlineStr">
        <is>
          <t>Include</t>
        </is>
      </c>
      <c r="AI7" s="374" t="inlineStr">
        <is>
          <t>CPA</t>
        </is>
      </c>
      <c r="AJ7" s="459" t="n"/>
      <c r="AK7" s="460" t="n"/>
      <c r="AN7" s="373" t="inlineStr">
        <is>
          <t>Ineligible</t>
        </is>
      </c>
    </row>
    <row r="8" ht="18.75" customFormat="1" customHeight="1" s="7">
      <c r="B8" s="10" t="inlineStr">
        <is>
          <t>ITEM #</t>
        </is>
      </c>
      <c r="C8" s="81" t="inlineStr">
        <is>
          <t>Invoice #</t>
        </is>
      </c>
      <c r="D8" s="26" t="inlineStr">
        <is>
          <t xml:space="preserve"> Invoice Date</t>
        </is>
      </c>
      <c r="E8" s="267" t="inlineStr">
        <is>
          <t>Ref Number (Check #)</t>
        </is>
      </c>
      <c r="F8" s="12" t="inlineStr">
        <is>
          <t>Talent Name</t>
        </is>
      </c>
      <c r="G8" s="12" t="inlineStr">
        <is>
          <t>Title</t>
        </is>
      </c>
      <c r="H8" s="12" t="inlineStr">
        <is>
          <t>Valid DTR Form</t>
        </is>
      </c>
      <c r="I8" s="12" t="inlineStr">
        <is>
          <t>Location</t>
        </is>
      </c>
      <c r="J8" s="12" t="inlineStr">
        <is>
          <t>TX Resident</t>
        </is>
      </c>
      <c r="K8" s="515" t="inlineStr">
        <is>
          <t>Gross Wages $</t>
        </is>
      </c>
      <c r="L8" s="515" t="inlineStr">
        <is>
          <t>Misc Payment</t>
        </is>
      </c>
      <c r="M8" s="516" t="inlineStr">
        <is>
          <t>Mileage</t>
        </is>
      </c>
      <c r="N8" s="516" t="inlineStr">
        <is>
          <t>Kit Rental</t>
        </is>
      </c>
      <c r="O8" s="515" t="inlineStr">
        <is>
          <t>ER Payroll Taxes</t>
        </is>
      </c>
      <c r="P8" s="515" t="inlineStr">
        <is>
          <t>Workers Comp</t>
        </is>
      </c>
      <c r="Q8" s="515" t="inlineStr">
        <is>
          <t>Handling/Vendor Fee</t>
        </is>
      </c>
      <c r="R8" s="515" t="inlineStr">
        <is>
          <t>Pension &amp; Health</t>
        </is>
      </c>
      <c r="S8" s="515" t="inlineStr">
        <is>
          <t>Total</t>
        </is>
      </c>
      <c r="T8" s="88" t="inlineStr">
        <is>
          <t>Ineligible $</t>
        </is>
      </c>
      <c r="U8" s="81" t="inlineStr">
        <is>
          <t>Submitted Amount</t>
        </is>
      </c>
      <c r="V8" s="12" t="inlineStr">
        <is>
          <t>Pymt Method</t>
        </is>
      </c>
      <c r="W8" s="12" t="inlineStr">
        <is>
          <t>Pymt #</t>
        </is>
      </c>
      <c r="X8" s="12" t="inlineStr">
        <is>
          <t>Proof of Payment</t>
        </is>
      </c>
      <c r="Y8" s="12" t="inlineStr">
        <is>
          <t>Payment Entity</t>
        </is>
      </c>
      <c r="Z8" s="12" t="inlineStr">
        <is>
          <t>Type</t>
        </is>
      </c>
      <c r="AA8" s="81" t="inlineStr">
        <is>
          <t xml:space="preserve">Loan Out </t>
        </is>
      </c>
      <c r="AB8" s="12" t="inlineStr">
        <is>
          <t>Qualify?</t>
        </is>
      </c>
      <c r="AC8" s="12" t="inlineStr">
        <is>
          <t>Home Address</t>
        </is>
      </c>
      <c r="AD8" s="12" t="inlineStr">
        <is>
          <t>City</t>
        </is>
      </c>
      <c r="AE8" s="12" t="inlineStr">
        <is>
          <t>State</t>
        </is>
      </c>
      <c r="AF8" s="12" t="inlineStr">
        <is>
          <t>Zip</t>
        </is>
      </c>
      <c r="AG8" s="6" t="inlineStr">
        <is>
          <t>Notes:</t>
        </is>
      </c>
      <c r="AI8" s="517" t="inlineStr">
        <is>
          <t>GROSS</t>
        </is>
      </c>
      <c r="AJ8" s="378" t="inlineStr">
        <is>
          <t>FRINGES</t>
        </is>
      </c>
      <c r="AK8" s="378" t="inlineStr">
        <is>
          <t>TOTAL</t>
        </is>
      </c>
      <c r="AL8" s="380" t="n"/>
      <c r="AM8" s="380" t="n"/>
      <c r="AN8" s="379" t="n"/>
      <c r="AO8" s="380" t="n"/>
      <c r="AP8" s="380" t="n"/>
    </row>
    <row r="9" ht="15" customHeight="1" s="358">
      <c r="A9" s="456" t="n"/>
      <c r="B9" s="11" t="n">
        <v>1</v>
      </c>
      <c r="C9" s="286" t="n"/>
      <c r="D9" s="454" t="n"/>
      <c r="E9" s="454" t="n"/>
      <c r="F9" s="36" t="n"/>
      <c r="G9" s="518" t="n"/>
      <c r="H9" s="180" t="n"/>
      <c r="I9" s="518" t="n"/>
      <c r="J9" s="518" t="n"/>
      <c r="K9" s="466" t="n"/>
      <c r="L9" s="466" t="n"/>
      <c r="M9" s="466" t="n"/>
      <c r="N9" s="466" t="n"/>
      <c r="O9" s="466" t="n"/>
      <c r="P9" s="466" t="n"/>
      <c r="Q9" s="466" t="n"/>
      <c r="R9" s="466" t="n"/>
      <c r="S9" s="466">
        <f>SUM(K9:R9)</f>
        <v/>
      </c>
      <c r="T9" s="467">
        <f>P9</f>
        <v/>
      </c>
      <c r="U9" s="466">
        <f>S9-T9</f>
        <v/>
      </c>
      <c r="V9" s="29" t="n"/>
      <c r="W9" s="29" t="n"/>
      <c r="X9" s="180" t="n"/>
      <c r="Y9" s="29" t="n"/>
      <c r="Z9" s="518" t="n"/>
      <c r="AA9" s="180" t="n"/>
      <c r="AB9" s="43" t="n"/>
      <c r="AC9" s="43" t="n"/>
      <c r="AD9" s="43" t="n"/>
      <c r="AE9" s="43" t="n"/>
      <c r="AF9" s="43" t="n"/>
      <c r="AG9" s="187" t="n"/>
      <c r="AI9" s="469">
        <f>K9+L9+M9</f>
        <v/>
      </c>
      <c r="AJ9" s="469">
        <f>O9+Q9+R9</f>
        <v/>
      </c>
      <c r="AK9" s="469">
        <f>SUM(AI9:AJ9)</f>
        <v/>
      </c>
      <c r="AL9" s="384">
        <f>AK9-U9</f>
        <v/>
      </c>
      <c r="AN9" s="470">
        <f>S9-AK9</f>
        <v/>
      </c>
      <c r="AO9" s="386">
        <f>AN9-T9</f>
        <v/>
      </c>
    </row>
    <row r="10" ht="15" customHeight="1" s="358">
      <c r="A10" s="456" t="n"/>
      <c r="B10" s="11" t="n">
        <v>2</v>
      </c>
      <c r="C10" s="287" t="n"/>
      <c r="D10" s="454" t="n"/>
      <c r="E10" s="454" t="n"/>
      <c r="F10" s="36" t="n"/>
      <c r="G10" s="518" t="n"/>
      <c r="H10" s="180" t="n"/>
      <c r="I10" s="518" t="n"/>
      <c r="J10" s="518" t="n"/>
      <c r="K10" s="466" t="n"/>
      <c r="L10" s="466" t="n"/>
      <c r="M10" s="466" t="n"/>
      <c r="N10" s="466" t="n"/>
      <c r="O10" s="466" t="n"/>
      <c r="P10" s="466" t="n"/>
      <c r="Q10" s="466" t="n"/>
      <c r="R10" s="466" t="n"/>
      <c r="S10" s="466">
        <f>SUM(K10:R10)</f>
        <v/>
      </c>
      <c r="T10" s="467">
        <f>P10</f>
        <v/>
      </c>
      <c r="U10" s="466">
        <f>S10-T10</f>
        <v/>
      </c>
      <c r="V10" s="29" t="n"/>
      <c r="W10" s="29" t="n"/>
      <c r="X10" s="180" t="n"/>
      <c r="Y10" s="29" t="n"/>
      <c r="Z10" s="518" t="n"/>
      <c r="AA10" s="180" t="n"/>
      <c r="AB10" s="43" t="n"/>
      <c r="AC10" s="43" t="n"/>
      <c r="AD10" s="43" t="n"/>
      <c r="AE10" s="43" t="n"/>
      <c r="AF10" s="43" t="n"/>
      <c r="AG10" s="36" t="n"/>
      <c r="AI10" s="469">
        <f>K10+L10+M10</f>
        <v/>
      </c>
      <c r="AJ10" s="469">
        <f>O10+Q10+R10</f>
        <v/>
      </c>
      <c r="AK10" s="469">
        <f>SUM(AI10:AJ10)</f>
        <v/>
      </c>
      <c r="AL10" s="384">
        <f>AK10-U10</f>
        <v/>
      </c>
      <c r="AN10" s="470">
        <f>S10-AK10</f>
        <v/>
      </c>
      <c r="AO10" s="386">
        <f>AN10-T10</f>
        <v/>
      </c>
    </row>
    <row r="11" ht="15" customHeight="1" s="358">
      <c r="A11" s="456" t="n"/>
      <c r="B11" s="11" t="n">
        <v>3</v>
      </c>
      <c r="C11" s="180" t="n"/>
      <c r="D11" s="454" t="n"/>
      <c r="E11" s="454" t="n"/>
      <c r="F11" s="36" t="n"/>
      <c r="G11" s="518" t="n"/>
      <c r="H11" s="180" t="n"/>
      <c r="I11" s="518" t="n"/>
      <c r="J11" s="518" t="n"/>
      <c r="K11" s="466" t="n"/>
      <c r="L11" s="466" t="n"/>
      <c r="M11" s="466" t="n"/>
      <c r="N11" s="466" t="n"/>
      <c r="O11" s="466" t="n"/>
      <c r="P11" s="466" t="n"/>
      <c r="Q11" s="466" t="n"/>
      <c r="R11" s="466" t="n"/>
      <c r="S11" s="466">
        <f>SUM(K11:R11)</f>
        <v/>
      </c>
      <c r="T11" s="467">
        <f>P11</f>
        <v/>
      </c>
      <c r="U11" s="466">
        <f>S11-T11</f>
        <v/>
      </c>
      <c r="V11" s="29" t="n"/>
      <c r="W11" s="29" t="n"/>
      <c r="X11" s="180" t="n"/>
      <c r="Y11" s="29" t="n"/>
      <c r="Z11" s="518" t="n"/>
      <c r="AA11" s="180" t="n"/>
      <c r="AB11" s="43" t="n"/>
      <c r="AC11" s="43" t="n"/>
      <c r="AD11" s="43" t="n"/>
      <c r="AE11" s="43" t="n"/>
      <c r="AF11" s="43" t="n"/>
      <c r="AG11" s="187" t="n"/>
      <c r="AI11" s="469">
        <f>K11+L11+M11</f>
        <v/>
      </c>
      <c r="AJ11" s="469">
        <f>O11+Q11+R11</f>
        <v/>
      </c>
      <c r="AK11" s="469">
        <f>SUM(AI11:AJ11)</f>
        <v/>
      </c>
      <c r="AL11" s="384">
        <f>AK11-U11</f>
        <v/>
      </c>
      <c r="AN11" s="470">
        <f>S11-AK11</f>
        <v/>
      </c>
      <c r="AO11" s="386">
        <f>AN11-T11</f>
        <v/>
      </c>
    </row>
    <row r="12" ht="15" customHeight="1" s="358">
      <c r="B12" s="11" t="n">
        <v>4</v>
      </c>
      <c r="C12" s="287" t="n"/>
      <c r="D12" s="454" t="n"/>
      <c r="E12" s="454" t="n"/>
      <c r="F12" s="36" t="n"/>
      <c r="G12" s="518" t="n"/>
      <c r="H12" s="180" t="n"/>
      <c r="I12" s="518" t="n"/>
      <c r="J12" s="518" t="n"/>
      <c r="K12" s="466" t="n"/>
      <c r="L12" s="466" t="n"/>
      <c r="M12" s="466" t="n"/>
      <c r="N12" s="466" t="n"/>
      <c r="O12" s="466" t="n"/>
      <c r="P12" s="466" t="n"/>
      <c r="Q12" s="466" t="n"/>
      <c r="R12" s="466" t="n"/>
      <c r="S12" s="466">
        <f>SUM(K12:R12)</f>
        <v/>
      </c>
      <c r="T12" s="467">
        <f>P12</f>
        <v/>
      </c>
      <c r="U12" s="466">
        <f>S12-T12</f>
        <v/>
      </c>
      <c r="V12" s="29" t="n"/>
      <c r="W12" s="518" t="n"/>
      <c r="X12" s="180" t="n"/>
      <c r="Y12" s="29" t="n"/>
      <c r="Z12" s="518" t="n"/>
      <c r="AA12" s="180" t="n"/>
      <c r="AB12" s="43" t="n"/>
      <c r="AC12" s="43" t="n"/>
      <c r="AD12" s="43" t="n"/>
      <c r="AE12" s="43" t="n"/>
      <c r="AF12" s="43" t="n"/>
      <c r="AG12" s="187" t="n"/>
      <c r="AI12" s="469">
        <f>K12+L12+M12</f>
        <v/>
      </c>
      <c r="AJ12" s="469">
        <f>O12+Q12+R12</f>
        <v/>
      </c>
      <c r="AK12" s="469">
        <f>SUM(AI12:AJ12)</f>
        <v/>
      </c>
      <c r="AL12" s="384">
        <f>AK12-U12</f>
        <v/>
      </c>
      <c r="AN12" s="470">
        <f>S12-AK12</f>
        <v/>
      </c>
      <c r="AO12" s="386">
        <f>AN12-T12</f>
        <v/>
      </c>
    </row>
    <row r="13" ht="15" customHeight="1" s="358">
      <c r="A13" s="456" t="n"/>
      <c r="B13" s="11" t="n">
        <v>5</v>
      </c>
      <c r="C13" s="286" t="n"/>
      <c r="D13" s="454" t="n"/>
      <c r="E13" s="454" t="n"/>
      <c r="F13" s="36" t="n"/>
      <c r="G13" s="518" t="n"/>
      <c r="H13" s="180" t="n"/>
      <c r="I13" s="518" t="n"/>
      <c r="J13" s="518" t="n"/>
      <c r="K13" s="466" t="n"/>
      <c r="L13" s="466" t="n"/>
      <c r="M13" s="466" t="n"/>
      <c r="N13" s="466" t="n"/>
      <c r="O13" s="466" t="n"/>
      <c r="P13" s="466" t="n"/>
      <c r="Q13" s="466" t="n"/>
      <c r="R13" s="466" t="n"/>
      <c r="S13" s="466">
        <f>SUM(K13:R13)</f>
        <v/>
      </c>
      <c r="T13" s="467">
        <f>P13</f>
        <v/>
      </c>
      <c r="U13" s="466">
        <f>S13-T13</f>
        <v/>
      </c>
      <c r="V13" s="29" t="n"/>
      <c r="W13" s="518" t="n"/>
      <c r="X13" s="180" t="n"/>
      <c r="Y13" s="29" t="n"/>
      <c r="Z13" s="518" t="n"/>
      <c r="AA13" s="180" t="n"/>
      <c r="AB13" s="43" t="n"/>
      <c r="AC13" s="43" t="n"/>
      <c r="AD13" s="43" t="n"/>
      <c r="AE13" s="43" t="n"/>
      <c r="AF13" s="43" t="n"/>
      <c r="AG13" s="187" t="n"/>
      <c r="AI13" s="469">
        <f>K13+L13+M13</f>
        <v/>
      </c>
      <c r="AJ13" s="469">
        <f>O13+Q13+R13</f>
        <v/>
      </c>
      <c r="AK13" s="469">
        <f>SUM(AI13:AJ13)</f>
        <v/>
      </c>
      <c r="AL13" s="384">
        <f>AK13-U13</f>
        <v/>
      </c>
      <c r="AN13" s="470">
        <f>S13-AK13</f>
        <v/>
      </c>
      <c r="AO13" s="386">
        <f>AN13-T13</f>
        <v/>
      </c>
    </row>
    <row r="14" ht="15" customHeight="1" s="358">
      <c r="A14" s="456" t="n"/>
      <c r="B14" s="11" t="n">
        <v>6</v>
      </c>
      <c r="C14" s="286" t="n"/>
      <c r="D14" s="454" t="n"/>
      <c r="E14" s="454" t="n"/>
      <c r="F14" s="36" t="n"/>
      <c r="G14" s="518" t="n"/>
      <c r="H14" s="180" t="n"/>
      <c r="I14" s="518" t="n"/>
      <c r="J14" s="518" t="n"/>
      <c r="K14" s="466" t="n"/>
      <c r="L14" s="466" t="n"/>
      <c r="M14" s="466" t="n"/>
      <c r="N14" s="466" t="n"/>
      <c r="O14" s="466" t="n"/>
      <c r="P14" s="466" t="n"/>
      <c r="Q14" s="466" t="n"/>
      <c r="R14" s="466" t="n"/>
      <c r="S14" s="466">
        <f>SUM(K14:R14)</f>
        <v/>
      </c>
      <c r="T14" s="467">
        <f>P14</f>
        <v/>
      </c>
      <c r="U14" s="466">
        <f>S14-T14</f>
        <v/>
      </c>
      <c r="V14" s="29" t="n"/>
      <c r="W14" s="518" t="n"/>
      <c r="X14" s="180" t="n"/>
      <c r="Y14" s="29" t="n"/>
      <c r="Z14" s="518" t="n"/>
      <c r="AA14" s="180" t="n"/>
      <c r="AB14" s="43" t="n"/>
      <c r="AC14" s="43" t="n"/>
      <c r="AD14" s="43" t="n"/>
      <c r="AE14" s="43" t="n"/>
      <c r="AF14" s="43" t="n"/>
      <c r="AG14" s="187" t="n"/>
      <c r="AI14" s="469">
        <f>K14+L14+M14</f>
        <v/>
      </c>
      <c r="AJ14" s="469">
        <f>O14+Q14+R14</f>
        <v/>
      </c>
      <c r="AK14" s="469">
        <f>SUM(AI14:AJ14)</f>
        <v/>
      </c>
      <c r="AL14" s="384">
        <f>AK14-U14</f>
        <v/>
      </c>
      <c r="AN14" s="470">
        <f>S14-AK14</f>
        <v/>
      </c>
      <c r="AO14" s="386">
        <f>AN14-T14</f>
        <v/>
      </c>
    </row>
    <row r="15" ht="15" customHeight="1" s="358">
      <c r="A15" s="456" t="n"/>
      <c r="B15" s="11" t="n">
        <v>7</v>
      </c>
      <c r="C15" s="286" t="n"/>
      <c r="D15" s="454" t="n"/>
      <c r="E15" s="454" t="n"/>
      <c r="F15" s="36" t="n"/>
      <c r="G15" s="518" t="n"/>
      <c r="H15" s="180" t="n"/>
      <c r="I15" s="518" t="n"/>
      <c r="J15" s="518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>
        <f>SUM(K15:R15)</f>
        <v/>
      </c>
      <c r="T15" s="467">
        <f>P15</f>
        <v/>
      </c>
      <c r="U15" s="466">
        <f>S15-T15</f>
        <v/>
      </c>
      <c r="V15" s="29" t="n"/>
      <c r="W15" s="518" t="n"/>
      <c r="X15" s="180" t="n"/>
      <c r="Y15" s="29" t="n"/>
      <c r="Z15" s="518" t="n"/>
      <c r="AA15" s="180" t="n"/>
      <c r="AB15" s="43" t="n"/>
      <c r="AC15" s="43" t="n"/>
      <c r="AD15" s="43" t="n"/>
      <c r="AE15" s="43" t="n"/>
      <c r="AF15" s="43" t="n"/>
      <c r="AG15" s="187" t="n"/>
      <c r="AI15" s="469">
        <f>K15+L15+M15</f>
        <v/>
      </c>
      <c r="AJ15" s="469">
        <f>O15+Q15+R15</f>
        <v/>
      </c>
      <c r="AK15" s="469">
        <f>SUM(AI15:AJ15)</f>
        <v/>
      </c>
      <c r="AL15" s="384">
        <f>AK15-U15</f>
        <v/>
      </c>
      <c r="AN15" s="470">
        <f>S15-AK15</f>
        <v/>
      </c>
      <c r="AO15" s="386">
        <f>AN15-T15</f>
        <v/>
      </c>
    </row>
    <row r="16" ht="15" customHeight="1" s="358">
      <c r="B16" s="11" t="n">
        <v>8</v>
      </c>
      <c r="C16" s="286" t="n"/>
      <c r="D16" s="454" t="n"/>
      <c r="E16" s="454" t="n"/>
      <c r="F16" s="36" t="n"/>
      <c r="G16" s="518" t="n"/>
      <c r="H16" s="180" t="n"/>
      <c r="I16" s="518" t="n"/>
      <c r="J16" s="518" t="n"/>
      <c r="K16" s="466" t="n"/>
      <c r="L16" s="466" t="n"/>
      <c r="M16" s="466" t="n"/>
      <c r="N16" s="466" t="n"/>
      <c r="O16" s="466" t="n"/>
      <c r="P16" s="466" t="n"/>
      <c r="Q16" s="466" t="n"/>
      <c r="R16" s="466" t="n"/>
      <c r="S16" s="466">
        <f>SUM(K16:R16)</f>
        <v/>
      </c>
      <c r="T16" s="467">
        <f>P16</f>
        <v/>
      </c>
      <c r="U16" s="466">
        <f>S16-T16</f>
        <v/>
      </c>
      <c r="V16" s="29" t="n"/>
      <c r="W16" s="518" t="n"/>
      <c r="X16" s="180" t="n"/>
      <c r="Y16" s="29" t="n"/>
      <c r="Z16" s="518" t="n"/>
      <c r="AA16" s="180" t="n"/>
      <c r="AB16" s="43" t="n"/>
      <c r="AC16" s="43" t="n"/>
      <c r="AD16" s="43" t="n"/>
      <c r="AE16" s="43" t="n"/>
      <c r="AF16" s="43" t="n"/>
      <c r="AG16" s="187" t="n"/>
      <c r="AI16" s="469">
        <f>K16+L16+M16</f>
        <v/>
      </c>
      <c r="AJ16" s="469">
        <f>O16+Q16+R16</f>
        <v/>
      </c>
      <c r="AK16" s="469">
        <f>SUM(AI16:AJ16)</f>
        <v/>
      </c>
      <c r="AL16" s="384">
        <f>AK16-U16</f>
        <v/>
      </c>
      <c r="AN16" s="470">
        <f>S16-AK16</f>
        <v/>
      </c>
      <c r="AO16" s="386">
        <f>AN16-T16</f>
        <v/>
      </c>
    </row>
    <row r="17" customFormat="1" s="32">
      <c r="A17" s="519" t="n"/>
      <c r="B17" s="11" t="n">
        <v>9</v>
      </c>
      <c r="C17" s="286" t="n"/>
      <c r="D17" s="454" t="n"/>
      <c r="E17" s="454" t="n"/>
      <c r="F17" s="36" t="n"/>
      <c r="G17" s="518" t="n"/>
      <c r="H17" s="180" t="n"/>
      <c r="I17" s="518" t="n"/>
      <c r="J17" s="518" t="n"/>
      <c r="K17" s="466" t="n"/>
      <c r="L17" s="466" t="n"/>
      <c r="M17" s="466" t="n"/>
      <c r="N17" s="466" t="n"/>
      <c r="O17" s="466" t="n"/>
      <c r="P17" s="466" t="n"/>
      <c r="Q17" s="466" t="n"/>
      <c r="R17" s="466" t="n"/>
      <c r="S17" s="466">
        <f>SUM(K17:R17)</f>
        <v/>
      </c>
      <c r="T17" s="467">
        <f>P17</f>
        <v/>
      </c>
      <c r="U17" s="466">
        <f>S17-T17</f>
        <v/>
      </c>
      <c r="V17" s="29" t="n"/>
      <c r="W17" s="518" t="n"/>
      <c r="X17" s="180" t="n"/>
      <c r="Y17" s="29" t="n"/>
      <c r="Z17" s="518" t="n"/>
      <c r="AA17" s="180" t="n"/>
      <c r="AB17" s="43" t="n"/>
      <c r="AC17" s="43" t="n"/>
      <c r="AD17" s="43" t="n"/>
      <c r="AE17" s="43" t="n"/>
      <c r="AF17" s="43" t="n"/>
      <c r="AG17" s="187" t="n"/>
      <c r="AI17" s="469">
        <f>K17+L17+M17</f>
        <v/>
      </c>
      <c r="AJ17" s="469">
        <f>O17+Q17+R17</f>
        <v/>
      </c>
      <c r="AK17" s="469">
        <f>SUM(AI17:AJ17)</f>
        <v/>
      </c>
      <c r="AL17" s="384">
        <f>AK17-U17</f>
        <v/>
      </c>
      <c r="AM17" s="370" t="n"/>
      <c r="AN17" s="470">
        <f>S17-AK17</f>
        <v/>
      </c>
      <c r="AO17" s="386">
        <f>AN17-T17</f>
        <v/>
      </c>
      <c r="AP17" s="370" t="n"/>
    </row>
    <row r="18" ht="15" customHeight="1" s="358">
      <c r="A18" s="456" t="n"/>
      <c r="B18" s="11" t="n">
        <v>10</v>
      </c>
      <c r="C18" s="286" t="n"/>
      <c r="D18" s="454" t="n"/>
      <c r="E18" s="454" t="n"/>
      <c r="F18" s="36" t="n"/>
      <c r="G18" s="518" t="n"/>
      <c r="H18" s="180" t="n"/>
      <c r="I18" s="518" t="n"/>
      <c r="J18" s="518" t="n"/>
      <c r="K18" s="466" t="n"/>
      <c r="L18" s="466" t="n"/>
      <c r="M18" s="466" t="n"/>
      <c r="N18" s="466" t="n"/>
      <c r="O18" s="466" t="n"/>
      <c r="P18" s="466" t="n"/>
      <c r="Q18" s="466" t="n"/>
      <c r="R18" s="466" t="n"/>
      <c r="S18" s="466">
        <f>SUM(K18:R18)</f>
        <v/>
      </c>
      <c r="T18" s="467">
        <f>P18</f>
        <v/>
      </c>
      <c r="U18" s="466">
        <f>S18-T18</f>
        <v/>
      </c>
      <c r="V18" s="29" t="n"/>
      <c r="W18" s="518" t="n"/>
      <c r="X18" s="180" t="n"/>
      <c r="Y18" s="29" t="n"/>
      <c r="Z18" s="518" t="n"/>
      <c r="AA18" s="180" t="n"/>
      <c r="AB18" s="43" t="n"/>
      <c r="AC18" s="43" t="n"/>
      <c r="AD18" s="43" t="n"/>
      <c r="AE18" s="43" t="n"/>
      <c r="AF18" s="43" t="n"/>
      <c r="AG18" s="187" t="n"/>
      <c r="AI18" s="469">
        <f>K18+L18+M18</f>
        <v/>
      </c>
      <c r="AJ18" s="469">
        <f>O18+Q18+R18</f>
        <v/>
      </c>
      <c r="AK18" s="469">
        <f>SUM(AI18:AJ18)</f>
        <v/>
      </c>
      <c r="AL18" s="384">
        <f>AK18-U18</f>
        <v/>
      </c>
      <c r="AN18" s="470">
        <f>S18-AK18</f>
        <v/>
      </c>
      <c r="AO18" s="386">
        <f>AN18-T18</f>
        <v/>
      </c>
    </row>
    <row r="19" ht="15" customHeight="1" s="358">
      <c r="B19" s="11" t="n">
        <v>11</v>
      </c>
      <c r="C19" s="287" t="n"/>
      <c r="D19" s="454" t="n"/>
      <c r="E19" s="454" t="n"/>
      <c r="F19" s="36" t="n"/>
      <c r="G19" s="518" t="n"/>
      <c r="H19" s="180" t="n"/>
      <c r="I19" s="518" t="n"/>
      <c r="J19" s="518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>
        <f>SUM(K19:R19)</f>
        <v/>
      </c>
      <c r="T19" s="467">
        <f>P19</f>
        <v/>
      </c>
      <c r="U19" s="466">
        <f>S19-T19</f>
        <v/>
      </c>
      <c r="V19" s="29" t="n"/>
      <c r="W19" s="518" t="n"/>
      <c r="X19" s="180" t="n"/>
      <c r="Y19" s="29" t="n"/>
      <c r="Z19" s="518" t="n"/>
      <c r="AA19" s="180" t="n"/>
      <c r="AB19" s="43" t="n"/>
      <c r="AC19" s="43" t="n"/>
      <c r="AD19" s="43" t="n"/>
      <c r="AE19" s="43" t="n"/>
      <c r="AF19" s="43" t="n"/>
      <c r="AG19" s="187" t="n"/>
      <c r="AI19" s="469">
        <f>K19+L19+M19</f>
        <v/>
      </c>
      <c r="AJ19" s="469">
        <f>O19+Q19+R19</f>
        <v/>
      </c>
      <c r="AK19" s="469">
        <f>SUM(AI19:AJ19)</f>
        <v/>
      </c>
      <c r="AL19" s="384">
        <f>AK19-U19</f>
        <v/>
      </c>
      <c r="AN19" s="470">
        <f>S19-AK19</f>
        <v/>
      </c>
      <c r="AO19" s="386">
        <f>AN19-T19</f>
        <v/>
      </c>
    </row>
    <row r="20" ht="15" customHeight="1" s="358">
      <c r="B20" s="11" t="n">
        <v>12</v>
      </c>
      <c r="C20" s="287" t="n"/>
      <c r="D20" s="454" t="n"/>
      <c r="E20" s="454" t="n"/>
      <c r="F20" s="36" t="n"/>
      <c r="G20" s="518" t="n"/>
      <c r="H20" s="180" t="n"/>
      <c r="I20" s="518" t="n"/>
      <c r="J20" s="518" t="n"/>
      <c r="K20" s="466" t="n"/>
      <c r="L20" s="466" t="n"/>
      <c r="M20" s="466" t="n"/>
      <c r="N20" s="466" t="n"/>
      <c r="O20" s="466" t="n"/>
      <c r="P20" s="466" t="n"/>
      <c r="Q20" s="466" t="n"/>
      <c r="R20" s="466" t="n"/>
      <c r="S20" s="466">
        <f>SUM(K20:R20)</f>
        <v/>
      </c>
      <c r="T20" s="467">
        <f>P20</f>
        <v/>
      </c>
      <c r="U20" s="466">
        <f>S20-T20</f>
        <v/>
      </c>
      <c r="V20" s="29" t="n"/>
      <c r="W20" s="518" t="n"/>
      <c r="X20" s="180" t="n"/>
      <c r="Y20" s="29" t="n"/>
      <c r="Z20" s="518" t="n"/>
      <c r="AA20" s="180" t="n"/>
      <c r="AB20" s="43" t="n"/>
      <c r="AC20" s="43" t="n"/>
      <c r="AD20" s="43" t="n"/>
      <c r="AE20" s="43" t="n"/>
      <c r="AF20" s="43" t="n"/>
      <c r="AG20" s="187" t="n"/>
      <c r="AI20" s="469">
        <f>K20+L20+M20</f>
        <v/>
      </c>
      <c r="AJ20" s="469">
        <f>O20+Q20+R20</f>
        <v/>
      </c>
      <c r="AK20" s="469">
        <f>SUM(AI20:AJ20)</f>
        <v/>
      </c>
      <c r="AL20" s="384">
        <f>AK20-U20</f>
        <v/>
      </c>
      <c r="AN20" s="470">
        <f>S20-AK20</f>
        <v/>
      </c>
      <c r="AO20" s="386">
        <f>AN20-T20</f>
        <v/>
      </c>
    </row>
    <row r="21" ht="15" customHeight="1" s="358">
      <c r="A21" s="456" t="n"/>
      <c r="B21" s="11" t="n">
        <v>13</v>
      </c>
      <c r="C21" s="287" t="n"/>
      <c r="D21" s="454" t="n"/>
      <c r="E21" s="454" t="n"/>
      <c r="F21" s="36" t="n"/>
      <c r="G21" s="518" t="n"/>
      <c r="H21" s="180" t="n"/>
      <c r="I21" s="518" t="n"/>
      <c r="J21" s="518" t="n"/>
      <c r="K21" s="466" t="n"/>
      <c r="L21" s="466" t="n"/>
      <c r="M21" s="466" t="n"/>
      <c r="N21" s="466" t="n"/>
      <c r="O21" s="466" t="n"/>
      <c r="P21" s="466" t="n"/>
      <c r="Q21" s="466" t="n"/>
      <c r="R21" s="466" t="n"/>
      <c r="S21" s="466">
        <f>SUM(K21:R21)</f>
        <v/>
      </c>
      <c r="T21" s="467">
        <f>P21</f>
        <v/>
      </c>
      <c r="U21" s="466">
        <f>S21-T21</f>
        <v/>
      </c>
      <c r="V21" s="29" t="n"/>
      <c r="W21" s="518" t="n"/>
      <c r="X21" s="180" t="n"/>
      <c r="Y21" s="29" t="n"/>
      <c r="Z21" s="518" t="n"/>
      <c r="AA21" s="180" t="n"/>
      <c r="AB21" s="43" t="n"/>
      <c r="AC21" s="43" t="n"/>
      <c r="AD21" s="43" t="n"/>
      <c r="AE21" s="43" t="n"/>
      <c r="AF21" s="43" t="n"/>
      <c r="AG21" s="187" t="n"/>
      <c r="AI21" s="469">
        <f>K21+L21+M21</f>
        <v/>
      </c>
      <c r="AJ21" s="469">
        <f>O21+Q21+R21</f>
        <v/>
      </c>
      <c r="AK21" s="469">
        <f>SUM(AI21:AJ21)</f>
        <v/>
      </c>
      <c r="AL21" s="384">
        <f>AK21-U21</f>
        <v/>
      </c>
      <c r="AN21" s="470">
        <f>S21-AK21</f>
        <v/>
      </c>
      <c r="AO21" s="386">
        <f>AN21-T21</f>
        <v/>
      </c>
    </row>
    <row r="22" ht="15" customHeight="1" s="358">
      <c r="A22" s="456" t="n"/>
      <c r="B22" s="11" t="n">
        <v>14</v>
      </c>
      <c r="C22" s="287" t="n"/>
      <c r="D22" s="454" t="n"/>
      <c r="E22" s="454" t="n"/>
      <c r="F22" s="36" t="n"/>
      <c r="G22" s="518" t="n"/>
      <c r="H22" s="180" t="n"/>
      <c r="I22" s="518" t="n"/>
      <c r="J22" s="518" t="n"/>
      <c r="K22" s="466" t="n"/>
      <c r="L22" s="466" t="n"/>
      <c r="M22" s="466" t="n"/>
      <c r="N22" s="466" t="n"/>
      <c r="O22" s="466" t="n"/>
      <c r="P22" s="466" t="n"/>
      <c r="Q22" s="466" t="n"/>
      <c r="R22" s="466" t="n"/>
      <c r="S22" s="466">
        <f>SUM(K22:R22)</f>
        <v/>
      </c>
      <c r="T22" s="467">
        <f>P22</f>
        <v/>
      </c>
      <c r="U22" s="466">
        <f>S22-T22</f>
        <v/>
      </c>
      <c r="V22" s="29" t="n"/>
      <c r="W22" s="518" t="n"/>
      <c r="X22" s="180" t="n"/>
      <c r="Y22" s="29" t="n"/>
      <c r="Z22" s="518" t="n"/>
      <c r="AA22" s="180" t="n"/>
      <c r="AB22" s="43" t="n"/>
      <c r="AC22" s="43" t="n"/>
      <c r="AD22" s="43" t="n"/>
      <c r="AE22" s="43" t="n"/>
      <c r="AF22" s="43" t="n"/>
      <c r="AG22" s="187" t="n"/>
      <c r="AI22" s="469">
        <f>K22+L22+M22</f>
        <v/>
      </c>
      <c r="AJ22" s="469">
        <f>O22+Q22+R22</f>
        <v/>
      </c>
      <c r="AK22" s="469">
        <f>SUM(AI22:AJ22)</f>
        <v/>
      </c>
      <c r="AL22" s="384">
        <f>AK22-U22</f>
        <v/>
      </c>
      <c r="AN22" s="470">
        <f>S22-AK22</f>
        <v/>
      </c>
      <c r="AO22" s="386">
        <f>AN22-T22</f>
        <v/>
      </c>
    </row>
    <row r="23" ht="15" customHeight="1" s="358">
      <c r="A23" s="456" t="n"/>
      <c r="B23" s="11" t="n">
        <v>15</v>
      </c>
      <c r="C23" s="287" t="n"/>
      <c r="D23" s="454" t="n"/>
      <c r="E23" s="454" t="n"/>
      <c r="F23" s="36" t="n"/>
      <c r="G23" s="518" t="n"/>
      <c r="H23" s="180" t="n"/>
      <c r="I23" s="518" t="n"/>
      <c r="J23" s="518" t="n"/>
      <c r="K23" s="466" t="n"/>
      <c r="L23" s="466" t="n"/>
      <c r="M23" s="466" t="n"/>
      <c r="N23" s="466" t="n"/>
      <c r="O23" s="466" t="n"/>
      <c r="P23" s="466" t="n"/>
      <c r="Q23" s="466" t="n"/>
      <c r="R23" s="466" t="n"/>
      <c r="S23" s="466">
        <f>SUM(K23:R23)</f>
        <v/>
      </c>
      <c r="T23" s="467">
        <f>P23</f>
        <v/>
      </c>
      <c r="U23" s="466">
        <f>S23-T23</f>
        <v/>
      </c>
      <c r="V23" s="29" t="n"/>
      <c r="W23" s="518" t="n"/>
      <c r="X23" s="180" t="n"/>
      <c r="Y23" s="29" t="n"/>
      <c r="Z23" s="518" t="n"/>
      <c r="AA23" s="180" t="n"/>
      <c r="AB23" s="43" t="n"/>
      <c r="AC23" s="43" t="n"/>
      <c r="AD23" s="43" t="n"/>
      <c r="AE23" s="43" t="n"/>
      <c r="AF23" s="43" t="n"/>
      <c r="AG23" s="187" t="n"/>
      <c r="AI23" s="469">
        <f>K23+L23+M23</f>
        <v/>
      </c>
      <c r="AJ23" s="469">
        <f>O23+Q23+R23</f>
        <v/>
      </c>
      <c r="AK23" s="469">
        <f>SUM(AI23:AJ23)</f>
        <v/>
      </c>
      <c r="AL23" s="384">
        <f>AK23-U23</f>
        <v/>
      </c>
      <c r="AN23" s="470">
        <f>S23-AK23</f>
        <v/>
      </c>
      <c r="AO23" s="386">
        <f>AN23-T23</f>
        <v/>
      </c>
    </row>
    <row r="24" ht="15" customHeight="1" s="358">
      <c r="B24" s="11" t="n">
        <v>16</v>
      </c>
      <c r="C24" s="287" t="n"/>
      <c r="D24" s="454" t="n"/>
      <c r="E24" s="454" t="n"/>
      <c r="F24" s="36" t="n"/>
      <c r="G24" s="518" t="n"/>
      <c r="H24" s="180" t="n"/>
      <c r="I24" s="518" t="n"/>
      <c r="J24" s="518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>
        <f>SUM(K24:R24)</f>
        <v/>
      </c>
      <c r="T24" s="467">
        <f>P24</f>
        <v/>
      </c>
      <c r="U24" s="466">
        <f>S24-T24</f>
        <v/>
      </c>
      <c r="V24" s="29" t="n"/>
      <c r="W24" s="518" t="n"/>
      <c r="X24" s="180" t="n"/>
      <c r="Y24" s="29" t="n"/>
      <c r="Z24" s="518" t="n"/>
      <c r="AA24" s="180" t="n"/>
      <c r="AB24" s="43" t="n"/>
      <c r="AC24" s="43" t="n"/>
      <c r="AD24" s="43" t="n"/>
      <c r="AE24" s="43" t="n"/>
      <c r="AF24" s="43" t="n"/>
      <c r="AG24" s="36" t="n"/>
      <c r="AI24" s="469">
        <f>K24+L24+M24</f>
        <v/>
      </c>
      <c r="AJ24" s="469">
        <f>O24+Q24+R24</f>
        <v/>
      </c>
      <c r="AK24" s="469">
        <f>SUM(AI24:AJ24)</f>
        <v/>
      </c>
      <c r="AL24" s="384">
        <f>AK24-U24</f>
        <v/>
      </c>
      <c r="AN24" s="470">
        <f>S24-AK24</f>
        <v/>
      </c>
      <c r="AO24" s="386">
        <f>AN24-T24</f>
        <v/>
      </c>
    </row>
    <row r="25" ht="15" customHeight="1" s="358">
      <c r="B25" s="11" t="n">
        <v>17</v>
      </c>
      <c r="C25" s="287" t="n"/>
      <c r="D25" s="454" t="n"/>
      <c r="E25" s="454" t="n"/>
      <c r="F25" s="36" t="n"/>
      <c r="G25" s="518" t="n"/>
      <c r="H25" s="180" t="n"/>
      <c r="I25" s="518" t="n"/>
      <c r="J25" s="518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>
        <f>SUM(K25:R25)</f>
        <v/>
      </c>
      <c r="T25" s="467">
        <f>P25</f>
        <v/>
      </c>
      <c r="U25" s="466">
        <f>S25-T25</f>
        <v/>
      </c>
      <c r="V25" s="29" t="n"/>
      <c r="W25" s="518" t="n"/>
      <c r="X25" s="180" t="n"/>
      <c r="Y25" s="29" t="n"/>
      <c r="Z25" s="518" t="n"/>
      <c r="AA25" s="180" t="n"/>
      <c r="AB25" s="43" t="n"/>
      <c r="AC25" s="43" t="n"/>
      <c r="AD25" s="43" t="n"/>
      <c r="AE25" s="43" t="n"/>
      <c r="AF25" s="43" t="n"/>
      <c r="AG25" s="187" t="n"/>
      <c r="AI25" s="469">
        <f>K25+L25+M25</f>
        <v/>
      </c>
      <c r="AJ25" s="469">
        <f>O25+Q25+R25</f>
        <v/>
      </c>
      <c r="AK25" s="469">
        <f>SUM(AI25:AJ25)</f>
        <v/>
      </c>
      <c r="AL25" s="384">
        <f>AK25-U25</f>
        <v/>
      </c>
      <c r="AN25" s="470">
        <f>S25-AK25</f>
        <v/>
      </c>
      <c r="AO25" s="386">
        <f>AN25-T25</f>
        <v/>
      </c>
    </row>
    <row r="26" ht="15" customHeight="1" s="358">
      <c r="B26" s="11" t="n">
        <v>18</v>
      </c>
      <c r="C26" s="287" t="n"/>
      <c r="D26" s="454" t="n"/>
      <c r="E26" s="454" t="n"/>
      <c r="F26" s="36" t="n"/>
      <c r="G26" s="518" t="n"/>
      <c r="H26" s="180" t="n"/>
      <c r="I26" s="518" t="n"/>
      <c r="J26" s="518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>
        <f>SUM(K26:R26)</f>
        <v/>
      </c>
      <c r="T26" s="467">
        <f>P26</f>
        <v/>
      </c>
      <c r="U26" s="466">
        <f>S26-T26</f>
        <v/>
      </c>
      <c r="V26" s="29" t="n"/>
      <c r="W26" s="518" t="n"/>
      <c r="X26" s="180" t="n"/>
      <c r="Y26" s="29" t="n"/>
      <c r="Z26" s="518" t="n"/>
      <c r="AA26" s="180" t="n"/>
      <c r="AB26" s="43" t="n"/>
      <c r="AC26" s="43" t="n"/>
      <c r="AD26" s="43" t="n"/>
      <c r="AE26" s="43" t="n"/>
      <c r="AF26" s="43" t="n"/>
      <c r="AG26" s="36" t="n"/>
      <c r="AI26" s="469">
        <f>K26+L26+M26</f>
        <v/>
      </c>
      <c r="AJ26" s="469">
        <f>O26+Q26+R26</f>
        <v/>
      </c>
      <c r="AK26" s="469">
        <f>SUM(AI26:AJ26)</f>
        <v/>
      </c>
      <c r="AL26" s="384">
        <f>AK26-U26</f>
        <v/>
      </c>
      <c r="AN26" s="470">
        <f>S26-AK26</f>
        <v/>
      </c>
      <c r="AO26" s="386">
        <f>AN26-T26</f>
        <v/>
      </c>
    </row>
    <row r="27" ht="15" customHeight="1" s="358">
      <c r="B27" s="11" t="n">
        <v>19</v>
      </c>
      <c r="C27" s="287" t="n"/>
      <c r="D27" s="454" t="n"/>
      <c r="E27" s="454" t="n"/>
      <c r="F27" s="36" t="n"/>
      <c r="G27" s="518" t="n"/>
      <c r="H27" s="180" t="n"/>
      <c r="I27" s="518" t="n"/>
      <c r="J27" s="518" t="n"/>
      <c r="K27" s="466" t="n"/>
      <c r="L27" s="466" t="n"/>
      <c r="M27" s="466" t="n"/>
      <c r="N27" s="466" t="n"/>
      <c r="O27" s="466" t="n"/>
      <c r="P27" s="466" t="n"/>
      <c r="Q27" s="466" t="n"/>
      <c r="R27" s="466" t="n"/>
      <c r="S27" s="466">
        <f>SUM(K27:R27)</f>
        <v/>
      </c>
      <c r="T27" s="467">
        <f>P27</f>
        <v/>
      </c>
      <c r="U27" s="466">
        <f>S27-T27</f>
        <v/>
      </c>
      <c r="V27" s="29" t="n"/>
      <c r="W27" s="518" t="n"/>
      <c r="X27" s="180" t="n"/>
      <c r="Y27" s="29" t="n"/>
      <c r="Z27" s="518" t="n"/>
      <c r="AA27" s="180" t="n"/>
      <c r="AB27" s="43" t="n"/>
      <c r="AC27" s="43" t="n"/>
      <c r="AD27" s="43" t="n"/>
      <c r="AE27" s="43" t="n"/>
      <c r="AF27" s="43" t="n"/>
      <c r="AG27" s="187" t="n"/>
      <c r="AI27" s="469">
        <f>K27+L27+M27</f>
        <v/>
      </c>
      <c r="AJ27" s="469">
        <f>O27+Q27+R27</f>
        <v/>
      </c>
      <c r="AK27" s="469">
        <f>SUM(AI27:AJ27)</f>
        <v/>
      </c>
      <c r="AL27" s="384">
        <f>AK27-U27</f>
        <v/>
      </c>
      <c r="AN27" s="470">
        <f>S27-AK27</f>
        <v/>
      </c>
      <c r="AO27" s="386">
        <f>AN27-T27</f>
        <v/>
      </c>
    </row>
    <row r="28" ht="15" customHeight="1" s="358">
      <c r="B28" s="11" t="n">
        <v>20</v>
      </c>
      <c r="C28" s="287" t="n"/>
      <c r="D28" s="454" t="n"/>
      <c r="E28" s="454" t="n"/>
      <c r="F28" s="36" t="n"/>
      <c r="G28" s="518" t="n"/>
      <c r="H28" s="180" t="n"/>
      <c r="I28" s="518" t="n"/>
      <c r="J28" s="518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>
        <f>SUM(K28:R28)</f>
        <v/>
      </c>
      <c r="T28" s="467">
        <f>P28</f>
        <v/>
      </c>
      <c r="U28" s="466">
        <f>S28-T28</f>
        <v/>
      </c>
      <c r="V28" s="29" t="n"/>
      <c r="W28" s="518" t="n"/>
      <c r="X28" s="180" t="n"/>
      <c r="Y28" s="29" t="n"/>
      <c r="Z28" s="518" t="n"/>
      <c r="AA28" s="180" t="n"/>
      <c r="AB28" s="43" t="n"/>
      <c r="AC28" s="43" t="n"/>
      <c r="AD28" s="43" t="n"/>
      <c r="AE28" s="43" t="n"/>
      <c r="AF28" s="43" t="n"/>
      <c r="AG28" s="36" t="n"/>
      <c r="AI28" s="469">
        <f>K28+L28+M28</f>
        <v/>
      </c>
      <c r="AJ28" s="469">
        <f>O28+Q28+R28</f>
        <v/>
      </c>
      <c r="AK28" s="469">
        <f>SUM(AI28:AJ28)</f>
        <v/>
      </c>
      <c r="AL28" s="384">
        <f>AK28-U28</f>
        <v/>
      </c>
      <c r="AN28" s="470">
        <f>S28-AK28</f>
        <v/>
      </c>
      <c r="AO28" s="386">
        <f>AN28-T28</f>
        <v/>
      </c>
    </row>
    <row r="29" ht="15" customHeight="1" s="358">
      <c r="B29" s="11" t="n">
        <v>21</v>
      </c>
      <c r="C29" s="287" t="n"/>
      <c r="D29" s="454" t="n"/>
      <c r="E29" s="454" t="n"/>
      <c r="F29" s="36" t="n"/>
      <c r="G29" s="518" t="n"/>
      <c r="H29" s="180" t="n"/>
      <c r="I29" s="518" t="n"/>
      <c r="J29" s="518" t="n"/>
      <c r="K29" s="466" t="n"/>
      <c r="L29" s="466" t="n"/>
      <c r="M29" s="466" t="n"/>
      <c r="N29" s="466" t="n"/>
      <c r="O29" s="466" t="n"/>
      <c r="P29" s="466" t="n"/>
      <c r="Q29" s="466" t="n"/>
      <c r="R29" s="466" t="n"/>
      <c r="S29" s="466">
        <f>SUM(K29:R29)</f>
        <v/>
      </c>
      <c r="T29" s="467">
        <f>P29</f>
        <v/>
      </c>
      <c r="U29" s="466">
        <f>S29-T29</f>
        <v/>
      </c>
      <c r="V29" s="29" t="n"/>
      <c r="W29" s="518" t="n"/>
      <c r="X29" s="180" t="n"/>
      <c r="Y29" s="29" t="n"/>
      <c r="Z29" s="518" t="n"/>
      <c r="AA29" s="180" t="n"/>
      <c r="AB29" s="43" t="n"/>
      <c r="AC29" s="43" t="n"/>
      <c r="AD29" s="43" t="n"/>
      <c r="AE29" s="43" t="n"/>
      <c r="AF29" s="43" t="n"/>
      <c r="AG29" s="187" t="n"/>
      <c r="AI29" s="469">
        <f>K29+L29+M29</f>
        <v/>
      </c>
      <c r="AJ29" s="469">
        <f>O29+Q29+R29</f>
        <v/>
      </c>
      <c r="AK29" s="469">
        <f>SUM(AI29:AJ29)</f>
        <v/>
      </c>
      <c r="AL29" s="384">
        <f>AK29-U29</f>
        <v/>
      </c>
      <c r="AN29" s="470">
        <f>S29-AK29</f>
        <v/>
      </c>
      <c r="AO29" s="386">
        <f>AN29-T29</f>
        <v/>
      </c>
    </row>
    <row r="30" ht="15" customHeight="1" s="358">
      <c r="B30" s="11" t="n">
        <v>22</v>
      </c>
      <c r="C30" s="287" t="n"/>
      <c r="D30" s="454" t="n"/>
      <c r="E30" s="454" t="n"/>
      <c r="F30" s="36" t="n"/>
      <c r="G30" s="518" t="n"/>
      <c r="H30" s="180" t="n"/>
      <c r="I30" s="518" t="n"/>
      <c r="J30" s="518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>
        <f>SUM(K30:R30)</f>
        <v/>
      </c>
      <c r="T30" s="467">
        <f>P30</f>
        <v/>
      </c>
      <c r="U30" s="466">
        <f>S30-T30</f>
        <v/>
      </c>
      <c r="V30" s="29" t="n"/>
      <c r="W30" s="518" t="n"/>
      <c r="X30" s="180" t="n"/>
      <c r="Y30" s="29" t="n"/>
      <c r="Z30" s="518" t="n"/>
      <c r="AA30" s="180" t="n"/>
      <c r="AB30" s="43" t="n"/>
      <c r="AC30" s="43" t="n"/>
      <c r="AD30" s="43" t="n"/>
      <c r="AE30" s="43" t="n"/>
      <c r="AF30" s="43" t="n"/>
      <c r="AG30" s="36" t="n"/>
      <c r="AI30" s="469">
        <f>K30+L30+M30</f>
        <v/>
      </c>
      <c r="AJ30" s="469">
        <f>O30+Q30+R30</f>
        <v/>
      </c>
      <c r="AK30" s="469">
        <f>SUM(AI30:AJ30)</f>
        <v/>
      </c>
      <c r="AL30" s="384">
        <f>AK30-U30</f>
        <v/>
      </c>
      <c r="AN30" s="470">
        <f>S30-AK30</f>
        <v/>
      </c>
      <c r="AO30" s="386">
        <f>AN30-T30</f>
        <v/>
      </c>
    </row>
    <row r="31" ht="15" customHeight="1" s="358">
      <c r="B31" s="11" t="n">
        <v>23</v>
      </c>
      <c r="C31" s="188" t="n"/>
      <c r="D31" s="454" t="n"/>
      <c r="E31" s="454" t="n"/>
      <c r="F31" s="36" t="n"/>
      <c r="G31" s="518" t="n"/>
      <c r="H31" s="180" t="n"/>
      <c r="I31" s="518" t="n"/>
      <c r="J31" s="518" t="n"/>
      <c r="K31" s="466" t="n"/>
      <c r="L31" s="466" t="n"/>
      <c r="M31" s="466" t="n"/>
      <c r="N31" s="466" t="n"/>
      <c r="O31" s="466" t="n"/>
      <c r="P31" s="466" t="n"/>
      <c r="Q31" s="466" t="n"/>
      <c r="R31" s="466" t="n"/>
      <c r="S31" s="466">
        <f>SUM(K31:R31)</f>
        <v/>
      </c>
      <c r="T31" s="467">
        <f>P31</f>
        <v/>
      </c>
      <c r="U31" s="466">
        <f>S31-T31</f>
        <v/>
      </c>
      <c r="V31" s="29" t="n"/>
      <c r="W31" s="518" t="n"/>
      <c r="X31" s="180" t="n"/>
      <c r="Y31" s="29" t="n"/>
      <c r="Z31" s="518" t="n"/>
      <c r="AA31" s="180" t="n"/>
      <c r="AB31" s="43" t="n"/>
      <c r="AC31" s="43" t="n"/>
      <c r="AD31" s="43" t="n"/>
      <c r="AE31" s="43" t="n"/>
      <c r="AF31" s="43" t="n"/>
      <c r="AG31" s="187" t="n"/>
      <c r="AI31" s="469">
        <f>K31+L31+M31</f>
        <v/>
      </c>
      <c r="AJ31" s="469">
        <f>O31+Q31+R31</f>
        <v/>
      </c>
      <c r="AK31" s="469">
        <f>SUM(AI31:AJ31)</f>
        <v/>
      </c>
      <c r="AL31" s="384">
        <f>AK31-U31</f>
        <v/>
      </c>
      <c r="AN31" s="470">
        <f>S31-AK31</f>
        <v/>
      </c>
      <c r="AO31" s="386">
        <f>AN31-T31</f>
        <v/>
      </c>
    </row>
    <row r="32" ht="15" customHeight="1" s="358">
      <c r="B32" s="11" t="n">
        <v>24</v>
      </c>
      <c r="C32" s="188" t="n"/>
      <c r="D32" s="454" t="n"/>
      <c r="E32" s="454" t="n"/>
      <c r="F32" s="36" t="n"/>
      <c r="G32" s="518" t="n"/>
      <c r="H32" s="180" t="n"/>
      <c r="I32" s="518" t="n"/>
      <c r="J32" s="518" t="n"/>
      <c r="K32" s="466" t="n"/>
      <c r="L32" s="466" t="n"/>
      <c r="M32" s="466" t="n"/>
      <c r="N32" s="466" t="n"/>
      <c r="O32" s="466" t="n"/>
      <c r="P32" s="466" t="n"/>
      <c r="Q32" s="466" t="n"/>
      <c r="R32" s="466" t="n"/>
      <c r="S32" s="466">
        <f>SUM(K32:R32)</f>
        <v/>
      </c>
      <c r="T32" s="467">
        <f>P32</f>
        <v/>
      </c>
      <c r="U32" s="466">
        <f>S32-T32</f>
        <v/>
      </c>
      <c r="V32" s="29" t="n"/>
      <c r="W32" s="518" t="n"/>
      <c r="X32" s="180" t="n"/>
      <c r="Y32" s="29" t="n"/>
      <c r="Z32" s="518" t="n"/>
      <c r="AA32" s="180" t="n"/>
      <c r="AB32" s="43" t="n"/>
      <c r="AC32" s="43" t="n"/>
      <c r="AD32" s="43" t="n"/>
      <c r="AE32" s="43" t="n"/>
      <c r="AF32" s="43" t="n"/>
      <c r="AG32" s="187" t="n"/>
      <c r="AI32" s="469">
        <f>K32+L32+M32</f>
        <v/>
      </c>
      <c r="AJ32" s="469">
        <f>O32+Q32+R32</f>
        <v/>
      </c>
      <c r="AK32" s="469">
        <f>SUM(AI32:AJ32)</f>
        <v/>
      </c>
      <c r="AL32" s="384">
        <f>AK32-U32</f>
        <v/>
      </c>
      <c r="AN32" s="470">
        <f>S32-AK32</f>
        <v/>
      </c>
      <c r="AO32" s="386">
        <f>AN32-T32</f>
        <v/>
      </c>
    </row>
    <row r="33" ht="15" customHeight="1" s="358">
      <c r="B33" s="11" t="n">
        <v>25</v>
      </c>
      <c r="C33" s="188" t="n"/>
      <c r="D33" s="454" t="n"/>
      <c r="E33" s="454" t="n"/>
      <c r="F33" s="36" t="n"/>
      <c r="G33" s="518" t="n"/>
      <c r="H33" s="180" t="n"/>
      <c r="I33" s="518" t="n"/>
      <c r="J33" s="518" t="n"/>
      <c r="K33" s="466" t="n"/>
      <c r="L33" s="466" t="n"/>
      <c r="M33" s="466" t="n"/>
      <c r="N33" s="466" t="n"/>
      <c r="O33" s="466" t="n"/>
      <c r="P33" s="466" t="n"/>
      <c r="Q33" s="466" t="n"/>
      <c r="R33" s="466" t="n"/>
      <c r="S33" s="466">
        <f>SUM(K33:R33)</f>
        <v/>
      </c>
      <c r="T33" s="467">
        <f>P33</f>
        <v/>
      </c>
      <c r="U33" s="466">
        <f>S33-T33</f>
        <v/>
      </c>
      <c r="V33" s="29" t="n"/>
      <c r="W33" s="518" t="n"/>
      <c r="X33" s="180" t="n"/>
      <c r="Y33" s="29" t="n"/>
      <c r="Z33" s="518" t="n"/>
      <c r="AA33" s="180" t="n"/>
      <c r="AB33" s="43" t="n"/>
      <c r="AC33" s="43" t="n"/>
      <c r="AD33" s="43" t="n"/>
      <c r="AE33" s="43" t="n"/>
      <c r="AF33" s="43" t="n"/>
      <c r="AG33" s="187" t="n"/>
      <c r="AI33" s="469">
        <f>K33+L33+M33</f>
        <v/>
      </c>
      <c r="AJ33" s="469">
        <f>O33+Q33+R33</f>
        <v/>
      </c>
      <c r="AK33" s="469">
        <f>SUM(AI33:AJ33)</f>
        <v/>
      </c>
      <c r="AL33" s="384">
        <f>AK33-U33</f>
        <v/>
      </c>
      <c r="AN33" s="470">
        <f>S33-AK33</f>
        <v/>
      </c>
      <c r="AO33" s="386">
        <f>AN33-T33</f>
        <v/>
      </c>
    </row>
    <row r="34" ht="15" customHeight="1" s="358">
      <c r="B34" s="11" t="n">
        <v>26</v>
      </c>
      <c r="C34" s="188" t="n"/>
      <c r="D34" s="454" t="n"/>
      <c r="E34" s="454" t="n"/>
      <c r="F34" s="36" t="n"/>
      <c r="G34" s="518" t="n"/>
      <c r="H34" s="180" t="n"/>
      <c r="I34" s="518" t="n"/>
      <c r="J34" s="518" t="n"/>
      <c r="K34" s="466" t="n"/>
      <c r="L34" s="466" t="n"/>
      <c r="M34" s="466" t="n"/>
      <c r="N34" s="466" t="n"/>
      <c r="O34" s="466" t="n"/>
      <c r="P34" s="466" t="n"/>
      <c r="Q34" s="466" t="n"/>
      <c r="R34" s="466" t="n"/>
      <c r="S34" s="466">
        <f>SUM(K34:R34)</f>
        <v/>
      </c>
      <c r="T34" s="467">
        <f>P34</f>
        <v/>
      </c>
      <c r="U34" s="466">
        <f>S34-T34</f>
        <v/>
      </c>
      <c r="V34" s="29" t="n"/>
      <c r="W34" s="518" t="n"/>
      <c r="X34" s="180" t="n"/>
      <c r="Y34" s="29" t="n"/>
      <c r="Z34" s="518" t="n"/>
      <c r="AA34" s="180" t="n"/>
      <c r="AB34" s="43" t="n"/>
      <c r="AC34" s="43" t="n"/>
      <c r="AD34" s="43" t="n"/>
      <c r="AE34" s="43" t="n"/>
      <c r="AF34" s="43" t="n"/>
      <c r="AG34" s="36" t="n"/>
      <c r="AI34" s="469">
        <f>K34+L34+M34</f>
        <v/>
      </c>
      <c r="AJ34" s="469">
        <f>O34+Q34+R34</f>
        <v/>
      </c>
      <c r="AK34" s="469">
        <f>SUM(AI34:AJ34)</f>
        <v/>
      </c>
      <c r="AL34" s="384">
        <f>AK34-U34</f>
        <v/>
      </c>
      <c r="AN34" s="470">
        <f>S34-AK34</f>
        <v/>
      </c>
      <c r="AO34" s="386">
        <f>AN34-T34</f>
        <v/>
      </c>
    </row>
    <row r="35" ht="15" customHeight="1" s="358">
      <c r="A35" s="456" t="n"/>
      <c r="B35" s="11" t="n">
        <v>27</v>
      </c>
      <c r="C35" s="188" t="n"/>
      <c r="D35" s="454" t="n"/>
      <c r="E35" s="454" t="n"/>
      <c r="F35" s="36" t="n"/>
      <c r="G35" s="518" t="n"/>
      <c r="H35" s="180" t="n"/>
      <c r="I35" s="518" t="n"/>
      <c r="J35" s="518" t="n"/>
      <c r="K35" s="466" t="n"/>
      <c r="L35" s="466" t="n"/>
      <c r="M35" s="466" t="n"/>
      <c r="N35" s="466" t="n"/>
      <c r="O35" s="466" t="n"/>
      <c r="P35" s="466" t="n"/>
      <c r="Q35" s="466" t="n"/>
      <c r="R35" s="466" t="n"/>
      <c r="S35" s="466">
        <f>SUM(K35:R35)</f>
        <v/>
      </c>
      <c r="T35" s="467">
        <f>P35</f>
        <v/>
      </c>
      <c r="U35" s="466">
        <f>S35-T35</f>
        <v/>
      </c>
      <c r="V35" s="29" t="n"/>
      <c r="W35" s="518" t="n"/>
      <c r="X35" s="180" t="n"/>
      <c r="Y35" s="29" t="n"/>
      <c r="Z35" s="518" t="n"/>
      <c r="AA35" s="180" t="n"/>
      <c r="AB35" s="43" t="n"/>
      <c r="AC35" s="43" t="n"/>
      <c r="AD35" s="43" t="n"/>
      <c r="AE35" s="43" t="n"/>
      <c r="AF35" s="43" t="n"/>
      <c r="AG35" s="187" t="n"/>
      <c r="AI35" s="469">
        <f>K35+L35+M35</f>
        <v/>
      </c>
      <c r="AJ35" s="469">
        <f>O35+Q35+R35</f>
        <v/>
      </c>
      <c r="AK35" s="469">
        <f>SUM(AI35:AJ35)</f>
        <v/>
      </c>
      <c r="AL35" s="384">
        <f>AK35-U35</f>
        <v/>
      </c>
      <c r="AN35" s="470">
        <f>S35-AK35</f>
        <v/>
      </c>
      <c r="AO35" s="386">
        <f>AN35-T35</f>
        <v/>
      </c>
    </row>
    <row r="36" ht="15" customHeight="1" s="358">
      <c r="B36" s="11" t="n">
        <v>28</v>
      </c>
      <c r="C36" s="188" t="n"/>
      <c r="D36" s="454" t="n"/>
      <c r="E36" s="454" t="n"/>
      <c r="F36" s="36" t="n"/>
      <c r="G36" s="518" t="n"/>
      <c r="H36" s="180" t="n"/>
      <c r="I36" s="518" t="n"/>
      <c r="J36" s="518" t="n"/>
      <c r="K36" s="466" t="n"/>
      <c r="L36" s="466" t="n"/>
      <c r="M36" s="466" t="n"/>
      <c r="N36" s="466" t="n"/>
      <c r="O36" s="466" t="n"/>
      <c r="P36" s="466" t="n"/>
      <c r="Q36" s="466" t="n"/>
      <c r="R36" s="466" t="n"/>
      <c r="S36" s="466">
        <f>SUM(K36:R36)</f>
        <v/>
      </c>
      <c r="T36" s="467">
        <f>P36</f>
        <v/>
      </c>
      <c r="U36" s="466">
        <f>S36-T36</f>
        <v/>
      </c>
      <c r="V36" s="29" t="n"/>
      <c r="W36" s="518" t="n"/>
      <c r="X36" s="180" t="n"/>
      <c r="Y36" s="29" t="n"/>
      <c r="Z36" s="518" t="n"/>
      <c r="AA36" s="180" t="n"/>
      <c r="AB36" s="43" t="n"/>
      <c r="AC36" s="43" t="n"/>
      <c r="AD36" s="43" t="n"/>
      <c r="AE36" s="43" t="n"/>
      <c r="AF36" s="43" t="n"/>
      <c r="AG36" s="36" t="n"/>
      <c r="AI36" s="469">
        <f>K36+L36+M36</f>
        <v/>
      </c>
      <c r="AJ36" s="469">
        <f>O36+Q36+R36</f>
        <v/>
      </c>
      <c r="AK36" s="469">
        <f>SUM(AI36:AJ36)</f>
        <v/>
      </c>
      <c r="AL36" s="384">
        <f>AK36-U36</f>
        <v/>
      </c>
      <c r="AN36" s="470">
        <f>S36-AK36</f>
        <v/>
      </c>
      <c r="AO36" s="386">
        <f>AN36-T36</f>
        <v/>
      </c>
    </row>
    <row r="37" ht="15" customHeight="1" s="358">
      <c r="B37" s="11" t="n">
        <v>29</v>
      </c>
      <c r="C37" s="188" t="n"/>
      <c r="D37" s="454" t="n"/>
      <c r="E37" s="454" t="n"/>
      <c r="F37" s="36" t="n"/>
      <c r="G37" s="518" t="n"/>
      <c r="H37" s="180" t="n"/>
      <c r="I37" s="518" t="n"/>
      <c r="J37" s="518" t="n"/>
      <c r="K37" s="466" t="n"/>
      <c r="L37" s="466" t="n"/>
      <c r="M37" s="466" t="n"/>
      <c r="N37" s="466" t="n"/>
      <c r="O37" s="466" t="n"/>
      <c r="P37" s="466" t="n"/>
      <c r="Q37" s="466" t="n"/>
      <c r="R37" s="466" t="n"/>
      <c r="S37" s="466">
        <f>SUM(K37:R37)</f>
        <v/>
      </c>
      <c r="T37" s="467">
        <f>P37</f>
        <v/>
      </c>
      <c r="U37" s="466">
        <f>S37-T37</f>
        <v/>
      </c>
      <c r="V37" s="29" t="n"/>
      <c r="W37" s="518" t="n"/>
      <c r="X37" s="180" t="n"/>
      <c r="Y37" s="29" t="n"/>
      <c r="Z37" s="518" t="n"/>
      <c r="AA37" s="180" t="n"/>
      <c r="AB37" s="43" t="n"/>
      <c r="AC37" s="43" t="n"/>
      <c r="AD37" s="43" t="n"/>
      <c r="AE37" s="43" t="n"/>
      <c r="AF37" s="43" t="n"/>
      <c r="AG37" s="36" t="n"/>
      <c r="AI37" s="469">
        <f>K37+L37+M37</f>
        <v/>
      </c>
      <c r="AJ37" s="469">
        <f>O37+Q37+R37</f>
        <v/>
      </c>
      <c r="AK37" s="469">
        <f>SUM(AI37:AJ37)</f>
        <v/>
      </c>
      <c r="AL37" s="384">
        <f>AK37-U37</f>
        <v/>
      </c>
      <c r="AN37" s="470">
        <f>S37-AK37</f>
        <v/>
      </c>
      <c r="AO37" s="386">
        <f>AN37-T37</f>
        <v/>
      </c>
    </row>
    <row r="38" ht="15" customHeight="1" s="358">
      <c r="B38" s="11" t="n">
        <v>30</v>
      </c>
      <c r="C38" s="287" t="n"/>
      <c r="D38" s="454" t="n"/>
      <c r="E38" s="454" t="n"/>
      <c r="F38" s="36" t="n"/>
      <c r="G38" s="518" t="n"/>
      <c r="H38" s="180" t="n"/>
      <c r="I38" s="518" t="n"/>
      <c r="J38" s="518" t="n"/>
      <c r="K38" s="466" t="n"/>
      <c r="L38" s="466" t="n"/>
      <c r="M38" s="466" t="n"/>
      <c r="N38" s="466" t="n"/>
      <c r="O38" s="466" t="n"/>
      <c r="P38" s="466" t="n"/>
      <c r="Q38" s="466" t="n"/>
      <c r="R38" s="466" t="n"/>
      <c r="S38" s="466">
        <f>SUM(K38:R38)</f>
        <v/>
      </c>
      <c r="T38" s="467">
        <f>P38</f>
        <v/>
      </c>
      <c r="U38" s="466">
        <f>S38-T38</f>
        <v/>
      </c>
      <c r="V38" s="518" t="n"/>
      <c r="W38" s="518" t="n"/>
      <c r="X38" s="180" t="n"/>
      <c r="Y38" s="518" t="n"/>
      <c r="Z38" s="518" t="n"/>
      <c r="AA38" s="180" t="n"/>
      <c r="AB38" s="186" t="n"/>
      <c r="AC38" s="43" t="n"/>
      <c r="AD38" s="43" t="n"/>
      <c r="AE38" s="43" t="n"/>
      <c r="AF38" s="43" t="n"/>
      <c r="AG38" s="36" t="n"/>
      <c r="AI38" s="469">
        <f>K38+L38+M38</f>
        <v/>
      </c>
      <c r="AJ38" s="469">
        <f>O38+Q38+R38</f>
        <v/>
      </c>
      <c r="AK38" s="469">
        <f>SUM(AI38:AJ38)</f>
        <v/>
      </c>
      <c r="AL38" s="384">
        <f>AK38-U38</f>
        <v/>
      </c>
      <c r="AN38" s="470">
        <f>S38-AK38</f>
        <v/>
      </c>
      <c r="AO38" s="386">
        <f>AN38-T38</f>
        <v/>
      </c>
    </row>
    <row r="39">
      <c r="B39" s="11" t="n"/>
      <c r="C39" s="286" t="n"/>
      <c r="D39" s="454" t="n"/>
      <c r="E39" s="454" t="n"/>
      <c r="F39" s="454" t="n"/>
      <c r="G39" s="518" t="n"/>
      <c r="H39" s="180" t="n"/>
      <c r="I39" s="518" t="n"/>
      <c r="J39" s="518" t="n"/>
      <c r="K39" s="466" t="n"/>
      <c r="L39" s="466" t="n"/>
      <c r="M39" s="466" t="n"/>
      <c r="N39" s="466" t="n"/>
      <c r="O39" s="466" t="n"/>
      <c r="P39" s="466" t="n"/>
      <c r="Q39" s="466" t="n"/>
      <c r="R39" s="466" t="n"/>
      <c r="S39" s="466">
        <f>SUM(K39:R39)</f>
        <v/>
      </c>
      <c r="T39" s="467">
        <f>P39</f>
        <v/>
      </c>
      <c r="U39" s="466">
        <f>S39-T39</f>
        <v/>
      </c>
      <c r="V39" s="518" t="n"/>
      <c r="W39" s="518" t="n"/>
      <c r="X39" s="518" t="n"/>
      <c r="Y39" s="518" t="n"/>
      <c r="Z39" s="518" t="n"/>
      <c r="AA39" s="180" t="n"/>
      <c r="AB39" s="43" t="n"/>
      <c r="AC39" s="43" t="n"/>
      <c r="AD39" s="43" t="n"/>
      <c r="AE39" s="43" t="n"/>
      <c r="AF39" s="43" t="n"/>
      <c r="AG39" s="187" t="n"/>
      <c r="AI39" s="469" t="n"/>
      <c r="AJ39" s="469" t="n"/>
      <c r="AK39" s="469" t="n"/>
      <c r="AL39" s="384" t="n"/>
      <c r="AN39" s="470" t="n"/>
      <c r="AO39" s="386" t="n"/>
    </row>
    <row r="40">
      <c r="B40" s="60" t="n"/>
      <c r="C40" s="104" t="n"/>
      <c r="D40" s="192" t="n"/>
      <c r="E40" s="192" t="n"/>
      <c r="F40" s="506" t="n"/>
      <c r="G40" s="504" t="n"/>
      <c r="H40" s="82" t="n"/>
      <c r="I40" s="504" t="n"/>
      <c r="J40" s="504" t="n"/>
      <c r="K40" s="520">
        <f>SUBTOTAL(9,K9:K39)</f>
        <v/>
      </c>
      <c r="L40" s="520" t="n"/>
      <c r="M40" s="520">
        <f>SUBTOTAL(9,M9:M39)</f>
        <v/>
      </c>
      <c r="N40" s="520" t="n"/>
      <c r="O40" s="520">
        <f>SUBTOTAL(9,O9:O39)</f>
        <v/>
      </c>
      <c r="P40" s="520">
        <f>SUBTOTAL(9,P9:P39)</f>
        <v/>
      </c>
      <c r="Q40" s="520">
        <f>SUBTOTAL(9,Q9:Q39)</f>
        <v/>
      </c>
      <c r="R40" s="520">
        <f>SUBTOTAL(9,R9:R39)</f>
        <v/>
      </c>
      <c r="S40" s="520">
        <f>SUBTOTAL(9,S9:S39)</f>
        <v/>
      </c>
      <c r="T40" s="521">
        <f>SUBTOTAL(9,T9:T39)</f>
        <v/>
      </c>
      <c r="U40" s="520">
        <f>SUBTOTAL(9,U9:U39)</f>
        <v/>
      </c>
      <c r="V40" s="504" t="n"/>
      <c r="W40" s="504" t="n"/>
      <c r="X40" s="504" t="n"/>
      <c r="Y40" s="504" t="n"/>
      <c r="Z40" s="504" t="n"/>
      <c r="AA40" s="82" t="n"/>
      <c r="AB40" s="58" t="n"/>
      <c r="AC40" s="58" t="n"/>
      <c r="AD40" s="58" t="n"/>
      <c r="AE40" s="58" t="n"/>
      <c r="AF40" s="58" t="n"/>
      <c r="AG40" s="59" t="n"/>
      <c r="AI40" s="522" t="n"/>
      <c r="AJ40" s="522" t="n"/>
      <c r="AK40" s="522" t="n"/>
      <c r="AL40" s="384" t="n"/>
      <c r="AN40" s="470" t="n"/>
    </row>
    <row r="41">
      <c r="A41" s="482" t="n"/>
      <c r="D41" s="28" t="n"/>
      <c r="E41" s="28" t="n"/>
      <c r="F41" s="103" t="n"/>
      <c r="G41" s="103" t="n"/>
      <c r="I41" s="103" t="n"/>
      <c r="J41" s="103" t="n"/>
      <c r="K41" s="523" t="n"/>
      <c r="R41" s="479" t="n"/>
      <c r="S41" s="479" t="n"/>
      <c r="T41" s="479" t="n"/>
      <c r="U41" s="479" t="n"/>
      <c r="AA41" s="524" t="n"/>
      <c r="AB41" s="525" t="n"/>
      <c r="AC41" s="525" t="n"/>
      <c r="AD41" s="526" t="n"/>
      <c r="AE41" s="526" t="n"/>
      <c r="AF41" s="526" t="n"/>
    </row>
    <row r="43" ht="15.75" customHeight="1" s="358" thickBot="1">
      <c r="C43" s="507" t="n"/>
      <c r="F43" s="456" t="n"/>
      <c r="G43" s="477" t="n"/>
      <c r="I43" s="477" t="n"/>
      <c r="J43" s="477" t="n"/>
      <c r="K43" s="527">
        <f>SUM(K9:K39)</f>
        <v/>
      </c>
      <c r="L43" s="527">
        <f>SUM(L9:L39)</f>
        <v/>
      </c>
      <c r="M43" s="527">
        <f>SUM(M9:M39)</f>
        <v/>
      </c>
      <c r="N43" s="527" t="n"/>
      <c r="O43" s="527">
        <f>SUM(O9:O39)</f>
        <v/>
      </c>
      <c r="P43" s="527">
        <f>SUM(P9:P39)</f>
        <v/>
      </c>
      <c r="Q43" s="527">
        <f>SUM(Q9:Q39)</f>
        <v/>
      </c>
      <c r="R43" s="527">
        <f>SUM(R9:R39)</f>
        <v/>
      </c>
      <c r="S43" s="527">
        <f>SUM(S9:S39)</f>
        <v/>
      </c>
      <c r="T43" s="527">
        <f>SUM(T9:T39)</f>
        <v/>
      </c>
      <c r="U43" s="527">
        <f>SUM(U9:U39)</f>
        <v/>
      </c>
      <c r="V43" s="477" t="n"/>
      <c r="W43" s="477" t="n"/>
      <c r="X43" s="477" t="n"/>
      <c r="Y43" s="477" t="n"/>
      <c r="Z43" s="477" t="n"/>
      <c r="AI43" s="481">
        <f>SUM(AI9:AI39)</f>
        <v/>
      </c>
      <c r="AJ43" s="481">
        <f>SUM(AJ9:AJ39)</f>
        <v/>
      </c>
      <c r="AK43" s="481">
        <f>SUM(AK9:AK39)</f>
        <v/>
      </c>
      <c r="AN43" s="528">
        <f>SUM(AN9:AN39)</f>
        <v/>
      </c>
    </row>
    <row r="44" ht="15.75" customHeight="1" s="358" thickTop="1">
      <c r="D44" s="28" t="n"/>
      <c r="E44" s="28" t="n"/>
      <c r="AA44" s="529" t="n"/>
      <c r="AB44" s="476" t="n"/>
      <c r="AC44" s="476" t="n"/>
      <c r="AD44" s="477" t="n"/>
      <c r="AE44" s="477" t="n"/>
      <c r="AF44" s="477" t="n"/>
    </row>
    <row r="45">
      <c r="C45" s="174" t="inlineStr">
        <is>
          <t>Invoice #</t>
        </is>
      </c>
      <c r="D45" s="174" t="inlineStr">
        <is>
          <t>Wages &amp; Misc Pymts</t>
        </is>
      </c>
      <c r="E45" s="174" t="n"/>
      <c r="F45" s="174" t="inlineStr">
        <is>
          <t>Payroll Taxes</t>
        </is>
      </c>
      <c r="G45" s="174" t="inlineStr">
        <is>
          <t>P&amp;H Contributions</t>
        </is>
      </c>
      <c r="H45" s="174" t="inlineStr">
        <is>
          <t>Handling/Vendor Fee</t>
        </is>
      </c>
      <c r="I45" s="174" t="inlineStr">
        <is>
          <t>Total</t>
        </is>
      </c>
    </row>
    <row r="46">
      <c r="D46" s="487">
        <f>SUMIF($C$10:$C$39,C46,$K$9:$K$39)+SUMIF($C$10:$C$39,C46,$M$9:$M$39)</f>
        <v/>
      </c>
      <c r="E46" s="487" t="n"/>
      <c r="F46" s="487">
        <f>SUMIF($C$10:$C$39,C46,$O$9:$O$39)+SUMIF($C$10:$C$39,C46,$P$9:$P$39)</f>
        <v/>
      </c>
      <c r="G46" s="487">
        <f>SUMIF($C$10:$C$39,C46,$R$9:$R$39)</f>
        <v/>
      </c>
      <c r="H46" s="487">
        <f>SUMIF($C$10:$C$39,C46,$Q$9:$Q$39)</f>
        <v/>
      </c>
      <c r="I46" s="530">
        <f>SUM(D46:H46)</f>
        <v/>
      </c>
      <c r="K46" s="487" t="n"/>
      <c r="L46" s="487" t="n"/>
    </row>
    <row r="47">
      <c r="D47" s="487">
        <f>SUMIF($C$10:$C$39,C47,$K$9:$K$39)+SUMIF($C$10:$C$39,C47,$M$9:$M$39)</f>
        <v/>
      </c>
      <c r="E47" s="487" t="n"/>
      <c r="F47" s="487">
        <f>SUMIF($C$10:$C$39,C47,$O$9:$O$39)+SUMIF($C$10:$C$39,C47,$P$9:$P$39)</f>
        <v/>
      </c>
      <c r="G47" s="487">
        <f>SUMIF($C$10:$C$39,C47,$R$9:$R$39)</f>
        <v/>
      </c>
      <c r="H47" s="487">
        <f>SUMIF($C$10:$C$39,C47,$Q$9:$Q$39)</f>
        <v/>
      </c>
      <c r="I47" s="530">
        <f>SUM(D47:H47)</f>
        <v/>
      </c>
      <c r="K47" s="422" t="n"/>
      <c r="L47" s="422" t="n"/>
      <c r="M47" s="29" t="inlineStr">
        <is>
          <t>ELIGIBLE TOTAL</t>
        </is>
      </c>
      <c r="N47" s="459" t="n"/>
      <c r="O47" s="459" t="n"/>
      <c r="P47" s="460" t="n"/>
      <c r="Q47" s="422" t="n"/>
      <c r="R47" s="479" t="n"/>
      <c r="S47" s="531" t="inlineStr">
        <is>
          <t>INELIGIBLE TOTAL</t>
        </is>
      </c>
      <c r="T47" s="459" t="n"/>
      <c r="U47" s="460" t="n"/>
      <c r="V47" s="197" t="n"/>
      <c r="W47" s="198" t="n"/>
      <c r="X47" s="198" t="n"/>
      <c r="AA47" s="422" t="n"/>
      <c r="AB47" s="63" t="n"/>
    </row>
    <row r="48">
      <c r="D48" s="487">
        <f>SUMIF($C$10:$C$39,C48,$K$9:$K$39)+SUMIF($C$10:$C$39,C48,$M$9:$M$39)</f>
        <v/>
      </c>
      <c r="E48" s="487" t="n"/>
      <c r="F48" s="487">
        <f>SUMIF($C$10:$C$39,C48,$O$9:$O$39)+SUMIF($C$10:$C$39,C48,$P$9:$P$39)</f>
        <v/>
      </c>
      <c r="G48" s="487">
        <f>SUMIF($C$10:$C$39,C48,$R$9:$R$39)</f>
        <v/>
      </c>
      <c r="H48" s="487">
        <f>SUMIF($C$10:$C$39,C48,$Q$9:$Q$39)</f>
        <v/>
      </c>
      <c r="I48" s="532">
        <f>SUM(D48:H48)</f>
        <v/>
      </c>
      <c r="K48" s="422" t="n"/>
      <c r="L48" s="422" t="n"/>
      <c r="M48" s="43" t="inlineStr">
        <is>
          <t>NO-OOS</t>
        </is>
      </c>
      <c r="N48" s="92" t="inlineStr">
        <is>
          <t>NO-TX</t>
        </is>
      </c>
      <c r="O48" s="100" t="inlineStr">
        <is>
          <t>YES</t>
        </is>
      </c>
      <c r="P48" s="533" t="inlineStr">
        <is>
          <t>YES-HANDLING</t>
        </is>
      </c>
      <c r="Q48" s="479" t="n"/>
      <c r="R48" s="487" t="n"/>
      <c r="S48" s="43" t="inlineStr">
        <is>
          <t>NO-OOS</t>
        </is>
      </c>
      <c r="T48" s="92" t="inlineStr">
        <is>
          <t>NO-TX</t>
        </is>
      </c>
      <c r="U48" s="201" t="inlineStr">
        <is>
          <t>YES</t>
        </is>
      </c>
      <c r="V48" s="202" t="n"/>
      <c r="AA48" s="422" t="n"/>
      <c r="AB48" s="63" t="n"/>
    </row>
    <row r="49">
      <c r="D49" s="487">
        <f>SUMIF($C$10:$C$39,C49,$K$9:$K$39)+SUMIF($C$10:$C$39,C49,$M$9:$M$39)</f>
        <v/>
      </c>
      <c r="E49" s="487" t="n"/>
      <c r="F49" s="487">
        <f>SUMIF($C$10:$C$39,C49,$O$9:$O$39)+SUMIF($C$10:$C$39,C49,$P$9:$P$39)</f>
        <v/>
      </c>
      <c r="G49" s="487">
        <f>SUMIF($C$10:$C$39,C49,$R$9:$R$39)</f>
        <v/>
      </c>
      <c r="H49" s="487">
        <f>SUMIF($C$10:$C$39,C49,$Q$9:$Q$39)</f>
        <v/>
      </c>
      <c r="I49" s="530">
        <f>SUM(D49:H49)</f>
        <v/>
      </c>
      <c r="K49" s="422" t="n"/>
      <c r="L49" s="422" t="n"/>
      <c r="M49" s="534">
        <f>SUMIF($AB$9:$AB$38,M48,$AK$9:$AK$38)</f>
        <v/>
      </c>
      <c r="N49" s="534">
        <f>SUMIF($AB$9:$AB$38,N48,$AK$9:$AK$38)</f>
        <v/>
      </c>
      <c r="O49" s="534">
        <f>SUMIF($AB$9:$AB$38,O48,$AK$9:$AK$38)</f>
        <v/>
      </c>
      <c r="P49" s="534">
        <f>SUMIF($AB$9:$AB$38,P48,$AK$9:$AK$38)</f>
        <v/>
      </c>
      <c r="Q49" s="474">
        <f>SUM(M49:P49)</f>
        <v/>
      </c>
      <c r="S49" s="534">
        <f>SUMIF($AB$9:$AB$38,S48,$AN$9:$AN$38)</f>
        <v/>
      </c>
      <c r="T49" s="534">
        <f>SUMIF($AB$9:$AB$38,T48,$AN$9:$AN$38)</f>
        <v/>
      </c>
      <c r="U49" s="534">
        <f>SUMIF($AB$9:$AB$38,U48,$AN$9:$AN$38)</f>
        <v/>
      </c>
      <c r="V49" s="475">
        <f>SUM(S49:U49)</f>
        <v/>
      </c>
      <c r="W49" s="475" t="n"/>
      <c r="X49" s="475" t="n"/>
      <c r="AA49" s="422" t="n"/>
      <c r="AB49" s="63" t="n"/>
    </row>
    <row r="50">
      <c r="D50" s="487">
        <f>SUMIF($C$10:$C$39,C50,$K$9:$K$39)+SUMIF($C$10:$C$39,C50,$M$9:$M$39)</f>
        <v/>
      </c>
      <c r="E50" s="487" t="n"/>
      <c r="F50" s="487">
        <f>SUMIF($C$10:$C$39,C50,$O$9:$O$39)+SUMIF($C$10:$C$39,C50,$P$9:$P$39)</f>
        <v/>
      </c>
      <c r="G50" s="487">
        <f>SUMIF($C$10:$C$39,C50,$R$9:$R$39)</f>
        <v/>
      </c>
      <c r="H50" s="487">
        <f>SUMIF($C$10:$C$39,C50,$Q$9:$Q$39)</f>
        <v/>
      </c>
      <c r="I50" s="530">
        <f>SUM(D50:H50)</f>
        <v/>
      </c>
      <c r="K50" s="422" t="n"/>
      <c r="L50" s="422" t="n"/>
      <c r="M50" s="422" t="n"/>
      <c r="Q50" s="97">
        <f>Q49-AK43</f>
        <v/>
      </c>
      <c r="S50" s="32" t="n"/>
      <c r="T50" s="32" t="n"/>
      <c r="U50" s="493" t="n"/>
      <c r="V50" s="97">
        <f>V49-AN43</f>
        <v/>
      </c>
      <c r="W50" s="97" t="n"/>
      <c r="X50" s="97" t="n"/>
      <c r="AA50" s="422" t="n"/>
      <c r="AB50" s="63" t="n"/>
    </row>
    <row r="51">
      <c r="D51" s="487">
        <f>SUMIF($C$10:$C$39,C51,$K$9:$K$39)+SUMIF($C$10:$C$39,C51,$M$9:$M$39)</f>
        <v/>
      </c>
      <c r="E51" s="487" t="n"/>
      <c r="F51" s="487">
        <f>SUMIF($C$10:$C$39,C51,$O$9:$O$39)+SUMIF($C$10:$C$39,C51,$P$9:$P$39)</f>
        <v/>
      </c>
      <c r="G51" s="487">
        <f>SUMIF($C$10:$C$39,C51,$R$9:$R$39)</f>
        <v/>
      </c>
      <c r="H51" s="487">
        <f>SUMIF($C$10:$C$39,C51,$Q$9:$Q$39)</f>
        <v/>
      </c>
      <c r="I51" s="530">
        <f>SUM(D51:H51)</f>
        <v/>
      </c>
      <c r="K51" s="479" t="n"/>
      <c r="L51" s="479" t="n"/>
      <c r="M51" s="479" t="n"/>
      <c r="N51" s="479" t="n"/>
      <c r="O51" s="479" t="n"/>
      <c r="P51" s="479" t="n"/>
      <c r="Q51" s="479" t="n"/>
      <c r="R51" s="68" t="n"/>
      <c r="AA51" s="422" t="n"/>
      <c r="AB51" s="63" t="n"/>
    </row>
    <row r="52">
      <c r="D52" s="487">
        <f>SUMIF($C$10:$C$39,C52,$K$9:$K$39)+SUMIF($C$10:$C$39,C52,$M$9:$M$39)</f>
        <v/>
      </c>
      <c r="E52" s="487" t="n"/>
      <c r="F52" s="487">
        <f>SUMIF($C$10:$C$39,C52,$O$9:$O$39)+SUMIF($C$10:$C$39,C52,$P$9:$P$39)</f>
        <v/>
      </c>
      <c r="G52" s="487">
        <f>SUMIF($C$10:$C$39,C52,$R$9:$R$39)</f>
        <v/>
      </c>
      <c r="H52" s="487">
        <f>SUMIF($C$10:$C$39,C52,$Q$9:$Q$39)</f>
        <v/>
      </c>
      <c r="I52" s="532">
        <f>SUM(D52:H52)</f>
        <v/>
      </c>
      <c r="J52" s="480" t="n"/>
      <c r="K52" s="422" t="n"/>
      <c r="L52" s="422" t="n"/>
      <c r="M52" s="27" t="n"/>
      <c r="N52" s="27" t="n"/>
      <c r="O52" s="479" t="n"/>
      <c r="P52" s="479" t="inlineStr">
        <is>
          <t>Total Eligible</t>
        </is>
      </c>
      <c r="Q52" s="479">
        <f>O49</f>
        <v/>
      </c>
      <c r="T52" s="479" t="n"/>
      <c r="U52" s="479" t="n"/>
      <c r="V52" s="479" t="n"/>
      <c r="W52" s="479" t="n"/>
      <c r="X52" s="479" t="n"/>
      <c r="Y52" s="68" t="n"/>
      <c r="AA52" s="422" t="n"/>
      <c r="AB52" s="63" t="n"/>
    </row>
    <row r="53" ht="15.75" customHeight="1" s="358" thickBot="1">
      <c r="D53" s="487">
        <f>SUMIF($C$10:$C$39,C53,$K$9:$K$39)+SUMIF($C$10:$C$39,C53,$M$9:$M$39)</f>
        <v/>
      </c>
      <c r="E53" s="487" t="n"/>
      <c r="F53" s="487">
        <f>SUMIF($C$10:$C$39,C53,$O$9:$O$39)+SUMIF($C$10:$C$39,C53,$P$9:$P$39)</f>
        <v/>
      </c>
      <c r="G53" s="487">
        <f>SUMIF($C$10:$C$39,C53,$R$9:$R$39)</f>
        <v/>
      </c>
      <c r="H53" s="487">
        <f>SUMIF($C$10:$C$39,C53,$Q$9:$Q$39)</f>
        <v/>
      </c>
      <c r="I53" s="532">
        <f>SUM(D53:H53)</f>
        <v/>
      </c>
      <c r="J53" s="480" t="n"/>
      <c r="K53" s="422" t="n"/>
      <c r="L53" s="422" t="n"/>
      <c r="M53" s="27" t="n"/>
      <c r="N53" s="27" t="n"/>
      <c r="O53" s="479" t="n"/>
      <c r="P53" s="494" t="inlineStr">
        <is>
          <t>Total Ineligible</t>
        </is>
      </c>
      <c r="Q53" s="494">
        <f>M49+N49+S49+T49+U49</f>
        <v/>
      </c>
      <c r="T53" s="479" t="n"/>
      <c r="U53" s="479" t="n"/>
      <c r="V53" s="479" t="n"/>
      <c r="W53" s="479" t="n"/>
      <c r="X53" s="479" t="n"/>
      <c r="Y53" s="68" t="n"/>
      <c r="AA53" s="422" t="n"/>
      <c r="AB53" s="63" t="n"/>
    </row>
    <row r="54" ht="15.75" customHeight="1" s="358" thickTop="1">
      <c r="D54" s="487">
        <f>SUMIF($C$10:$C$39,C54,$K$9:$K$39)+SUMIF($C$10:$C$39,C54,$M$9:$M$39)</f>
        <v/>
      </c>
      <c r="E54" s="487" t="n"/>
      <c r="F54" s="487">
        <f>SUMIF($C$10:$C$39,C54,$O$9:$O$39)+SUMIF($C$10:$C$39,C54,$P$9:$P$39)</f>
        <v/>
      </c>
      <c r="G54" s="487">
        <f>SUMIF($C$10:$C$39,C54,$R$9:$R$39)</f>
        <v/>
      </c>
      <c r="H54" s="487">
        <f>SUMIF($C$10:$C$39,C54,$Q$9:$Q$39)</f>
        <v/>
      </c>
      <c r="I54" s="532">
        <f>SUM(D54:H54)</f>
        <v/>
      </c>
      <c r="J54" s="480" t="n"/>
      <c r="K54" s="422" t="n"/>
      <c r="L54" s="422" t="n"/>
      <c r="M54" s="27" t="n"/>
      <c r="N54" s="27" t="n"/>
      <c r="O54" s="479" t="n"/>
      <c r="P54" s="479" t="inlineStr">
        <is>
          <t>Total Expenses</t>
        </is>
      </c>
      <c r="Q54" s="479">
        <f>SUM(Q52:Q53)</f>
        <v/>
      </c>
      <c r="T54" s="479" t="n"/>
      <c r="U54" s="479" t="n"/>
      <c r="V54" s="479" t="n"/>
      <c r="W54" s="479" t="n"/>
      <c r="X54" s="479" t="n"/>
      <c r="Y54" s="68" t="n"/>
      <c r="AA54" s="422" t="n"/>
      <c r="AB54" s="63" t="n"/>
    </row>
    <row r="55">
      <c r="D55" s="487">
        <f>SUMIF($C$10:$C$39,C55,$K$9:$K$39)+SUMIF($C$10:$C$39,C55,$M$9:$M$39)</f>
        <v/>
      </c>
      <c r="E55" s="487" t="n"/>
      <c r="F55" s="487">
        <f>SUMIF($C$10:$C$39,C55,$O$9:$O$39)+SUMIF($C$10:$C$39,C55,$P$9:$P$39)</f>
        <v/>
      </c>
      <c r="G55" s="487">
        <f>SUMIF($C$10:$C$39,C55,$R$9:$R$39)</f>
        <v/>
      </c>
      <c r="H55" s="487">
        <f>SUMIF($C$10:$C$39,C55,$Q$9:$Q$39)</f>
        <v/>
      </c>
      <c r="I55" s="532">
        <f>SUM(D55:H55)</f>
        <v/>
      </c>
      <c r="V55" s="456" t="n"/>
      <c r="W55" s="456" t="n"/>
      <c r="X55" s="456" t="n"/>
      <c r="AA55" s="422" t="n"/>
      <c r="AB55" s="63" t="n"/>
    </row>
    <row r="56">
      <c r="D56" s="487">
        <f>SUMIF($C$10:$C$39,C56,$K$9:$K$39)+SUMIF($C$10:$C$39,C56,$M$9:$M$39)</f>
        <v/>
      </c>
      <c r="E56" s="487" t="n"/>
      <c r="F56" s="487">
        <f>SUMIF($C$10:$C$39,C56,$O$9:$O$39)+SUMIF($C$10:$C$39,C56,$P$9:$P$39)</f>
        <v/>
      </c>
      <c r="G56" s="487">
        <f>SUMIF($C$10:$C$39,C56,$R$9:$R$39)</f>
        <v/>
      </c>
      <c r="H56" s="487">
        <f>SUMIF($C$10:$C$39,C56,$Q$9:$Q$39)</f>
        <v/>
      </c>
      <c r="I56" s="532">
        <f>SUM(D56:H56)</f>
        <v/>
      </c>
      <c r="J56" s="458" t="n"/>
      <c r="V56" s="456" t="n"/>
      <c r="W56" s="456" t="n"/>
      <c r="X56" s="456" t="n"/>
      <c r="Y56" s="458" t="n"/>
      <c r="Z56" s="458" t="n"/>
      <c r="AA56" s="458" t="n"/>
      <c r="AB56" s="63" t="n"/>
      <c r="AG56" s="204" t="n"/>
    </row>
    <row r="57">
      <c r="D57" s="487">
        <f>SUMIF($C$10:$C$39,C57,$K$9:$K$39)+SUMIF($C$10:$C$39,C57,$M$9:$M$39)</f>
        <v/>
      </c>
      <c r="E57" s="487" t="n"/>
      <c r="F57" s="487">
        <f>SUMIF($C$10:$C$39,C57,$O$9:$O$39)+SUMIF($C$10:$C$39,C57,$P$9:$P$39)</f>
        <v/>
      </c>
      <c r="G57" s="487">
        <f>SUMIF($C$10:$C$39,C57,$R$9:$R$39)</f>
        <v/>
      </c>
      <c r="H57" s="487">
        <f>SUMIF($C$10:$C$39,C57,$Q$9:$Q$39)</f>
        <v/>
      </c>
      <c r="I57" s="532">
        <f>SUM(D57:H57)</f>
        <v/>
      </c>
      <c r="J57" s="535" t="n"/>
      <c r="V57" s="456" t="n"/>
      <c r="W57" s="456" t="n"/>
      <c r="X57" s="456" t="n"/>
      <c r="Y57" s="458" t="n"/>
      <c r="Z57" s="458" t="n"/>
      <c r="AA57" s="458" t="n"/>
      <c r="AB57" s="63" t="n"/>
      <c r="AG57" s="32" t="n"/>
    </row>
    <row r="58">
      <c r="D58" s="487">
        <f>SUMIF($C$10:$C$39,C58,$K$9:$K$39)+SUMIF($C$10:$C$39,C58,$M$9:$M$39)</f>
        <v/>
      </c>
      <c r="E58" s="487" t="n"/>
      <c r="F58" s="487">
        <f>SUMIF($C$10:$C$39,C58,$O$9:$O$39)+SUMIF($C$10:$C$39,C58,$P$9:$P$39)</f>
        <v/>
      </c>
      <c r="G58" s="487">
        <f>SUMIF($C$10:$C$39,C58,$R$9:$R$39)</f>
        <v/>
      </c>
      <c r="H58" s="487">
        <f>SUMIF($C$10:$C$39,C58,$Q$9:$Q$39)</f>
        <v/>
      </c>
      <c r="I58" s="532">
        <f>SUM(D58:H58)</f>
        <v/>
      </c>
      <c r="J58" s="458" t="n"/>
      <c r="V58" s="456" t="n"/>
      <c r="W58" s="456" t="n"/>
      <c r="X58" s="456" t="n"/>
      <c r="Y58" s="458" t="n"/>
      <c r="Z58" s="458" t="n"/>
      <c r="AA58" s="458" t="n"/>
      <c r="AB58" s="63" t="n"/>
      <c r="AG58" s="204" t="n"/>
    </row>
    <row r="59">
      <c r="D59" s="487">
        <f>SUMIF($C$10:$C$39,C59,$K$9:$K$39)+SUMIF($C$10:$C$39,C59,$M$9:$M$39)</f>
        <v/>
      </c>
      <c r="E59" s="487" t="n"/>
      <c r="F59" s="487">
        <f>SUMIF($C$10:$C$39,C59,$O$9:$O$39)+SUMIF($C$10:$C$39,C59,$P$9:$P$39)</f>
        <v/>
      </c>
      <c r="G59" s="487">
        <f>SUMIF($C$10:$C$39,C59,$R$9:$R$39)</f>
        <v/>
      </c>
      <c r="H59" s="487">
        <f>SUMIF($C$10:$C$39,C59,$Q$9:$Q$39)</f>
        <v/>
      </c>
      <c r="I59" s="530">
        <f>SUM(D59:H59)</f>
        <v/>
      </c>
      <c r="J59" s="458" t="n"/>
      <c r="V59" s="458" t="n"/>
      <c r="W59" s="458" t="n"/>
      <c r="X59" s="458" t="n"/>
      <c r="Y59" s="458" t="n"/>
      <c r="Z59" s="458" t="n"/>
    </row>
    <row r="60">
      <c r="D60" s="487">
        <f>SUMIF($C$10:$C$39,C60,$K$9:$K$39)+SUMIF($C$10:$C$39,C60,$M$9:$M$39)</f>
        <v/>
      </c>
      <c r="E60" s="487" t="n"/>
      <c r="F60" s="487">
        <f>SUMIF($C$10:$C$39,C60,$O$9:$O$39)+SUMIF($C$10:$C$39,C60,$P$9:$P$39)</f>
        <v/>
      </c>
      <c r="G60" s="487">
        <f>SUMIF($C$10:$C$39,C60,$R$9:$R$39)</f>
        <v/>
      </c>
      <c r="H60" s="487">
        <f>SUMIF($C$10:$C$39,C60,$Q$9:$Q$39)</f>
        <v/>
      </c>
      <c r="I60" s="530">
        <f>SUM(D60:H60)</f>
        <v/>
      </c>
      <c r="J60" s="458" t="n"/>
      <c r="V60" s="458" t="n"/>
      <c r="W60" s="458" t="n"/>
      <c r="X60" s="458" t="n"/>
      <c r="Y60" s="458" t="n"/>
      <c r="Z60" s="458" t="n"/>
      <c r="AA60" s="206" t="n"/>
      <c r="AB60" s="207" t="n"/>
      <c r="AC60" s="207" t="n"/>
      <c r="AD60" s="207" t="n"/>
      <c r="AE60" s="207" t="n"/>
      <c r="AF60" s="207" t="n"/>
      <c r="AG60" s="32" t="n"/>
    </row>
    <row r="61">
      <c r="D61" s="487">
        <f>SUMIF($C$10:$C$39,C61,$K$9:$K$39)+SUMIF($C$10:$C$39,C61,$M$9:$M$39)</f>
        <v/>
      </c>
      <c r="E61" s="487" t="n"/>
      <c r="F61" s="487">
        <f>SUMIF($C$10:$C$39,C61,$O$9:$O$39)+SUMIF($C$10:$C$39,C61,$P$9:$P$39)</f>
        <v/>
      </c>
      <c r="G61" s="487">
        <f>SUMIF($C$10:$C$39,C61,$R$9:$R$39)</f>
        <v/>
      </c>
      <c r="H61" s="487">
        <f>SUMIF($C$10:$C$39,C61,$Q$9:$Q$39)</f>
        <v/>
      </c>
      <c r="I61" s="530">
        <f>SUM(D61:H61)</f>
        <v/>
      </c>
      <c r="J61" s="458" t="n"/>
      <c r="V61" s="458" t="n"/>
      <c r="W61" s="458" t="n"/>
      <c r="X61" s="458" t="n"/>
      <c r="Y61" s="458" t="n"/>
      <c r="Z61" s="458" t="n"/>
      <c r="AG61" s="32" t="n"/>
    </row>
    <row r="62">
      <c r="D62" s="487">
        <f>SUMIF($C$10:$C$39,C62,$K$9:$K$39)+SUMIF($C$10:$C$39,C62,$M$9:$M$39)</f>
        <v/>
      </c>
      <c r="E62" s="487" t="n"/>
      <c r="F62" s="487">
        <f>SUMIF($C$10:$C$39,C62,$O$9:$O$39)+SUMIF($C$10:$C$39,C62,$P$9:$P$39)</f>
        <v/>
      </c>
      <c r="G62" s="487">
        <f>SUMIF($C$10:$C$39,C62,$R$9:$R$39)</f>
        <v/>
      </c>
      <c r="H62" s="487">
        <f>SUMIF($C$10:$C$39,C62,$Q$9:$Q$39)</f>
        <v/>
      </c>
      <c r="I62" s="530">
        <f>SUM(D62:H62)</f>
        <v/>
      </c>
      <c r="J62" s="458" t="n"/>
      <c r="V62" s="458" t="n"/>
      <c r="W62" s="458" t="n"/>
      <c r="X62" s="458" t="n"/>
      <c r="Y62" s="458" t="n"/>
      <c r="Z62" s="458" t="n"/>
      <c r="AG62" s="204" t="n"/>
    </row>
    <row r="63">
      <c r="D63" s="487">
        <f>SUMIF($C$10:$C$39,C63,$K$9:$K$39)+SUMIF($C$10:$C$39,C63,$M$9:$M$39)</f>
        <v/>
      </c>
      <c r="E63" s="487" t="n"/>
      <c r="F63" s="487">
        <f>SUMIF($C$10:$C$39,C63,$O$9:$O$39)+SUMIF($C$10:$C$39,C63,$P$9:$P$39)</f>
        <v/>
      </c>
      <c r="G63" s="487">
        <f>SUMIF($C$10:$C$39,C63,$R$9:$R$39)</f>
        <v/>
      </c>
      <c r="H63" s="487">
        <f>SUMIF($C$10:$C$39,C63,$Q$9:$Q$39)</f>
        <v/>
      </c>
      <c r="I63" s="530">
        <f>SUM(D63:H63)</f>
        <v/>
      </c>
      <c r="J63" s="535" t="n"/>
      <c r="V63" s="458" t="n"/>
      <c r="W63" s="458" t="n"/>
      <c r="X63" s="458" t="n"/>
      <c r="Y63" s="458" t="n"/>
      <c r="Z63" s="458" t="n"/>
      <c r="AG63" s="32" t="n"/>
    </row>
    <row r="64">
      <c r="D64" s="487">
        <f>SUMIF($C$10:$C$39,C64,$K$9:$K$39)+SUMIF($C$10:$C$39,C64,$M$9:$M$39)</f>
        <v/>
      </c>
      <c r="E64" s="487" t="n"/>
      <c r="F64" s="487">
        <f>SUMIF($C$10:$C$39,C64,$O$9:$O$39)+SUMIF($C$10:$C$39,C64,$P$9:$P$39)</f>
        <v/>
      </c>
      <c r="G64" s="487">
        <f>SUMIF($C$10:$C$39,C64,$R$9:$R$39)</f>
        <v/>
      </c>
      <c r="H64" s="487">
        <f>SUMIF($C$10:$C$39,C64,$Q$9:$Q$39)</f>
        <v/>
      </c>
      <c r="I64" s="530">
        <f>SUM(D64:H64)</f>
        <v/>
      </c>
    </row>
    <row r="65">
      <c r="D65" s="487">
        <f>SUMIF($C$10:$C$39,C65,$K$9:$K$39)+SUMIF($C$10:$C$39,C65,$M$9:$M$39)</f>
        <v/>
      </c>
      <c r="E65" s="487" t="n"/>
      <c r="F65" s="487">
        <f>SUMIF($C$10:$C$39,C65,$O$9:$O$39)+SUMIF($C$10:$C$39,C65,$P$9:$P$39)</f>
        <v/>
      </c>
      <c r="G65" s="487">
        <f>SUMIF($C$10:$C$39,C65,$R$9:$R$39)</f>
        <v/>
      </c>
      <c r="H65" s="487">
        <f>SUMIF($C$10:$C$39,C65,$Q$9:$Q$39)</f>
        <v/>
      </c>
      <c r="I65" s="530">
        <f>SUM(D65:H65)</f>
        <v/>
      </c>
    </row>
    <row r="66">
      <c r="D66" s="487">
        <f>SUMIF($C$10:$C$39,C66,$K$9:$K$39)+SUMIF($C$10:$C$39,C66,$M$9:$M$39)</f>
        <v/>
      </c>
      <c r="E66" s="487" t="n"/>
      <c r="F66" s="487">
        <f>SUMIF($C$10:$C$39,C66,$O$9:$O$39)+SUMIF($C$10:$C$39,C66,$P$9:$P$39)</f>
        <v/>
      </c>
      <c r="G66" s="487">
        <f>SUMIF($C$10:$C$39,C66,$R$9:$R$39)</f>
        <v/>
      </c>
      <c r="H66" s="487">
        <f>SUMIF($C$10:$C$39,C66,$Q$9:$Q$39)</f>
        <v/>
      </c>
      <c r="I66" s="530">
        <f>SUM(D66:H66)</f>
        <v/>
      </c>
    </row>
    <row r="67" ht="15.75" customHeight="1" s="358" thickBot="1">
      <c r="C67" s="208" t="n"/>
      <c r="D67" s="489">
        <f>SUMIF($C$10:$C$39,C67,$K$9:$K$39)+SUMIF($C$10:$C$39,C67,$M$9:$M$39)</f>
        <v/>
      </c>
      <c r="E67" s="489" t="n"/>
      <c r="F67" s="489">
        <f>SUMIF($C$10:$C$39,C67,$O$9:$O$39)+SUMIF($C$10:$C$39,C67,$P$9:$P$39)</f>
        <v/>
      </c>
      <c r="G67" s="489">
        <f>SUMIF($C$10:$C$39,C67,$R$9:$R$39)</f>
        <v/>
      </c>
      <c r="H67" s="489">
        <f>SUMIF($C$10:$C$39,C67,$Q$9:$Q$39)</f>
        <v/>
      </c>
      <c r="I67" s="536">
        <f>SUM(D67:H67)</f>
        <v/>
      </c>
    </row>
    <row r="68" ht="15.75" customHeight="1" s="358" thickTop="1">
      <c r="C68" s="422" t="inlineStr">
        <is>
          <t>Total</t>
        </is>
      </c>
      <c r="D68" s="487">
        <f>SUBTOTAL(9,D46:D67)</f>
        <v/>
      </c>
      <c r="E68" s="487" t="n"/>
      <c r="F68" s="487">
        <f>SUBTOTAL(9,F46:F67)</f>
        <v/>
      </c>
      <c r="G68" s="487">
        <f>SUBTOTAL(9,G46:G67)</f>
        <v/>
      </c>
      <c r="H68" s="487">
        <f>SUBTOTAL(9,H46:H67)</f>
        <v/>
      </c>
      <c r="I68" s="537">
        <f>SUBTOTAL(9,I46:I67)</f>
        <v/>
      </c>
    </row>
    <row r="70">
      <c r="I70" s="458">
        <f>I68-I52-I54-I55-I56-I58</f>
        <v/>
      </c>
    </row>
  </sheetData>
  <autoFilter ref="B8:AG41"/>
  <mergeCells count="6">
    <mergeCell ref="AI7:AK7"/>
    <mergeCell ref="T3:W3"/>
    <mergeCell ref="T4:W4"/>
    <mergeCell ref="A1:S1"/>
    <mergeCell ref="M47:P47"/>
    <mergeCell ref="S47:U47"/>
  </mergeCells>
  <conditionalFormatting sqref="H9:H39">
    <cfRule type="cellIs" priority="8" operator="equal" dxfId="0">
      <formula>"YES"</formula>
    </cfRule>
    <cfRule type="cellIs" priority="9" operator="equal" dxfId="1">
      <formula>"NO"</formula>
    </cfRule>
    <cfRule type="cellIs" priority="32" operator="equal" dxfId="2">
      <formula>"N/A"</formula>
    </cfRule>
  </conditionalFormatting>
  <conditionalFormatting sqref="H40:J40">
    <cfRule type="cellIs" priority="474" operator="equal" dxfId="1">
      <formula>"NO"</formula>
    </cfRule>
    <cfRule type="cellIs" priority="475" operator="equal" dxfId="0">
      <formula>"YES"</formula>
    </cfRule>
  </conditionalFormatting>
  <conditionalFormatting sqref="J9:J39">
    <cfRule type="cellIs" priority="137" operator="equal" dxfId="0">
      <formula>"YES"</formula>
    </cfRule>
    <cfRule type="cellIs" priority="138" operator="equal" dxfId="1">
      <formula>"NO"</formula>
    </cfRule>
  </conditionalFormatting>
  <conditionalFormatting sqref="M48">
    <cfRule type="cellIs" priority="486" operator="equal" dxfId="2">
      <formula>"NO-OOS"</formula>
    </cfRule>
    <cfRule type="cellIs" priority="487" operator="equal" dxfId="1">
      <formula>"NO-CO"</formula>
    </cfRule>
    <cfRule type="cellIs" priority="488" operator="equal" dxfId="0">
      <formula>"YES"</formula>
    </cfRule>
    <cfRule type="cellIs" priority="489" operator="equal" dxfId="1">
      <formula>"NO"</formula>
    </cfRule>
  </conditionalFormatting>
  <conditionalFormatting sqref="S48">
    <cfRule type="cellIs" priority="481" operator="equal" dxfId="2">
      <formula>"NO-OOS"</formula>
    </cfRule>
    <cfRule type="cellIs" priority="482" operator="equal" dxfId="1">
      <formula>"NO-CO"</formula>
    </cfRule>
    <cfRule type="cellIs" priority="483" operator="equal" dxfId="0">
      <formula>"YES"</formula>
    </cfRule>
    <cfRule type="cellIs" priority="484" operator="equal" dxfId="1">
      <formula>"NO"</formula>
    </cfRule>
  </conditionalFormatting>
  <conditionalFormatting sqref="X9:X39">
    <cfRule type="cellIs" priority="294" operator="equal" dxfId="2">
      <formula>"N/A"</formula>
    </cfRule>
    <cfRule type="cellIs" priority="295" operator="equal" dxfId="0">
      <formula>"YES"</formula>
    </cfRule>
    <cfRule type="cellIs" priority="296" operator="equal" dxfId="1">
      <formula>"NO"</formula>
    </cfRule>
  </conditionalFormatting>
  <conditionalFormatting sqref="AA9:AA39">
    <cfRule type="cellIs" priority="115" operator="equal" dxfId="2">
      <formula>"N/A"</formula>
    </cfRule>
  </conditionalFormatting>
  <conditionalFormatting sqref="AA9:AA40">
    <cfRule type="cellIs" priority="116" operator="equal" dxfId="0">
      <formula>"YES"</formula>
    </cfRule>
    <cfRule type="cellIs" priority="117" operator="equal" dxfId="1">
      <formula>"NO"</formula>
    </cfRule>
  </conditionalFormatting>
  <conditionalFormatting sqref="AA60">
    <cfRule type="cellIs" priority="456" operator="equal" dxfId="2">
      <formula>"N/A"</formula>
    </cfRule>
    <cfRule type="cellIs" priority="458" operator="equal" dxfId="1">
      <formula>"NO"</formula>
    </cfRule>
  </conditionalFormatting>
  <conditionalFormatting sqref="AA60:AF60">
    <cfRule type="cellIs" priority="457" operator="equal" dxfId="0">
      <formula>"YES"</formula>
    </cfRule>
  </conditionalFormatting>
  <conditionalFormatting sqref="AB7:AB8 AB40:AB46 AB60 AB72:AB1048576 AC47:AC55">
    <cfRule type="cellIs" priority="492" operator="equal" dxfId="1">
      <formula>"NO-IL"</formula>
    </cfRule>
  </conditionalFormatting>
  <conditionalFormatting sqref="AB7:AB46">
    <cfRule type="cellIs" priority="10" operator="equal" dxfId="2">
      <formula>"NO-OOS"</formula>
    </cfRule>
    <cfRule type="cellIs" priority="11" operator="equal" dxfId="0">
      <formula>"YES"</formula>
    </cfRule>
  </conditionalFormatting>
  <conditionalFormatting sqref="AB9:AB39">
    <cfRule type="cellIs" priority="12" operator="equal" dxfId="1">
      <formula>"NO-TX"</formula>
    </cfRule>
  </conditionalFormatting>
  <conditionalFormatting sqref="AB60">
    <cfRule type="cellIs" priority="459" operator="equal" dxfId="2">
      <formula>"NO-OOS"</formula>
    </cfRule>
    <cfRule type="cellIs" priority="461" operator="equal" dxfId="1">
      <formula>"NO-TX"</formula>
    </cfRule>
  </conditionalFormatting>
  <conditionalFormatting sqref="AC16:AC25">
    <cfRule type="cellIs" priority="111" operator="equal" dxfId="1">
      <formula>"NO"</formula>
    </cfRule>
    <cfRule type="cellIs" priority="112" operator="equal" dxfId="0">
      <formula>"YES"</formula>
    </cfRule>
  </conditionalFormatting>
  <conditionalFormatting sqref="AB72:AB1048576 AC47:AC55">
    <cfRule type="cellIs" priority="491" operator="equal" dxfId="2">
      <formula>"NO-OOS"</formula>
    </cfRule>
    <cfRule type="cellIs" priority="493" operator="equal" dxfId="0">
      <formula>"YES"</formula>
    </cfRule>
  </conditionalFormatting>
  <conditionalFormatting sqref="AC10:AE10">
    <cfRule type="cellIs" priority="268" operator="equal" dxfId="1">
      <formula>"NO"</formula>
    </cfRule>
    <cfRule type="cellIs" priority="269" operator="equal" dxfId="0">
      <formula>"YES"</formula>
    </cfRule>
  </conditionalFormatting>
  <conditionalFormatting sqref="AC14:AE14">
    <cfRule type="cellIs" priority="272" operator="equal" dxfId="1">
      <formula>"NO"</formula>
    </cfRule>
    <cfRule type="cellIs" priority="273" operator="equal" dxfId="0">
      <formula>"YES"</formula>
    </cfRule>
  </conditionalFormatting>
  <conditionalFormatting sqref="AC26:AE38">
    <cfRule type="cellIs" priority="18" operator="equal" dxfId="1">
      <formula>"NO"</formula>
    </cfRule>
    <cfRule type="cellIs" priority="19" operator="equal" dxfId="0">
      <formula>"YES"</formula>
    </cfRule>
  </conditionalFormatting>
  <conditionalFormatting sqref="AC9:AF9">
    <cfRule type="cellIs" priority="286" operator="equal" dxfId="1">
      <formula>"NO"</formula>
    </cfRule>
    <cfRule type="cellIs" priority="287" operator="equal" dxfId="0">
      <formula>"YES"</formula>
    </cfRule>
  </conditionalFormatting>
  <conditionalFormatting sqref="AC11:AF11 AC12:AE12 AC13:AF13">
    <cfRule type="cellIs" priority="284" operator="equal" dxfId="1">
      <formula>"NO"</formula>
    </cfRule>
    <cfRule type="cellIs" priority="285" operator="equal" dxfId="0">
      <formula>"YES"</formula>
    </cfRule>
  </conditionalFormatting>
  <conditionalFormatting sqref="AC15:AF15">
    <cfRule type="cellIs" priority="280" operator="equal" dxfId="1">
      <formula>"NO"</formula>
    </cfRule>
    <cfRule type="cellIs" priority="281" operator="equal" dxfId="0">
      <formula>"YES"</formula>
    </cfRule>
  </conditionalFormatting>
  <conditionalFormatting sqref="AC38:AF40">
    <cfRule type="cellIs" priority="16" operator="equal" dxfId="1">
      <formula>"NO"</formula>
    </cfRule>
    <cfRule type="cellIs" priority="17" operator="equal" dxfId="0">
      <formula>"YES"</formula>
    </cfRule>
  </conditionalFormatting>
  <conditionalFormatting sqref="AC60:AF60">
    <cfRule type="cellIs" priority="462" operator="equal" dxfId="1">
      <formula>"NO"</formula>
    </cfRule>
  </conditionalFormatting>
  <conditionalFormatting sqref="AD16:AE16">
    <cfRule type="cellIs" priority="270" operator="equal" dxfId="1">
      <formula>"NO"</formula>
    </cfRule>
    <cfRule type="cellIs" priority="271" operator="equal" dxfId="0">
      <formula>"YES"</formula>
    </cfRule>
  </conditionalFormatting>
  <conditionalFormatting sqref="AD23:AE25">
    <cfRule type="cellIs" priority="65" operator="equal" dxfId="1">
      <formula>"NO"</formula>
    </cfRule>
    <cfRule type="cellIs" priority="66" operator="equal" dxfId="0">
      <formula>"YES"</formula>
    </cfRule>
  </conditionalFormatting>
  <conditionalFormatting sqref="AD17:AF22">
    <cfRule type="cellIs" priority="278" operator="equal" dxfId="1">
      <formula>"NO"</formula>
    </cfRule>
    <cfRule type="cellIs" priority="279" operator="equal" dxfId="0">
      <formula>"YES"</formula>
    </cfRule>
  </conditionalFormatting>
  <conditionalFormatting sqref="AF9:AF38">
    <cfRule type="cellIs" priority="20" operator="equal" dxfId="1">
      <formula>"NO"</formula>
    </cfRule>
    <cfRule type="cellIs" priority="21" operator="equal" dxfId="0">
      <formula>"YES"</formula>
    </cfRule>
  </conditionalFormatting>
  <dataValidations count="1">
    <dataValidation sqref="G40:J40 G42:G44 G72:J1048576 I42:I44 J42:J45 J51:J63 U48 U50 Y47" showDropDown="0" showInputMessage="1" showErrorMessage="1" allowBlank="1" type="list">
      <formula1>$S$2:$S$3</formula1>
    </dataValidation>
  </dataValidations>
  <hyperlinks>
    <hyperlink ref="K43" location="'Comm Summary'!A1" display="'Comm Summary'!A1"/>
    <hyperlink ref="L43" location="'Comm Summary'!A1" display="'Comm Summary'!A1"/>
    <hyperlink ref="M43" location="'Comm Summary'!A1" display="'Comm Summary'!A1"/>
    <hyperlink ref="O43" location="'Comm Summary'!A1" display="'Comm Summary'!A1"/>
    <hyperlink ref="P43" location="'Comm Summary'!A1" display="'Comm Summary'!A1"/>
    <hyperlink ref="Q43" location="'Comm Summary'!A1" display="'Comm Summary'!A1"/>
    <hyperlink ref="R43" location="'Comm Summary'!A1" display="'Comm Summary'!A1"/>
    <hyperlink ref="S43" location="'Comm Summary'!A1" display="'Comm Summary'!A1"/>
    <hyperlink ref="T43" location="'Comm Summary'!A1" display="'Comm Summary'!A1"/>
    <hyperlink ref="U43" location="'Comm Summary'!A1" display="'Comm Summary'!A1"/>
  </hyperlinks>
  <pageMargins left="0.7" right="0.7" top="0.75" bottom="0.75" header="0.3" footer="0.3"/>
  <pageSetup orientation="portrait" scale="57"/>
</worksheet>
</file>

<file path=xl/worksheets/sheet8.xml><?xml version="1.0" encoding="utf-8"?>
<worksheet xmlns="http://schemas.openxmlformats.org/spreadsheetml/2006/main">
  <sheetPr>
    <tabColor rgb="FFFFCCFF"/>
    <outlinePr summaryBelow="1" summaryRight="1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baseColWidth="8" defaultColWidth="9.140625" defaultRowHeight="15"/>
  <cols>
    <col width="2.5703125" customWidth="1" style="358" min="1" max="1"/>
    <col width="9.140625" customWidth="1" style="9" min="2" max="2"/>
    <col width="16.5703125" customWidth="1" style="109" min="3" max="3"/>
    <col width="22" bestFit="1" customWidth="1" style="422" min="4" max="4"/>
    <col width="16.42578125" customWidth="1" style="27" min="5" max="6"/>
    <col width="20.140625" customWidth="1" style="479" min="7" max="10"/>
    <col width="18.140625" customWidth="1" style="479" min="11" max="11"/>
    <col width="18.5703125" customWidth="1" style="479" min="12" max="12"/>
    <col width="28.42578125" customWidth="1" style="68" min="13" max="13"/>
    <col width="18.28515625" bestFit="1" customWidth="1" style="119" min="14" max="14"/>
    <col width="13.5703125" customWidth="1" style="119" min="15" max="15"/>
    <col width="17.28515625" customWidth="1" style="422" min="16" max="16"/>
    <col width="12.7109375" customWidth="1" style="422" min="17" max="17"/>
    <col width="22" customWidth="1" style="422" min="18" max="18"/>
    <col width="19.140625" customWidth="1" style="422" min="19" max="19"/>
    <col width="13.85546875" customWidth="1" style="422" min="20" max="20"/>
    <col width="51" customWidth="1" style="422" min="21" max="21"/>
    <col width="28.28515625" customWidth="1" style="422" min="22" max="22"/>
    <col width="18.140625" customWidth="1" style="422" min="23" max="23"/>
    <col width="9.28515625" customWidth="1" style="422" min="24" max="24"/>
    <col width="8.28515625" customWidth="1" style="422" min="25" max="25"/>
    <col width="19.28515625" customWidth="1" style="32" min="26" max="26"/>
    <col width="15.5703125" customWidth="1" style="358" min="27" max="27"/>
    <col width="55" customWidth="1" style="32" min="28" max="28"/>
  </cols>
  <sheetData>
    <row r="1" ht="15.75" customHeight="1" s="358">
      <c r="B1" s="431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431" t="n"/>
      <c r="O1" s="214" t="n"/>
      <c r="P1" s="214" t="n"/>
      <c r="Q1" s="214" t="n"/>
      <c r="R1" s="214" t="n"/>
      <c r="S1" s="214" t="n"/>
      <c r="T1" s="214" t="n"/>
      <c r="U1" s="214" t="n"/>
      <c r="V1" s="214" t="n"/>
      <c r="W1" s="214" t="n"/>
      <c r="X1" s="214" t="n"/>
      <c r="Y1" s="214" t="n"/>
      <c r="Z1" s="214" t="n"/>
      <c r="AA1" s="214" t="n"/>
      <c r="AB1" s="214" t="n"/>
      <c r="AC1" s="431" t="n"/>
      <c r="AD1" s="431" t="n"/>
    </row>
    <row r="2" ht="15.75" customHeight="1" s="358">
      <c r="B2" s="431" t="n"/>
      <c r="C2" s="431" t="n"/>
      <c r="D2" s="431" t="n"/>
      <c r="E2" s="25" t="n"/>
      <c r="F2" s="25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215" t="n"/>
      <c r="U2" s="431" t="n"/>
      <c r="V2" s="31" t="n"/>
      <c r="W2" s="31" t="n"/>
      <c r="X2" s="31" t="n"/>
      <c r="Y2" s="431" t="n"/>
      <c r="Z2" s="431" t="n"/>
      <c r="AA2" s="31" t="n"/>
      <c r="AB2" s="31" t="n"/>
      <c r="AC2" s="431" t="n"/>
      <c r="AD2" s="31" t="n"/>
    </row>
    <row r="3">
      <c r="C3" s="9" t="n"/>
      <c r="D3" s="15" t="n"/>
      <c r="F3" s="23" t="n"/>
      <c r="N3" s="422" t="n"/>
      <c r="O3" s="422" t="n"/>
      <c r="V3" s="32" t="n"/>
      <c r="W3" s="32" t="n"/>
      <c r="X3" s="32" t="n"/>
      <c r="Z3" s="422" t="n"/>
      <c r="AA3" s="32" t="n"/>
      <c r="AD3" s="32" t="n"/>
    </row>
    <row r="4" ht="18.75" customHeight="1" s="358">
      <c r="C4" s="9" t="n"/>
      <c r="D4" s="15" t="n"/>
      <c r="E4" s="4" t="n"/>
      <c r="F4" s="4" t="n"/>
      <c r="N4" s="422" t="n"/>
      <c r="O4" s="422" t="n"/>
      <c r="R4" s="419" t="n"/>
      <c r="S4" s="419" t="n"/>
      <c r="U4" s="420" t="n"/>
      <c r="V4" s="4" t="n"/>
      <c r="W4" s="4" t="n"/>
      <c r="X4" s="4" t="n"/>
      <c r="Y4" s="420" t="n"/>
      <c r="Z4" s="420" t="n"/>
      <c r="AA4" s="4" t="n"/>
      <c r="AB4" s="4" t="n"/>
      <c r="AC4" s="4" t="n"/>
      <c r="AD4" s="4" t="n"/>
      <c r="AE4" s="4" t="n"/>
    </row>
    <row r="5" ht="18.75" customHeight="1" s="358">
      <c r="C5" s="9" t="n"/>
      <c r="D5" s="15" t="n"/>
      <c r="E5" s="4" t="n"/>
      <c r="F5" s="4" t="n"/>
      <c r="N5" s="422" t="n"/>
      <c r="O5" s="422" t="n"/>
      <c r="R5" s="419" t="n"/>
      <c r="S5" s="419" t="n"/>
      <c r="U5" s="420" t="n"/>
      <c r="V5" s="4" t="n"/>
      <c r="W5" s="4" t="n"/>
      <c r="X5" s="4" t="n"/>
      <c r="Y5" s="420" t="n"/>
      <c r="Z5" s="420" t="n"/>
      <c r="AA5" s="4" t="n"/>
      <c r="AB5" s="4" t="n"/>
      <c r="AC5" s="4" t="n"/>
      <c r="AD5" s="4" t="n"/>
      <c r="AE5" s="4" t="n"/>
    </row>
    <row r="7" ht="18.75" customFormat="1" customHeight="1" s="7">
      <c r="B7" s="10" t="inlineStr">
        <is>
          <t>ITEM #</t>
        </is>
      </c>
      <c r="C7" s="81" t="inlineStr">
        <is>
          <t>PO #</t>
        </is>
      </c>
      <c r="D7" s="12" t="inlineStr">
        <is>
          <t>Invoice #</t>
        </is>
      </c>
      <c r="E7" s="26" t="inlineStr">
        <is>
          <t xml:space="preserve"> Invoice Date</t>
        </is>
      </c>
      <c r="F7" s="26" t="inlineStr">
        <is>
          <t>Pay Period (WE)</t>
        </is>
      </c>
      <c r="G7" s="516" t="inlineStr">
        <is>
          <t>Gross Wages</t>
        </is>
      </c>
      <c r="H7" s="516" t="inlineStr">
        <is>
          <t>Mileage</t>
        </is>
      </c>
      <c r="I7" s="516" t="inlineStr">
        <is>
          <t>Kit Rental</t>
        </is>
      </c>
      <c r="J7" s="516" t="inlineStr">
        <is>
          <t>Other</t>
        </is>
      </c>
      <c r="K7" s="538" t="inlineStr">
        <is>
          <t>Total Ineligible</t>
        </is>
      </c>
      <c r="L7" s="516" t="inlineStr">
        <is>
          <t>Submitted Amount $</t>
        </is>
      </c>
      <c r="M7" s="69" t="inlineStr">
        <is>
          <t>Crew Name</t>
        </is>
      </c>
      <c r="N7" s="216" t="inlineStr">
        <is>
          <t>Crew Position</t>
        </is>
      </c>
      <c r="O7" s="12" t="inlineStr">
        <is>
          <t>Valid DTR Form</t>
        </is>
      </c>
      <c r="P7" s="12" t="inlineStr">
        <is>
          <t>Pymt Method</t>
        </is>
      </c>
      <c r="Q7" s="12" t="inlineStr">
        <is>
          <t>Pymt #</t>
        </is>
      </c>
      <c r="R7" s="12" t="inlineStr">
        <is>
          <t>Proof of Payment?</t>
        </is>
      </c>
      <c r="S7" s="12" t="inlineStr">
        <is>
          <t>Payment Entity</t>
        </is>
      </c>
      <c r="T7" s="12" t="inlineStr">
        <is>
          <t>Type</t>
        </is>
      </c>
      <c r="U7" s="12" t="inlineStr">
        <is>
          <t>Description</t>
        </is>
      </c>
      <c r="V7" s="12" t="inlineStr">
        <is>
          <t>Address</t>
        </is>
      </c>
      <c r="W7" s="12" t="inlineStr">
        <is>
          <t xml:space="preserve">City </t>
        </is>
      </c>
      <c r="X7" s="12" t="inlineStr">
        <is>
          <t>State</t>
        </is>
      </c>
      <c r="Y7" s="12" t="inlineStr">
        <is>
          <t>Zip</t>
        </is>
      </c>
      <c r="Z7" s="12" t="inlineStr">
        <is>
          <t>Contact #</t>
        </is>
      </c>
      <c r="AA7" s="12" t="inlineStr">
        <is>
          <t>Qualify?</t>
        </is>
      </c>
      <c r="AB7" s="33" t="inlineStr">
        <is>
          <t>Notes:</t>
        </is>
      </c>
    </row>
    <row r="8">
      <c r="B8" s="11" t="n">
        <v>1</v>
      </c>
      <c r="C8" s="287" t="n"/>
      <c r="D8" s="185" t="n"/>
      <c r="E8" s="454" t="n"/>
      <c r="F8" s="539" t="n"/>
      <c r="G8" s="466" t="n">
        <v>0</v>
      </c>
      <c r="H8" s="466" t="n">
        <v>0</v>
      </c>
      <c r="I8" s="466" t="n">
        <v>0</v>
      </c>
      <c r="J8" s="466" t="n">
        <v>0</v>
      </c>
      <c r="K8" s="467" t="n">
        <v>0</v>
      </c>
      <c r="L8" s="466">
        <f>SUM(G8:J8)-K8</f>
        <v/>
      </c>
      <c r="M8" s="36" t="n"/>
      <c r="N8" s="29" t="n"/>
      <c r="O8" s="29" t="n"/>
      <c r="P8" s="29" t="n"/>
      <c r="Q8" s="29" t="n"/>
      <c r="R8" s="268" t="n"/>
      <c r="S8" s="29" t="n"/>
      <c r="T8" s="29" t="n"/>
      <c r="U8" s="29" t="n"/>
      <c r="V8" s="36" t="n"/>
      <c r="W8" s="29" t="n"/>
      <c r="X8" s="29" t="n"/>
      <c r="Y8" s="73" t="n"/>
      <c r="Z8" s="499" t="n"/>
      <c r="AA8" s="43" t="n"/>
      <c r="AB8" s="36" t="n"/>
    </row>
    <row r="9" ht="15" customHeight="1" s="358">
      <c r="B9" s="11" t="n">
        <v>2</v>
      </c>
      <c r="C9" s="287" t="n"/>
      <c r="D9" s="190" t="n"/>
      <c r="E9" s="454" t="n"/>
      <c r="F9" s="454" t="n"/>
      <c r="G9" s="466" t="n">
        <v>0</v>
      </c>
      <c r="H9" s="466" t="n">
        <v>0</v>
      </c>
      <c r="I9" s="466" t="n">
        <v>0</v>
      </c>
      <c r="J9" s="466" t="n">
        <v>0</v>
      </c>
      <c r="K9" s="467" t="n">
        <v>0</v>
      </c>
      <c r="L9" s="466">
        <f>SUM(G9:J9)-K9</f>
        <v/>
      </c>
      <c r="M9" s="36" t="n"/>
      <c r="N9" s="29" t="n"/>
      <c r="O9" s="29" t="n"/>
      <c r="P9" s="29" t="n"/>
      <c r="Q9" s="29" t="n"/>
      <c r="R9" s="268" t="n"/>
      <c r="S9" s="29" t="n"/>
      <c r="T9" s="29" t="n"/>
      <c r="U9" s="29" t="n"/>
      <c r="V9" s="36" t="n"/>
      <c r="W9" s="29" t="n"/>
      <c r="X9" s="29" t="n"/>
      <c r="Y9" s="29" t="n"/>
      <c r="Z9" s="499" t="n"/>
      <c r="AA9" s="43" t="n"/>
      <c r="AB9" s="36" t="n"/>
    </row>
    <row r="10" ht="15" customHeight="1" s="358">
      <c r="B10" s="11">
        <f>B9+1</f>
        <v/>
      </c>
      <c r="C10" s="287" t="n"/>
      <c r="D10" s="189" t="n"/>
      <c r="E10" s="454" t="n"/>
      <c r="F10" s="454" t="n"/>
      <c r="G10" s="466" t="n">
        <v>0</v>
      </c>
      <c r="H10" s="466" t="n">
        <v>0</v>
      </c>
      <c r="I10" s="466" t="n">
        <v>0</v>
      </c>
      <c r="J10" s="466" t="n">
        <v>0</v>
      </c>
      <c r="K10" s="467" t="n">
        <v>0</v>
      </c>
      <c r="L10" s="466">
        <f>SUM(G10:J10)-K10</f>
        <v/>
      </c>
      <c r="M10" s="36" t="n"/>
      <c r="N10" s="29" t="n"/>
      <c r="O10" s="29" t="n"/>
      <c r="P10" s="29" t="n"/>
      <c r="Q10" s="29" t="n"/>
      <c r="R10" s="268" t="n"/>
      <c r="S10" s="29" t="n"/>
      <c r="T10" s="29" t="n"/>
      <c r="U10" s="29" t="n"/>
      <c r="V10" s="36" t="n"/>
      <c r="W10" s="29" t="n"/>
      <c r="X10" s="29" t="n"/>
      <c r="Y10" s="29" t="n"/>
      <c r="Z10" s="499" t="n"/>
      <c r="AA10" s="43" t="n"/>
      <c r="AB10" s="36" t="n"/>
    </row>
    <row r="11">
      <c r="B11" s="11">
        <f>B10+1</f>
        <v/>
      </c>
      <c r="C11" s="287" t="n"/>
      <c r="D11" s="218" t="n"/>
      <c r="E11" s="454" t="n"/>
      <c r="F11" s="454" t="n"/>
      <c r="G11" s="466" t="n">
        <v>0</v>
      </c>
      <c r="H11" s="466" t="n">
        <v>0</v>
      </c>
      <c r="I11" s="466" t="n">
        <v>0</v>
      </c>
      <c r="J11" s="466" t="n">
        <v>0</v>
      </c>
      <c r="K11" s="467" t="n">
        <v>0</v>
      </c>
      <c r="L11" s="466">
        <f>SUM(G11:J11)-K11</f>
        <v/>
      </c>
      <c r="M11" s="36" t="n"/>
      <c r="N11" s="29" t="n"/>
      <c r="O11" s="29" t="n"/>
      <c r="P11" s="29" t="n"/>
      <c r="Q11" s="29" t="n"/>
      <c r="R11" s="268" t="n"/>
      <c r="S11" s="29" t="n"/>
      <c r="T11" s="29" t="n"/>
      <c r="U11" s="29" t="n"/>
      <c r="V11" s="36" t="n"/>
      <c r="W11" s="29" t="n"/>
      <c r="X11" s="29" t="n"/>
      <c r="Y11" s="29" t="n"/>
      <c r="Z11" s="499" t="n"/>
      <c r="AA11" s="43" t="n"/>
      <c r="AB11" s="36" t="n"/>
    </row>
    <row r="12" ht="15" customHeight="1" s="358">
      <c r="B12" s="11">
        <f>B11+1</f>
        <v/>
      </c>
      <c r="C12" s="287" t="n"/>
      <c r="D12" s="218" t="n"/>
      <c r="E12" s="454" t="n"/>
      <c r="F12" s="454" t="n"/>
      <c r="G12" s="466" t="n">
        <v>0</v>
      </c>
      <c r="H12" s="466" t="n">
        <v>0</v>
      </c>
      <c r="I12" s="466" t="n">
        <v>0</v>
      </c>
      <c r="J12" s="466" t="n">
        <v>0</v>
      </c>
      <c r="K12" s="467" t="n">
        <v>0</v>
      </c>
      <c r="L12" s="466">
        <f>SUM(G12:J12)-K12</f>
        <v/>
      </c>
      <c r="M12" s="36" t="n"/>
      <c r="N12" s="29" t="n"/>
      <c r="O12" s="287" t="n"/>
      <c r="P12" s="29" t="n"/>
      <c r="Q12" s="29" t="n"/>
      <c r="R12" s="268" t="n"/>
      <c r="S12" s="29" t="n"/>
      <c r="T12" s="29" t="n"/>
      <c r="U12" s="29" t="n"/>
      <c r="V12" s="36" t="n"/>
      <c r="W12" s="29" t="n"/>
      <c r="X12" s="29" t="n"/>
      <c r="Y12" s="29" t="n"/>
      <c r="Z12" s="499" t="n"/>
      <c r="AA12" s="43" t="n"/>
      <c r="AB12" s="36" t="n"/>
    </row>
    <row r="13">
      <c r="B13" s="11">
        <f>B12+1</f>
        <v/>
      </c>
      <c r="C13" s="287" t="n"/>
      <c r="D13" s="190" t="n"/>
      <c r="E13" s="454" t="n"/>
      <c r="F13" s="454" t="n"/>
      <c r="G13" s="466" t="n">
        <v>0</v>
      </c>
      <c r="H13" s="466" t="n">
        <v>0</v>
      </c>
      <c r="I13" s="466" t="n">
        <v>0</v>
      </c>
      <c r="J13" s="466" t="n">
        <v>0</v>
      </c>
      <c r="K13" s="467" t="n">
        <v>0</v>
      </c>
      <c r="L13" s="466">
        <f>SUM(G13:J13)-K13</f>
        <v/>
      </c>
      <c r="M13" s="36" t="n"/>
      <c r="N13" s="29" t="n"/>
      <c r="O13" s="29" t="n"/>
      <c r="P13" s="29" t="n"/>
      <c r="Q13" s="29" t="n"/>
      <c r="R13" s="268" t="n"/>
      <c r="S13" s="29" t="n"/>
      <c r="T13" s="29" t="n"/>
      <c r="V13" s="36" t="n"/>
      <c r="W13" s="29" t="n"/>
      <c r="X13" s="29" t="n"/>
      <c r="Y13" s="29" t="n"/>
      <c r="Z13" s="499" t="n"/>
      <c r="AA13" s="43" t="n"/>
      <c r="AB13" s="36" t="n"/>
    </row>
    <row r="14">
      <c r="B14" s="11">
        <f>B13+1</f>
        <v/>
      </c>
      <c r="C14" s="287" t="n"/>
      <c r="D14" s="190" t="n"/>
      <c r="E14" s="454" t="n"/>
      <c r="F14" s="454" t="n"/>
      <c r="G14" s="466" t="n">
        <v>0</v>
      </c>
      <c r="H14" s="466" t="n">
        <v>0</v>
      </c>
      <c r="I14" s="466" t="n">
        <v>0</v>
      </c>
      <c r="J14" s="466" t="n">
        <v>0</v>
      </c>
      <c r="K14" s="467" t="n">
        <v>0</v>
      </c>
      <c r="L14" s="466">
        <f>SUM(G14:J14)-K14</f>
        <v/>
      </c>
      <c r="M14" s="36" t="n"/>
      <c r="N14" s="29" t="n"/>
      <c r="O14" s="29" t="n"/>
      <c r="P14" s="29" t="n"/>
      <c r="Q14" s="29" t="n"/>
      <c r="R14" s="268" t="n"/>
      <c r="S14" s="29" t="n"/>
      <c r="T14" s="29" t="n"/>
      <c r="U14" s="29" t="n"/>
      <c r="V14" s="36" t="n"/>
      <c r="W14" s="29" t="n"/>
      <c r="X14" s="29" t="n"/>
      <c r="Y14" s="29" t="n"/>
      <c r="Z14" s="499" t="n"/>
      <c r="AA14" s="43" t="n"/>
      <c r="AB14" s="36" t="n"/>
    </row>
    <row r="15" ht="15" customHeight="1" s="358">
      <c r="B15" s="11">
        <f>B14+1</f>
        <v/>
      </c>
      <c r="C15" s="287" t="n"/>
      <c r="D15" s="189" t="n"/>
      <c r="E15" s="454" t="n"/>
      <c r="F15" s="454" t="n"/>
      <c r="G15" s="466" t="n">
        <v>0</v>
      </c>
      <c r="H15" s="466" t="n">
        <v>0</v>
      </c>
      <c r="I15" s="466" t="n">
        <v>0</v>
      </c>
      <c r="J15" s="466" t="n">
        <v>0</v>
      </c>
      <c r="K15" s="467" t="n">
        <v>0</v>
      </c>
      <c r="L15" s="466">
        <f>SUM(G15:J15)-K15</f>
        <v/>
      </c>
      <c r="M15" s="36" t="n"/>
      <c r="N15" s="29" t="n"/>
      <c r="O15" s="29" t="n"/>
      <c r="P15" s="29" t="n"/>
      <c r="Q15" s="29" t="n"/>
      <c r="R15" s="268" t="n"/>
      <c r="S15" s="29" t="n"/>
      <c r="T15" s="29" t="n"/>
      <c r="U15" s="29" t="n"/>
      <c r="V15" s="36" t="n"/>
      <c r="W15" s="29" t="n"/>
      <c r="X15" s="29" t="n"/>
      <c r="Y15" s="29" t="n"/>
      <c r="Z15" s="499" t="n"/>
      <c r="AA15" s="43" t="n"/>
      <c r="AB15" s="36" t="n"/>
    </row>
    <row r="16">
      <c r="B16" s="11">
        <f>B15+1</f>
        <v/>
      </c>
      <c r="C16" s="287" t="n"/>
      <c r="D16" s="189" t="n"/>
      <c r="E16" s="454" t="n"/>
      <c r="F16" s="454" t="n"/>
      <c r="G16" s="466" t="n">
        <v>0</v>
      </c>
      <c r="H16" s="466" t="n">
        <v>0</v>
      </c>
      <c r="I16" s="466" t="n">
        <v>0</v>
      </c>
      <c r="J16" s="466" t="n">
        <v>0</v>
      </c>
      <c r="K16" s="467" t="n">
        <v>0</v>
      </c>
      <c r="L16" s="466">
        <f>SUM(G16:J16)-K16</f>
        <v/>
      </c>
      <c r="M16" s="36" t="n"/>
      <c r="N16" s="29" t="n"/>
      <c r="O16" s="29" t="n"/>
      <c r="P16" s="29" t="n"/>
      <c r="Q16" s="29" t="n"/>
      <c r="R16" s="268" t="n"/>
      <c r="S16" s="29" t="n"/>
      <c r="T16" s="29" t="n"/>
      <c r="U16" s="29" t="n"/>
      <c r="V16" s="36" t="n"/>
      <c r="W16" s="29" t="n"/>
      <c r="X16" s="29" t="n"/>
      <c r="Y16" s="29" t="n"/>
      <c r="Z16" s="499" t="n"/>
      <c r="AA16" s="43" t="n"/>
      <c r="AB16" s="36" t="n"/>
    </row>
    <row r="17">
      <c r="B17" s="11">
        <f>B16+1</f>
        <v/>
      </c>
      <c r="C17" s="287" t="n"/>
      <c r="D17" s="189" t="n"/>
      <c r="E17" s="454" t="n"/>
      <c r="F17" s="454" t="n"/>
      <c r="G17" s="466" t="n">
        <v>0</v>
      </c>
      <c r="H17" s="466" t="n">
        <v>0</v>
      </c>
      <c r="I17" s="466" t="n">
        <v>0</v>
      </c>
      <c r="J17" s="466" t="n">
        <v>0</v>
      </c>
      <c r="K17" s="467" t="n">
        <v>0</v>
      </c>
      <c r="L17" s="466">
        <f>SUM(G17:J17)-K17</f>
        <v/>
      </c>
      <c r="M17" s="36" t="n"/>
      <c r="N17" s="29" t="n"/>
      <c r="O17" s="29" t="n"/>
      <c r="P17" s="29" t="n"/>
      <c r="Q17" s="29" t="n"/>
      <c r="R17" s="268" t="n"/>
      <c r="S17" s="29" t="n"/>
      <c r="T17" s="29" t="n"/>
      <c r="U17" s="29" t="n"/>
      <c r="V17" s="36" t="n"/>
      <c r="W17" s="29" t="n"/>
      <c r="X17" s="29" t="n"/>
      <c r="Y17" s="73" t="n"/>
      <c r="Z17" s="499" t="n"/>
      <c r="AA17" s="43" t="n"/>
      <c r="AB17" s="36" t="n"/>
    </row>
    <row r="18" ht="15" customHeight="1" s="358">
      <c r="B18" s="11">
        <f>B17+1</f>
        <v/>
      </c>
      <c r="C18" s="287" t="n"/>
      <c r="D18" s="189" t="n"/>
      <c r="E18" s="454" t="n"/>
      <c r="F18" s="454" t="n"/>
      <c r="G18" s="466" t="n">
        <v>0</v>
      </c>
      <c r="H18" s="466" t="n">
        <v>0</v>
      </c>
      <c r="I18" s="466" t="n">
        <v>0</v>
      </c>
      <c r="J18" s="466" t="n">
        <v>0</v>
      </c>
      <c r="K18" s="467" t="n">
        <v>0</v>
      </c>
      <c r="L18" s="466">
        <f>SUM(G18:J18)-K18</f>
        <v/>
      </c>
      <c r="M18" s="36" t="n"/>
      <c r="N18" s="29" t="n"/>
      <c r="O18" s="29" t="n"/>
      <c r="P18" s="29" t="n"/>
      <c r="Q18" s="29" t="n"/>
      <c r="R18" s="268" t="n"/>
      <c r="S18" s="29" t="n"/>
      <c r="T18" s="29" t="n"/>
      <c r="U18" s="29" t="n"/>
      <c r="V18" s="36" t="n"/>
      <c r="W18" s="29" t="n"/>
      <c r="X18" s="29" t="n"/>
      <c r="Y18" s="29" t="n"/>
      <c r="Z18" s="499" t="n"/>
      <c r="AA18" s="43" t="n"/>
      <c r="AB18" s="36" t="n"/>
    </row>
    <row r="19" ht="15" customHeight="1" s="358">
      <c r="B19" s="11">
        <f>B18+1</f>
        <v/>
      </c>
      <c r="C19" s="287" t="n"/>
      <c r="D19" s="219" t="n"/>
      <c r="E19" s="454" t="n"/>
      <c r="F19" s="454" t="n"/>
      <c r="G19" s="466" t="n">
        <v>0</v>
      </c>
      <c r="H19" s="466" t="n">
        <v>0</v>
      </c>
      <c r="I19" s="466" t="n">
        <v>0</v>
      </c>
      <c r="J19" s="466" t="n">
        <v>0</v>
      </c>
      <c r="K19" s="467" t="n">
        <v>0</v>
      </c>
      <c r="L19" s="466">
        <f>SUM(G19:J19)-K19</f>
        <v/>
      </c>
      <c r="M19" s="36" t="n"/>
      <c r="N19" s="29" t="n"/>
      <c r="O19" s="29" t="n"/>
      <c r="P19" s="29" t="n"/>
      <c r="Q19" s="29" t="n"/>
      <c r="R19" s="268" t="n"/>
      <c r="S19" s="29" t="n"/>
      <c r="T19" s="29" t="n"/>
      <c r="U19" s="29" t="n"/>
      <c r="V19" s="36" t="n"/>
      <c r="W19" s="29" t="n"/>
      <c r="X19" s="29" t="n"/>
      <c r="Y19" s="73" t="n"/>
      <c r="Z19" s="499" t="n"/>
      <c r="AA19" s="43" t="n"/>
      <c r="AB19" s="36" t="n"/>
    </row>
    <row r="20" ht="15" customHeight="1" s="358">
      <c r="B20" s="11">
        <f>B19+1</f>
        <v/>
      </c>
      <c r="C20" s="287" t="n"/>
      <c r="D20" s="189" t="n"/>
      <c r="E20" s="454" t="n"/>
      <c r="F20" s="454" t="n"/>
      <c r="G20" s="466" t="n">
        <v>0</v>
      </c>
      <c r="H20" s="466" t="n">
        <v>0</v>
      </c>
      <c r="I20" s="466" t="n">
        <v>0</v>
      </c>
      <c r="J20" s="466" t="n">
        <v>0</v>
      </c>
      <c r="K20" s="467" t="n">
        <v>0</v>
      </c>
      <c r="L20" s="466">
        <f>SUM(G20:J20)-K20</f>
        <v/>
      </c>
      <c r="M20" s="36" t="n"/>
      <c r="N20" s="29" t="n"/>
      <c r="O20" s="29" t="n"/>
      <c r="P20" s="29" t="n"/>
      <c r="Q20" s="29" t="n"/>
      <c r="R20" s="268" t="n"/>
      <c r="S20" s="29" t="n"/>
      <c r="T20" s="29" t="n"/>
      <c r="U20" s="29" t="n"/>
      <c r="V20" s="36" t="n"/>
      <c r="W20" s="29" t="n"/>
      <c r="X20" s="29" t="n"/>
      <c r="Y20" s="73" t="n"/>
      <c r="Z20" s="499" t="n"/>
      <c r="AA20" s="43" t="n"/>
      <c r="AB20" s="36" t="n"/>
    </row>
    <row r="21" ht="15" customHeight="1" s="358">
      <c r="B21" s="11">
        <f>B20+1</f>
        <v/>
      </c>
      <c r="C21" s="287" t="n"/>
      <c r="D21" s="189" t="n"/>
      <c r="E21" s="454" t="n"/>
      <c r="F21" s="454" t="n"/>
      <c r="G21" s="466" t="n">
        <v>0</v>
      </c>
      <c r="H21" s="466" t="n">
        <v>0</v>
      </c>
      <c r="I21" s="466" t="n">
        <v>0</v>
      </c>
      <c r="J21" s="466" t="n">
        <v>0</v>
      </c>
      <c r="K21" s="467" t="n">
        <v>0</v>
      </c>
      <c r="L21" s="466">
        <f>SUM(G21:J21)-K21</f>
        <v/>
      </c>
      <c r="M21" s="36" t="n"/>
      <c r="N21" s="29" t="n"/>
      <c r="O21" s="29" t="n"/>
      <c r="P21" s="29" t="n"/>
      <c r="Q21" s="29" t="n"/>
      <c r="R21" s="268" t="n"/>
      <c r="S21" s="29" t="n"/>
      <c r="T21" s="29" t="n"/>
      <c r="U21" s="29" t="n"/>
      <c r="V21" s="36" t="n"/>
      <c r="W21" s="29" t="n"/>
      <c r="X21" s="29" t="n"/>
      <c r="Y21" s="73" t="n"/>
      <c r="Z21" s="499" t="n"/>
      <c r="AA21" s="43" t="n"/>
      <c r="AB21" s="36" t="n"/>
    </row>
    <row r="22" ht="15" customHeight="1" s="358">
      <c r="B22" s="11">
        <f>B21+1</f>
        <v/>
      </c>
      <c r="C22" s="287" t="n"/>
      <c r="D22" s="189" t="n"/>
      <c r="E22" s="454" t="n"/>
      <c r="F22" s="454" t="n"/>
      <c r="G22" s="466" t="n">
        <v>0</v>
      </c>
      <c r="H22" s="466" t="n">
        <v>0</v>
      </c>
      <c r="I22" s="466" t="n">
        <v>0</v>
      </c>
      <c r="J22" s="466" t="n">
        <v>0</v>
      </c>
      <c r="K22" s="467" t="n">
        <v>0</v>
      </c>
      <c r="L22" s="466">
        <f>SUM(G22:J22)-K22</f>
        <v/>
      </c>
      <c r="M22" s="36" t="n"/>
      <c r="N22" s="29" t="n"/>
      <c r="O22" s="29" t="n"/>
      <c r="P22" s="29" t="n"/>
      <c r="Q22" s="29" t="n"/>
      <c r="R22" s="268" t="n"/>
      <c r="S22" s="29" t="n"/>
      <c r="T22" s="29" t="n"/>
      <c r="U22" s="29" t="n"/>
      <c r="V22" s="36" t="n"/>
      <c r="W22" s="29" t="n"/>
      <c r="X22" s="29" t="n"/>
      <c r="Y22" s="73" t="n"/>
      <c r="Z22" s="499" t="n"/>
      <c r="AA22" s="43" t="n"/>
      <c r="AB22" s="36" t="n"/>
    </row>
    <row r="23" ht="15" customHeight="1" s="358">
      <c r="B23" s="11">
        <f>B22+1</f>
        <v/>
      </c>
      <c r="C23" s="287" t="n"/>
      <c r="D23" s="189" t="n"/>
      <c r="E23" s="454" t="n"/>
      <c r="F23" s="454" t="n"/>
      <c r="G23" s="466" t="n">
        <v>0</v>
      </c>
      <c r="H23" s="466" t="n">
        <v>0</v>
      </c>
      <c r="I23" s="466" t="n">
        <v>0</v>
      </c>
      <c r="J23" s="466" t="n">
        <v>0</v>
      </c>
      <c r="K23" s="467" t="n">
        <v>0</v>
      </c>
      <c r="L23" s="466">
        <f>SUM(G23:J23)-K23</f>
        <v/>
      </c>
      <c r="M23" s="36" t="n"/>
      <c r="N23" s="29" t="n"/>
      <c r="O23" s="29" t="n"/>
      <c r="P23" s="29" t="n"/>
      <c r="Q23" s="29" t="n"/>
      <c r="R23" s="268" t="n"/>
      <c r="S23" s="29" t="n"/>
      <c r="T23" s="29" t="n"/>
      <c r="U23" s="29" t="n"/>
      <c r="V23" s="36" t="n"/>
      <c r="W23" s="29" t="n"/>
      <c r="X23" s="29" t="n"/>
      <c r="Y23" s="73" t="n"/>
      <c r="Z23" s="499" t="n"/>
      <c r="AA23" s="43" t="n"/>
      <c r="AB23" s="36" t="n"/>
    </row>
    <row r="24" ht="15" customHeight="1" s="358">
      <c r="B24" s="11">
        <f>B23+1</f>
        <v/>
      </c>
      <c r="C24" s="287" t="n"/>
      <c r="D24" s="189" t="n"/>
      <c r="E24" s="454" t="n"/>
      <c r="F24" s="454" t="n"/>
      <c r="G24" s="466" t="n">
        <v>0</v>
      </c>
      <c r="H24" s="466" t="n">
        <v>0</v>
      </c>
      <c r="I24" s="466" t="n">
        <v>0</v>
      </c>
      <c r="J24" s="466" t="n">
        <v>0</v>
      </c>
      <c r="K24" s="467" t="n">
        <v>0</v>
      </c>
      <c r="L24" s="466">
        <f>SUM(G24:J24)-K24</f>
        <v/>
      </c>
      <c r="M24" s="36" t="n"/>
      <c r="N24" s="29" t="n"/>
      <c r="O24" s="29" t="n"/>
      <c r="P24" s="29" t="n"/>
      <c r="Q24" s="29" t="n"/>
      <c r="R24" s="268" t="n"/>
      <c r="S24" s="29" t="n"/>
      <c r="T24" s="29" t="n"/>
      <c r="U24" s="29" t="n"/>
      <c r="V24" s="36" t="n"/>
      <c r="W24" s="29" t="n"/>
      <c r="X24" s="29" t="n"/>
      <c r="Y24" s="73" t="n"/>
      <c r="Z24" s="499" t="n"/>
      <c r="AA24" s="43" t="n"/>
      <c r="AB24" s="36" t="n"/>
    </row>
    <row r="25" ht="15" customHeight="1" s="358">
      <c r="B25" s="11">
        <f>B24+1</f>
        <v/>
      </c>
      <c r="C25" s="287" t="n"/>
      <c r="D25" s="189" t="n"/>
      <c r="E25" s="454" t="n"/>
      <c r="F25" s="454" t="n"/>
      <c r="G25" s="466" t="n">
        <v>0</v>
      </c>
      <c r="H25" s="466" t="n">
        <v>0</v>
      </c>
      <c r="I25" s="466" t="n">
        <v>0</v>
      </c>
      <c r="J25" s="466" t="n">
        <v>0</v>
      </c>
      <c r="K25" s="467" t="n">
        <v>0</v>
      </c>
      <c r="L25" s="466">
        <f>SUM(G25:J25)-K25</f>
        <v/>
      </c>
      <c r="M25" s="36" t="n"/>
      <c r="N25" s="29" t="n"/>
      <c r="O25" s="29" t="n"/>
      <c r="P25" s="29" t="n"/>
      <c r="Q25" s="29" t="n"/>
      <c r="R25" s="268" t="n"/>
      <c r="S25" s="29" t="n"/>
      <c r="T25" s="29" t="n"/>
      <c r="U25" s="29" t="n"/>
      <c r="V25" s="36" t="n"/>
      <c r="W25" s="29" t="n"/>
      <c r="X25" s="29" t="n"/>
      <c r="Y25" s="73" t="n"/>
      <c r="Z25" s="499" t="n"/>
      <c r="AA25" s="43" t="n"/>
      <c r="AB25" s="36" t="n"/>
    </row>
    <row r="26" ht="15" customHeight="1" s="358">
      <c r="B26" s="11">
        <f>B25+1</f>
        <v/>
      </c>
      <c r="C26" s="287" t="n"/>
      <c r="D26" s="189" t="n"/>
      <c r="E26" s="454" t="n"/>
      <c r="F26" s="454" t="n"/>
      <c r="G26" s="466" t="n">
        <v>0</v>
      </c>
      <c r="H26" s="466" t="n">
        <v>0</v>
      </c>
      <c r="I26" s="466" t="n">
        <v>0</v>
      </c>
      <c r="J26" s="466" t="n">
        <v>0</v>
      </c>
      <c r="K26" s="467" t="n">
        <v>0</v>
      </c>
      <c r="L26" s="466">
        <f>SUM(G26:J26)-K26</f>
        <v/>
      </c>
      <c r="M26" s="36" t="n"/>
      <c r="N26" s="29" t="n"/>
      <c r="O26" s="29" t="n"/>
      <c r="P26" s="29" t="n"/>
      <c r="Q26" s="29" t="n"/>
      <c r="R26" s="268" t="n"/>
      <c r="S26" s="29" t="n"/>
      <c r="T26" s="29" t="n"/>
      <c r="U26" s="29" t="n"/>
      <c r="V26" s="36" t="n"/>
      <c r="W26" s="29" t="n"/>
      <c r="X26" s="29" t="n"/>
      <c r="Y26" s="73" t="n"/>
      <c r="Z26" s="499" t="n"/>
      <c r="AA26" s="43" t="n"/>
      <c r="AB26" s="36" t="n"/>
    </row>
    <row r="27" ht="15" customHeight="1" s="358">
      <c r="B27" s="11">
        <f>B26+1</f>
        <v/>
      </c>
      <c r="C27" s="287" t="n"/>
      <c r="D27" s="189" t="n"/>
      <c r="E27" s="454" t="n"/>
      <c r="F27" s="454" t="n"/>
      <c r="G27" s="466" t="n">
        <v>0</v>
      </c>
      <c r="H27" s="466" t="n">
        <v>0</v>
      </c>
      <c r="I27" s="466" t="n">
        <v>0</v>
      </c>
      <c r="J27" s="466" t="n">
        <v>0</v>
      </c>
      <c r="K27" s="467" t="n">
        <v>0</v>
      </c>
      <c r="L27" s="466">
        <f>SUM(G27:J27)-K27</f>
        <v/>
      </c>
      <c r="M27" s="36" t="n"/>
      <c r="N27" s="29" t="n"/>
      <c r="O27" s="29" t="n"/>
      <c r="P27" s="29" t="n"/>
      <c r="Q27" s="29" t="n"/>
      <c r="R27" s="268" t="n"/>
      <c r="S27" s="29" t="n"/>
      <c r="T27" s="29" t="n"/>
      <c r="U27" s="29" t="n"/>
      <c r="V27" s="36" t="n"/>
      <c r="W27" s="29" t="n"/>
      <c r="X27" s="29" t="n"/>
      <c r="Y27" s="73" t="n"/>
      <c r="Z27" s="499" t="n"/>
      <c r="AA27" s="43" t="n"/>
      <c r="AB27" s="36" t="n"/>
    </row>
    <row r="28" ht="15" customHeight="1" s="358">
      <c r="B28" s="11">
        <f>B27+1</f>
        <v/>
      </c>
      <c r="C28" s="287" t="n"/>
      <c r="D28" s="189" t="n"/>
      <c r="E28" s="454" t="n"/>
      <c r="F28" s="454" t="n"/>
      <c r="G28" s="466" t="n">
        <v>0</v>
      </c>
      <c r="H28" s="466" t="n">
        <v>0</v>
      </c>
      <c r="I28" s="466" t="n">
        <v>0</v>
      </c>
      <c r="J28" s="466" t="n">
        <v>0</v>
      </c>
      <c r="K28" s="467" t="n">
        <v>0</v>
      </c>
      <c r="L28" s="466">
        <f>SUM(G28:J28)-K28</f>
        <v/>
      </c>
      <c r="M28" s="36" t="n"/>
      <c r="N28" s="29" t="n"/>
      <c r="O28" s="29" t="n"/>
      <c r="P28" s="29" t="n"/>
      <c r="Q28" s="29" t="n"/>
      <c r="R28" s="268" t="n"/>
      <c r="S28" s="29" t="n"/>
      <c r="T28" s="29" t="n"/>
      <c r="U28" s="29" t="n"/>
      <c r="V28" s="36" t="n"/>
      <c r="W28" s="29" t="n"/>
      <c r="X28" s="29" t="n"/>
      <c r="Y28" s="73" t="n"/>
      <c r="Z28" s="499" t="n"/>
      <c r="AA28" s="43" t="n"/>
      <c r="AB28" s="36" t="n"/>
    </row>
    <row r="29" ht="15" customHeight="1" s="358">
      <c r="B29" s="11">
        <f>B28+1</f>
        <v/>
      </c>
      <c r="C29" s="287" t="n"/>
      <c r="D29" s="189" t="n"/>
      <c r="E29" s="454" t="n"/>
      <c r="F29" s="454" t="n"/>
      <c r="G29" s="466" t="n">
        <v>0</v>
      </c>
      <c r="H29" s="466" t="n">
        <v>0</v>
      </c>
      <c r="I29" s="466" t="n">
        <v>0</v>
      </c>
      <c r="J29" s="466" t="n">
        <v>0</v>
      </c>
      <c r="K29" s="467" t="n">
        <v>0</v>
      </c>
      <c r="L29" s="466">
        <f>SUM(G29:J29)-K29</f>
        <v/>
      </c>
      <c r="M29" s="36" t="n"/>
      <c r="N29" s="29" t="n"/>
      <c r="O29" s="29" t="n"/>
      <c r="P29" s="29" t="n"/>
      <c r="Q29" s="29" t="n"/>
      <c r="R29" s="268" t="n"/>
      <c r="S29" s="29" t="n"/>
      <c r="T29" s="29" t="n"/>
      <c r="U29" s="29" t="n"/>
      <c r="V29" s="36" t="n"/>
      <c r="W29" s="29" t="n"/>
      <c r="X29" s="29" t="n"/>
      <c r="Y29" s="73" t="n"/>
      <c r="Z29" s="499" t="n"/>
      <c r="AA29" s="43" t="n"/>
      <c r="AB29" s="36" t="n"/>
    </row>
    <row r="30" ht="15" customHeight="1" s="358">
      <c r="B30" s="11">
        <f>B29+1</f>
        <v/>
      </c>
      <c r="C30" s="287" t="n"/>
      <c r="D30" s="189" t="n"/>
      <c r="E30" s="454" t="n"/>
      <c r="F30" s="454" t="n"/>
      <c r="G30" s="466" t="n">
        <v>0</v>
      </c>
      <c r="H30" s="466" t="n">
        <v>0</v>
      </c>
      <c r="I30" s="466" t="n">
        <v>0</v>
      </c>
      <c r="J30" s="466" t="n">
        <v>0</v>
      </c>
      <c r="K30" s="467" t="n">
        <v>0</v>
      </c>
      <c r="L30" s="466">
        <f>SUM(G30:J30)-K30</f>
        <v/>
      </c>
      <c r="M30" s="36" t="n"/>
      <c r="N30" s="29" t="n"/>
      <c r="O30" s="29" t="n"/>
      <c r="P30" s="29" t="n"/>
      <c r="Q30" s="29" t="n"/>
      <c r="R30" s="268" t="n"/>
      <c r="S30" s="29" t="n"/>
      <c r="T30" s="29" t="n"/>
      <c r="U30" s="29" t="n"/>
      <c r="V30" s="36" t="n"/>
      <c r="W30" s="29" t="n"/>
      <c r="X30" s="29" t="n"/>
      <c r="Y30" s="73" t="n"/>
      <c r="Z30" s="499" t="n"/>
      <c r="AA30" s="43" t="n"/>
      <c r="AB30" s="36" t="n"/>
    </row>
    <row r="31" ht="15" customHeight="1" s="358">
      <c r="B31" s="11">
        <f>B30+1</f>
        <v/>
      </c>
      <c r="C31" s="287" t="n"/>
      <c r="D31" s="189" t="n"/>
      <c r="E31" s="454" t="n"/>
      <c r="F31" s="454" t="n"/>
      <c r="G31" s="466" t="n">
        <v>0</v>
      </c>
      <c r="H31" s="466" t="n">
        <v>0</v>
      </c>
      <c r="I31" s="466" t="n">
        <v>0</v>
      </c>
      <c r="J31" s="466" t="n">
        <v>0</v>
      </c>
      <c r="K31" s="467" t="n">
        <v>0</v>
      </c>
      <c r="L31" s="466">
        <f>SUM(G31:J31)-K31</f>
        <v/>
      </c>
      <c r="M31" s="36" t="n"/>
      <c r="N31" s="29" t="n"/>
      <c r="O31" s="29" t="n"/>
      <c r="P31" s="29" t="n"/>
      <c r="Q31" s="29" t="n"/>
      <c r="R31" s="268" t="n"/>
      <c r="S31" s="29" t="n"/>
      <c r="T31" s="29" t="n"/>
      <c r="U31" s="29" t="n"/>
      <c r="V31" s="36" t="n"/>
      <c r="W31" s="29" t="n"/>
      <c r="X31" s="29" t="n"/>
      <c r="Y31" s="73" t="n"/>
      <c r="Z31" s="499" t="n"/>
      <c r="AA31" s="43" t="n"/>
      <c r="AB31" s="36" t="n"/>
    </row>
    <row r="32" ht="15" customHeight="1" s="358">
      <c r="B32" s="11">
        <f>B31+1</f>
        <v/>
      </c>
      <c r="C32" s="287" t="n"/>
      <c r="D32" s="189" t="n"/>
      <c r="E32" s="454" t="n"/>
      <c r="F32" s="454" t="n"/>
      <c r="G32" s="466" t="n">
        <v>0</v>
      </c>
      <c r="H32" s="466" t="n">
        <v>0</v>
      </c>
      <c r="I32" s="466" t="n">
        <v>0</v>
      </c>
      <c r="J32" s="466" t="n">
        <v>0</v>
      </c>
      <c r="K32" s="467" t="n">
        <v>0</v>
      </c>
      <c r="L32" s="466">
        <f>SUM(G32:J32)-K32</f>
        <v/>
      </c>
      <c r="M32" s="36" t="n"/>
      <c r="N32" s="29" t="n"/>
      <c r="O32" s="29" t="n"/>
      <c r="P32" s="29" t="n"/>
      <c r="Q32" s="29" t="n"/>
      <c r="R32" s="268" t="n"/>
      <c r="S32" s="29" t="n"/>
      <c r="T32" s="29" t="n"/>
      <c r="U32" s="29" t="n"/>
      <c r="V32" s="36" t="n"/>
      <c r="W32" s="29" t="n"/>
      <c r="X32" s="29" t="n"/>
      <c r="Y32" s="73" t="n"/>
      <c r="Z32" s="499" t="n"/>
      <c r="AA32" s="43" t="n"/>
      <c r="AB32" s="36" t="n"/>
    </row>
    <row r="33" ht="15" customHeight="1" s="358">
      <c r="B33" s="11">
        <f>B32+1</f>
        <v/>
      </c>
      <c r="C33" s="287" t="n"/>
      <c r="D33" s="189" t="n"/>
      <c r="E33" s="454" t="n"/>
      <c r="F33" s="454" t="n"/>
      <c r="G33" s="466" t="n">
        <v>0</v>
      </c>
      <c r="H33" s="466" t="n">
        <v>0</v>
      </c>
      <c r="I33" s="466" t="n">
        <v>0</v>
      </c>
      <c r="J33" s="466" t="n">
        <v>0</v>
      </c>
      <c r="K33" s="467" t="n">
        <v>0</v>
      </c>
      <c r="L33" s="466">
        <f>SUM(G33:J33)-K33</f>
        <v/>
      </c>
      <c r="M33" s="36" t="n"/>
      <c r="N33" s="29" t="n"/>
      <c r="O33" s="29" t="n"/>
      <c r="P33" s="29" t="n"/>
      <c r="Q33" s="29" t="n"/>
      <c r="R33" s="268" t="n"/>
      <c r="S33" s="29" t="n"/>
      <c r="T33" s="29" t="n"/>
      <c r="U33" s="29" t="n"/>
      <c r="V33" s="36" t="n"/>
      <c r="W33" s="29" t="n"/>
      <c r="X33" s="29" t="n"/>
      <c r="Y33" s="73" t="n"/>
      <c r="Z33" s="499" t="n"/>
      <c r="AA33" s="43" t="n"/>
      <c r="AB33" s="36" t="n"/>
    </row>
    <row r="34" ht="15" customHeight="1" s="358">
      <c r="B34" s="11">
        <f>B33+1</f>
        <v/>
      </c>
      <c r="C34" s="287" t="n"/>
      <c r="D34" s="540" t="n"/>
      <c r="E34" s="454" t="n"/>
      <c r="F34" s="454" t="n"/>
      <c r="G34" s="466" t="n">
        <v>0</v>
      </c>
      <c r="H34" s="466" t="n">
        <v>0</v>
      </c>
      <c r="I34" s="466" t="n">
        <v>0</v>
      </c>
      <c r="J34" s="466" t="n">
        <v>0</v>
      </c>
      <c r="K34" s="467" t="n">
        <v>0</v>
      </c>
      <c r="L34" s="466">
        <f>SUM(G34:J34)-K34</f>
        <v/>
      </c>
      <c r="M34" s="36" t="n"/>
      <c r="N34" s="29" t="n"/>
      <c r="O34" s="29" t="n"/>
      <c r="P34" s="29" t="n"/>
      <c r="Q34" s="29" t="n"/>
      <c r="R34" s="268" t="n"/>
      <c r="S34" s="29" t="n"/>
      <c r="T34" s="29" t="n"/>
      <c r="U34" s="29" t="n"/>
      <c r="V34" s="36" t="n"/>
      <c r="W34" s="29" t="n"/>
      <c r="X34" s="29" t="n"/>
      <c r="Y34" s="29" t="n"/>
      <c r="Z34" s="499" t="n"/>
      <c r="AA34" s="43" t="n"/>
      <c r="AB34" s="36" t="n"/>
    </row>
    <row r="35" ht="15" customHeight="1" s="358">
      <c r="B35" s="11">
        <f>B34+1</f>
        <v/>
      </c>
      <c r="C35" s="287" t="n"/>
      <c r="D35" s="189" t="n"/>
      <c r="E35" s="454" t="n"/>
      <c r="F35" s="454" t="n"/>
      <c r="G35" s="466" t="n">
        <v>0</v>
      </c>
      <c r="H35" s="466" t="n">
        <v>0</v>
      </c>
      <c r="I35" s="466" t="n">
        <v>0</v>
      </c>
      <c r="J35" s="466" t="n">
        <v>0</v>
      </c>
      <c r="K35" s="467" t="n">
        <v>0</v>
      </c>
      <c r="L35" s="466">
        <f>SUM(G35:J35)-K35</f>
        <v/>
      </c>
      <c r="M35" s="36" t="n"/>
      <c r="N35" s="29" t="n"/>
      <c r="O35" s="29" t="n"/>
      <c r="P35" s="29" t="n"/>
      <c r="Q35" s="29" t="n"/>
      <c r="R35" s="268" t="n"/>
      <c r="S35" s="29" t="n"/>
      <c r="T35" s="29" t="n"/>
      <c r="U35" s="29" t="n"/>
      <c r="V35" s="36" t="n"/>
      <c r="W35" s="29" t="n"/>
      <c r="X35" s="29" t="n"/>
      <c r="Y35" s="73" t="n"/>
      <c r="Z35" s="499" t="n"/>
      <c r="AA35" s="43" t="n"/>
      <c r="AB35" s="36" t="n"/>
    </row>
    <row r="36" ht="15" customHeight="1" s="358">
      <c r="B36" s="11">
        <f>B35+1</f>
        <v/>
      </c>
      <c r="C36" s="287" t="n"/>
      <c r="D36" s="540" t="n"/>
      <c r="E36" s="454" t="n"/>
      <c r="F36" s="454" t="n"/>
      <c r="G36" s="466" t="n">
        <v>0</v>
      </c>
      <c r="H36" s="466" t="n">
        <v>0</v>
      </c>
      <c r="I36" s="466" t="n">
        <v>0</v>
      </c>
      <c r="J36" s="466" t="n">
        <v>0</v>
      </c>
      <c r="K36" s="467" t="n">
        <v>0</v>
      </c>
      <c r="L36" s="466">
        <f>SUM(G36:J36)-K36</f>
        <v/>
      </c>
      <c r="M36" s="36" t="n"/>
      <c r="N36" s="29" t="n"/>
      <c r="O36" s="29" t="n"/>
      <c r="P36" s="29" t="n"/>
      <c r="Q36" s="29" t="n"/>
      <c r="R36" s="268" t="n"/>
      <c r="S36" s="29" t="n"/>
      <c r="T36" s="29" t="n"/>
      <c r="U36" s="29" t="n"/>
      <c r="V36" s="36" t="n"/>
      <c r="W36" s="29" t="n"/>
      <c r="X36" s="29" t="n"/>
      <c r="Y36" s="29" t="n"/>
      <c r="Z36" s="499" t="n"/>
      <c r="AA36" s="43" t="n"/>
      <c r="AB36" s="36" t="n"/>
    </row>
    <row r="37" ht="15" customHeight="1" s="358">
      <c r="B37" s="11">
        <f>B36+1</f>
        <v/>
      </c>
      <c r="C37" s="287" t="n"/>
      <c r="D37" s="540" t="n"/>
      <c r="E37" s="454" t="n"/>
      <c r="F37" s="454" t="n"/>
      <c r="G37" s="466" t="n">
        <v>0</v>
      </c>
      <c r="H37" s="466" t="n">
        <v>0</v>
      </c>
      <c r="I37" s="466" t="n">
        <v>0</v>
      </c>
      <c r="J37" s="466" t="n">
        <v>0</v>
      </c>
      <c r="K37" s="467" t="n">
        <v>0</v>
      </c>
      <c r="L37" s="466">
        <f>SUM(G37:J37)-K37</f>
        <v/>
      </c>
      <c r="M37" s="36" t="n"/>
      <c r="N37" s="29" t="n"/>
      <c r="O37" s="29" t="n"/>
      <c r="P37" s="29" t="n"/>
      <c r="Q37" s="29" t="n"/>
      <c r="R37" s="268" t="n"/>
      <c r="S37" s="29" t="n"/>
      <c r="T37" s="29" t="n"/>
      <c r="U37" s="29" t="n"/>
      <c r="V37" s="36" t="n"/>
      <c r="W37" s="29" t="n"/>
      <c r="X37" s="29" t="n"/>
      <c r="Y37" s="29" t="n"/>
      <c r="Z37" s="499" t="n"/>
      <c r="AA37" s="43" t="n"/>
      <c r="AB37" s="36" t="n"/>
    </row>
    <row r="38">
      <c r="B38" s="11" t="n"/>
      <c r="C38" s="108" t="n"/>
      <c r="D38" s="43" t="n"/>
      <c r="E38" s="454" t="n"/>
      <c r="F38" s="454" t="n"/>
      <c r="G38" s="466" t="n">
        <v>0</v>
      </c>
      <c r="H38" s="466" t="n">
        <v>0</v>
      </c>
      <c r="I38" s="466" t="n">
        <v>0</v>
      </c>
      <c r="J38" s="466" t="n">
        <v>0</v>
      </c>
      <c r="K38" s="467" t="n">
        <v>0</v>
      </c>
      <c r="L38" s="466">
        <f>SUM(G38:J38)-K38</f>
        <v/>
      </c>
      <c r="M38" s="36" t="n"/>
      <c r="N38" s="29" t="n"/>
      <c r="O38" s="29" t="n"/>
      <c r="P38" s="1" t="n"/>
      <c r="Q38" s="1" t="n"/>
      <c r="R38" s="268" t="n"/>
      <c r="S38" s="29" t="n"/>
      <c r="T38" s="29" t="n"/>
      <c r="U38" s="29" t="n"/>
      <c r="V38" s="36" t="n"/>
      <c r="W38" s="29" t="n"/>
      <c r="X38" s="29" t="n"/>
      <c r="Y38" s="29" t="n"/>
      <c r="Z38" s="499" t="n"/>
      <c r="AA38" s="43" t="n"/>
      <c r="AB38" s="36" t="n"/>
    </row>
    <row r="39">
      <c r="C39" s="104" t="n"/>
      <c r="D39" s="61" t="n"/>
      <c r="E39" s="80" t="n"/>
      <c r="F39" s="80" t="n"/>
      <c r="G39" s="501">
        <f>SUBTOTAL(9,G8:G38)</f>
        <v/>
      </c>
      <c r="H39" s="501">
        <f>SUBTOTAL(9,H8:H38)</f>
        <v/>
      </c>
      <c r="I39" s="501">
        <f>SUBTOTAL(9,I8:I38)</f>
        <v/>
      </c>
      <c r="J39" s="501">
        <f>SUBTOTAL(9,J8:J38)</f>
        <v/>
      </c>
      <c r="K39" s="501">
        <f>SUBTOTAL(9,K8:K38)</f>
        <v/>
      </c>
      <c r="L39" s="501">
        <f>SUBTOTAL(9,L8:L38)</f>
        <v/>
      </c>
      <c r="M39" s="70" t="n"/>
      <c r="N39" s="147" t="n"/>
      <c r="O39" s="147" t="n"/>
      <c r="P39" s="502" t="n"/>
      <c r="Q39" s="30">
        <f>SUBTOTAL(2,Q8:Q38)</f>
        <v/>
      </c>
      <c r="R39" s="503" t="n"/>
      <c r="S39" s="504" t="n"/>
      <c r="T39" s="504" t="n"/>
      <c r="U39" s="504" t="n"/>
      <c r="V39" s="504" t="n"/>
      <c r="W39" s="504" t="n"/>
      <c r="X39" s="504" t="n"/>
      <c r="Y39" s="504" t="n"/>
      <c r="Z39" s="505" t="n"/>
      <c r="AA39" s="506" t="n"/>
      <c r="AB39" s="37" t="n"/>
    </row>
    <row r="40">
      <c r="G40" s="482" t="n"/>
      <c r="H40" s="482" t="n"/>
      <c r="I40" s="482" t="n"/>
      <c r="J40" s="482" t="n"/>
      <c r="K40" s="482" t="n"/>
      <c r="L40" s="482" t="n"/>
    </row>
    <row r="41">
      <c r="G41" s="482" t="n"/>
      <c r="H41" s="482" t="n"/>
      <c r="I41" s="482" t="n"/>
      <c r="J41" s="482" t="n"/>
      <c r="K41" s="482" t="n"/>
      <c r="L41" s="482" t="n"/>
    </row>
    <row r="42" ht="15.75" customHeight="1" s="358" thickBot="1">
      <c r="C42" s="507" t="n"/>
      <c r="D42" s="508" t="n"/>
      <c r="E42" s="28" t="n"/>
      <c r="F42" s="28" t="n"/>
      <c r="G42" s="510">
        <f>SUM(G8:G38)</f>
        <v/>
      </c>
      <c r="H42" s="510">
        <f>SUM(H8:H38)</f>
        <v/>
      </c>
      <c r="I42" s="510">
        <f>SUM(I8:I38)</f>
        <v/>
      </c>
      <c r="J42" s="510">
        <f>SUM(J8:J38)</f>
        <v/>
      </c>
      <c r="K42" s="510">
        <f>SUM(K8:K38)</f>
        <v/>
      </c>
      <c r="L42" s="510">
        <f>SUM(L8:L38)</f>
        <v/>
      </c>
      <c r="M42" s="75" t="n"/>
      <c r="N42" s="148" t="n"/>
      <c r="O42" s="148" t="n"/>
      <c r="P42" s="477" t="n"/>
      <c r="R42" s="477" t="n"/>
      <c r="S42" s="477" t="n"/>
      <c r="T42" s="477" t="n"/>
      <c r="U42" s="477" t="n"/>
      <c r="V42" s="477" t="n"/>
      <c r="W42" s="477" t="n"/>
      <c r="X42" s="477" t="n"/>
      <c r="Y42" s="477" t="n"/>
      <c r="Z42" s="511" t="n"/>
      <c r="AA42" s="476" t="n"/>
    </row>
    <row r="43" ht="15.75" customHeight="1" s="358" thickTop="1">
      <c r="R43" s="477" t="n"/>
    </row>
    <row r="45">
      <c r="F45" s="479" t="n"/>
      <c r="L45" s="68" t="n"/>
      <c r="O45" s="422" t="n"/>
      <c r="Y45" s="32" t="n"/>
      <c r="AA45" s="32" t="n"/>
    </row>
    <row r="46">
      <c r="D46" s="29" t="inlineStr">
        <is>
          <t>ELIGIBLE TOTAL</t>
        </is>
      </c>
      <c r="E46" s="459" t="n"/>
      <c r="F46" s="460" t="n"/>
      <c r="G46" s="422" t="n"/>
      <c r="I46" s="29" t="inlineStr">
        <is>
          <t>INELIGIBLE TOTAL</t>
        </is>
      </c>
      <c r="J46" s="459" t="n"/>
      <c r="K46" s="460" t="n"/>
      <c r="L46" s="422" t="n"/>
      <c r="M46" s="422" t="n"/>
      <c r="N46" s="422" t="n"/>
      <c r="O46" s="422" t="n"/>
      <c r="Y46" s="32" t="n"/>
      <c r="AA46" s="32" t="n"/>
    </row>
    <row r="47">
      <c r="D47" s="43" t="inlineStr">
        <is>
          <t>NO-OOS</t>
        </is>
      </c>
      <c r="E47" s="92" t="inlineStr">
        <is>
          <t>NO-TX</t>
        </is>
      </c>
      <c r="F47" s="93" t="inlineStr">
        <is>
          <t>YES</t>
        </is>
      </c>
      <c r="G47" s="487" t="n"/>
      <c r="I47" s="43" t="inlineStr">
        <is>
          <t>NO-OOS</t>
        </is>
      </c>
      <c r="J47" s="92" t="inlineStr">
        <is>
          <t>NO-TX</t>
        </is>
      </c>
      <c r="K47" s="93" t="inlineStr">
        <is>
          <t>YES</t>
        </is>
      </c>
      <c r="L47" s="422" t="n"/>
      <c r="M47" s="422" t="n"/>
      <c r="N47" s="422" t="n"/>
      <c r="O47" s="422" t="n"/>
      <c r="Y47" s="32" t="n"/>
      <c r="AA47" s="32" t="n"/>
    </row>
    <row r="48">
      <c r="D48" s="492">
        <f>SUMIF($AA$8:$AA$37,D47,$L$8:$L$38)</f>
        <v/>
      </c>
      <c r="E48" s="492">
        <f>SUMIF($AA$8:$AA$37,E47,$L$8:$L$38)</f>
        <v/>
      </c>
      <c r="F48" s="492">
        <f>SUMIF($AA$8:$AA$37,F47,$L$8:$L$37)</f>
        <v/>
      </c>
      <c r="G48" s="474">
        <f>SUM(D48:F48)</f>
        <v/>
      </c>
      <c r="I48" s="492">
        <f>SUMIF($AA$8:$AA$37,I47,$K$8:$K$37)</f>
        <v/>
      </c>
      <c r="J48" s="492">
        <f>SUMIF($AA$8:$AA$37,J47,$K$8:$K$37)</f>
        <v/>
      </c>
      <c r="K48" s="492">
        <f>SUMIF($AA$8:$AA$37,K47,$K$8:$K$37)</f>
        <v/>
      </c>
      <c r="L48" s="474">
        <f>SUM(I48:K48)</f>
        <v/>
      </c>
      <c r="M48" s="422" t="n"/>
      <c r="N48" s="422" t="n"/>
      <c r="O48" s="422" t="n"/>
      <c r="Y48" s="32" t="n"/>
      <c r="AA48" s="32" t="n"/>
    </row>
    <row r="49">
      <c r="G49" s="97">
        <f>L42-G48</f>
        <v/>
      </c>
      <c r="I49" s="32" t="n"/>
      <c r="J49" s="32" t="n"/>
      <c r="K49" s="512" t="n"/>
      <c r="L49" s="97">
        <f>K42-L48</f>
        <v/>
      </c>
      <c r="M49" s="422" t="n"/>
      <c r="N49" s="422" t="n"/>
      <c r="O49" s="422" t="n"/>
      <c r="Y49" s="32" t="n"/>
      <c r="AA49" s="32" t="n"/>
    </row>
    <row r="50">
      <c r="D50" s="479" t="n"/>
      <c r="E50" s="479" t="n"/>
      <c r="F50" s="479" t="n"/>
      <c r="H50" s="68" t="n"/>
      <c r="L50" s="422" t="n"/>
      <c r="M50" s="422" t="n"/>
      <c r="N50" s="422" t="n"/>
      <c r="O50" s="422" t="n"/>
    </row>
    <row r="51">
      <c r="H51" s="480" t="inlineStr">
        <is>
          <t>Total Eligible</t>
        </is>
      </c>
      <c r="I51" s="479">
        <f>F48</f>
        <v/>
      </c>
      <c r="L51" s="480" t="n"/>
      <c r="N51" s="422" t="n"/>
      <c r="O51" s="422" t="n"/>
    </row>
    <row r="52" ht="15.75" customHeight="1" s="358" thickBot="1">
      <c r="H52" s="513" t="inlineStr">
        <is>
          <t>Total Ineligible</t>
        </is>
      </c>
      <c r="I52" s="494">
        <f>D48+E48+I48+J48+K48</f>
        <v/>
      </c>
      <c r="L52" s="480" t="n"/>
      <c r="N52" s="422" t="n"/>
      <c r="O52" s="422" t="n"/>
    </row>
    <row r="53" ht="15.75" customHeight="1" s="358" thickTop="1">
      <c r="H53" s="480" t="inlineStr">
        <is>
          <t>Total Expenses</t>
        </is>
      </c>
      <c r="I53" s="479">
        <f>SUM(I51:I52)</f>
        <v/>
      </c>
      <c r="L53" s="480" t="n"/>
      <c r="N53" s="422" t="n"/>
      <c r="O53" s="422" t="n"/>
    </row>
    <row r="54">
      <c r="I54" s="97">
        <f>G42-I53</f>
        <v/>
      </c>
      <c r="L54" s="480" t="n"/>
      <c r="M54" s="422" t="n"/>
      <c r="N54" s="422" t="n"/>
      <c r="O54" s="422" t="n"/>
    </row>
    <row r="55">
      <c r="J55" s="68" t="n"/>
      <c r="K55" s="68" t="n"/>
      <c r="L55" s="119" t="n"/>
      <c r="M55" s="422" t="n"/>
      <c r="N55" s="422" t="n"/>
      <c r="O55" s="422" t="n"/>
    </row>
    <row r="56">
      <c r="J56" s="68" t="n"/>
      <c r="K56" s="68" t="n"/>
      <c r="L56" s="119" t="n"/>
      <c r="M56" s="422" t="n"/>
      <c r="N56" s="422" t="n"/>
      <c r="O56" s="422" t="n"/>
    </row>
  </sheetData>
  <autoFilter ref="B7:AB38"/>
  <mergeCells count="2">
    <mergeCell ref="I46:K46"/>
    <mergeCell ref="D46:F46"/>
  </mergeCells>
  <conditionalFormatting sqref="D47">
    <cfRule type="cellIs" priority="50" operator="equal" dxfId="2">
      <formula>"NO-OOS"</formula>
    </cfRule>
    <cfRule type="cellIs" priority="51" operator="equal" dxfId="1">
      <formula>"NO-CO"</formula>
    </cfRule>
    <cfRule type="cellIs" priority="52" operator="equal" dxfId="0">
      <formula>"YES"</formula>
    </cfRule>
  </conditionalFormatting>
  <conditionalFormatting sqref="I47">
    <cfRule type="cellIs" priority="45" operator="equal" dxfId="2">
      <formula>"NO-OOS"</formula>
    </cfRule>
    <cfRule type="cellIs" priority="46" operator="equal" dxfId="1">
      <formula>"NO-CO"</formula>
    </cfRule>
    <cfRule type="cellIs" priority="47" operator="equal" dxfId="0">
      <formula>"YES"</formula>
    </cfRule>
    <cfRule type="cellIs" priority="48" operator="equal" dxfId="1">
      <formula>"NO"</formula>
    </cfRule>
  </conditionalFormatting>
  <conditionalFormatting sqref="O8:O38">
    <cfRule type="cellIs" priority="1" operator="equal" dxfId="2">
      <formula>"N/A"</formula>
    </cfRule>
    <cfRule type="cellIs" priority="40" operator="equal" dxfId="1">
      <formula>"NO"</formula>
    </cfRule>
    <cfRule type="cellIs" priority="41" operator="equal" dxfId="0">
      <formula>"YES"</formula>
    </cfRule>
  </conditionalFormatting>
  <conditionalFormatting sqref="R8:R38">
    <cfRule type="cellIs" priority="18" operator="equal" dxfId="1">
      <formula>"NO"</formula>
    </cfRule>
    <cfRule type="cellIs" priority="42" operator="equal" dxfId="2">
      <formula>"N/A - (OOS)"</formula>
    </cfRule>
    <cfRule type="cellIs" priority="43" operator="equal" dxfId="0">
      <formula>"YES"</formula>
    </cfRule>
  </conditionalFormatting>
  <conditionalFormatting sqref="AA8:AA38">
    <cfRule type="cellIs" priority="19" operator="equal" dxfId="2">
      <formula>"NO-OOS"</formula>
    </cfRule>
    <cfRule type="cellIs" priority="20" operator="equal" dxfId="1">
      <formula>"NO-TX"</formula>
    </cfRule>
    <cfRule type="cellIs" priority="21" operator="equal" dxfId="0">
      <formula>"YES"</formula>
    </cfRule>
  </conditionalFormatting>
  <hyperlinks>
    <hyperlink ref="G42" location="'Comm Summary'!A1" display="'Comm Summary'!A1"/>
    <hyperlink ref="H42" location="'Comm Summary'!A1" display="'Comm Summary'!A1"/>
    <hyperlink ref="I42" location="'Comm Summary'!A1" display="'Comm Summary'!A1"/>
    <hyperlink ref="J42" location="'Comm Summary'!A1" display="'Comm Summary'!A1"/>
    <hyperlink ref="K42" location="'Comm Summary'!A1" display="'Comm Summary'!A1"/>
    <hyperlink ref="L42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9.xml><?xml version="1.0" encoding="utf-8"?>
<worksheet xmlns="http://schemas.openxmlformats.org/spreadsheetml/2006/main">
  <sheetPr>
    <tabColor rgb="FFA7FFC4"/>
    <outlinePr summaryBelow="1" summaryRight="1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baseColWidth="8" defaultRowHeight="15"/>
  <cols>
    <col width="2.5703125" customWidth="1" style="358" min="1" max="1"/>
    <col width="7.28515625" customWidth="1" style="9" min="2" max="2"/>
    <col width="12.5703125" customWidth="1" style="109" min="3" max="3"/>
    <col width="16.28515625" customWidth="1" style="422" min="4" max="4"/>
    <col width="13.7109375" customWidth="1" style="27" min="5" max="5"/>
    <col width="17.28515625" customWidth="1" style="479" min="6" max="6"/>
    <col width="18.140625" customWidth="1" style="479" min="7" max="7"/>
    <col width="20.7109375" bestFit="1" customWidth="1" style="479" min="8" max="8"/>
    <col width="28.5703125" customWidth="1" style="68" min="9" max="9"/>
    <col width="17.28515625" customWidth="1" style="422" min="10" max="10"/>
    <col width="12.7109375" customWidth="1" style="422" min="11" max="11"/>
    <col width="18.28515625" customWidth="1" style="32" min="12" max="12"/>
    <col width="19.5703125" customWidth="1" style="422" min="13" max="13"/>
    <col width="19.140625" customWidth="1" style="422" min="14" max="14"/>
    <col width="13.85546875" customWidth="1" style="32" min="15" max="15"/>
    <col width="42" customWidth="1" style="32" min="16" max="16"/>
    <col width="28.28515625" customWidth="1" style="422" min="17" max="17"/>
    <col width="18.140625" customWidth="1" style="422" min="18" max="18"/>
    <col width="9.28515625" customWidth="1" style="422" min="19" max="19"/>
    <col width="8.28515625" customWidth="1" style="422" min="20" max="20"/>
    <col width="19.28515625" customWidth="1" style="32" min="21" max="21"/>
    <col width="15.5703125" customWidth="1" style="358" min="22" max="22"/>
    <col width="125.28515625" bestFit="1" customWidth="1" style="32" min="23" max="23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31" t="n"/>
      <c r="R2" s="31" t="n"/>
      <c r="S2" s="31" t="n"/>
      <c r="T2" s="431" t="n"/>
      <c r="U2" s="431" t="n"/>
      <c r="V2" s="31" t="n"/>
      <c r="W2" s="31" t="n"/>
      <c r="X2" s="431" t="n"/>
    </row>
    <row r="3">
      <c r="C3" s="9" t="n"/>
      <c r="D3" s="15" t="n"/>
      <c r="E3" s="23" t="n"/>
      <c r="O3" s="422" t="n"/>
      <c r="Q3" s="32" t="n"/>
      <c r="R3" s="32" t="n"/>
      <c r="S3" s="32" t="n"/>
      <c r="U3" s="422" t="n"/>
      <c r="V3" s="32" t="n"/>
    </row>
    <row r="4" ht="18.75" customHeight="1" s="358">
      <c r="C4" s="9" t="n"/>
      <c r="D4" s="15" t="n"/>
      <c r="E4" s="4" t="n"/>
      <c r="L4" s="4" t="n"/>
      <c r="M4" s="5" t="n"/>
      <c r="N4" s="5" t="n"/>
      <c r="O4" s="422" t="n"/>
      <c r="Q4" s="4" t="n"/>
      <c r="R4" s="4" t="n"/>
      <c r="S4" s="4" t="n"/>
      <c r="T4" s="420" t="n"/>
      <c r="U4" s="420" t="n"/>
      <c r="V4" s="4" t="n"/>
      <c r="W4" s="4" t="n"/>
      <c r="X4" s="4" t="n"/>
    </row>
    <row r="5" ht="18.75" customHeight="1" s="358">
      <c r="C5" s="9" t="n"/>
      <c r="D5" s="15" t="n"/>
      <c r="E5" s="4" t="n"/>
      <c r="L5" s="4" t="n"/>
      <c r="M5" s="5" t="n"/>
      <c r="N5" s="5" t="n"/>
      <c r="O5" s="422" t="n"/>
      <c r="P5" s="4" t="n"/>
      <c r="Q5" s="4" t="n"/>
      <c r="R5" s="4" t="n"/>
      <c r="S5" s="4" t="n"/>
      <c r="T5" s="420" t="n"/>
      <c r="U5" s="420" t="n"/>
      <c r="V5" s="4" t="n"/>
      <c r="W5" s="4" t="n"/>
      <c r="X5" s="4" t="n"/>
    </row>
    <row r="6" ht="18.75" customHeight="1" s="358">
      <c r="C6" s="9" t="n"/>
      <c r="D6" s="15" t="n"/>
      <c r="E6" s="4" t="n"/>
      <c r="L6" s="4" t="n"/>
      <c r="M6" s="5" t="n"/>
      <c r="N6" s="5" t="n"/>
      <c r="O6" s="422" t="n"/>
      <c r="P6" s="4" t="n"/>
      <c r="Q6" s="4" t="n"/>
      <c r="R6" s="4" t="n"/>
      <c r="S6" s="4" t="n"/>
      <c r="T6" s="420" t="n"/>
      <c r="U6" s="420" t="n"/>
      <c r="V6" s="4" t="n"/>
      <c r="W6" s="4" t="n"/>
      <c r="X6" s="4" t="n"/>
    </row>
    <row r="7">
      <c r="C7" s="103" t="n"/>
      <c r="E7" s="103" t="n"/>
      <c r="F7" s="103" t="n"/>
      <c r="G7" s="103" t="n"/>
      <c r="J7" s="103" t="n"/>
      <c r="K7" s="103" t="n"/>
      <c r="M7" s="103" t="n"/>
      <c r="N7" s="103" t="n"/>
      <c r="O7" s="103" t="n"/>
      <c r="Q7" s="103" t="n"/>
      <c r="R7" s="103" t="n"/>
      <c r="S7" s="103" t="n"/>
      <c r="T7" s="103" t="n"/>
      <c r="U7" s="103" t="n"/>
      <c r="V7" s="103" t="n"/>
    </row>
    <row r="8" ht="18.75" customFormat="1" customHeight="1" s="7">
      <c r="B8" s="292" t="inlineStr">
        <is>
          <t>ITEM #</t>
        </is>
      </c>
      <c r="C8" s="293" t="inlineStr">
        <is>
          <t>PO #</t>
        </is>
      </c>
      <c r="D8" s="295" t="inlineStr">
        <is>
          <t>Invoice #</t>
        </is>
      </c>
      <c r="E8" s="293" t="inlineStr">
        <is>
          <t xml:space="preserve"> Invoice Date</t>
        </is>
      </c>
      <c r="F8" s="541" t="inlineStr">
        <is>
          <t>Invoice $</t>
        </is>
      </c>
      <c r="G8" s="542" t="inlineStr">
        <is>
          <t>Total Ineligible</t>
        </is>
      </c>
      <c r="H8" s="541" t="inlineStr">
        <is>
          <t>Submitted Amount$</t>
        </is>
      </c>
      <c r="I8" s="314" t="inlineStr">
        <is>
          <t>Vendor Name</t>
        </is>
      </c>
      <c r="J8" s="295" t="inlineStr">
        <is>
          <t>Pymt Method</t>
        </is>
      </c>
      <c r="K8" s="295" t="inlineStr">
        <is>
          <t>Pymt #</t>
        </is>
      </c>
      <c r="L8" s="295" t="inlineStr">
        <is>
          <t>Pay Date</t>
        </is>
      </c>
      <c r="M8" s="295" t="inlineStr">
        <is>
          <t>Proof of Payment?</t>
        </is>
      </c>
      <c r="N8" s="295" t="inlineStr">
        <is>
          <t>Payment Entity</t>
        </is>
      </c>
      <c r="O8" s="295" t="inlineStr">
        <is>
          <t>Type</t>
        </is>
      </c>
      <c r="P8" s="295" t="inlineStr">
        <is>
          <t>Description</t>
        </is>
      </c>
      <c r="Q8" s="295" t="inlineStr">
        <is>
          <t>Address</t>
        </is>
      </c>
      <c r="R8" s="295" t="inlineStr">
        <is>
          <t xml:space="preserve">City </t>
        </is>
      </c>
      <c r="S8" s="295" t="inlineStr">
        <is>
          <t>State</t>
        </is>
      </c>
      <c r="T8" s="295" t="inlineStr">
        <is>
          <t>Zip</t>
        </is>
      </c>
      <c r="U8" s="295" t="inlineStr">
        <is>
          <t>Contact #</t>
        </is>
      </c>
      <c r="V8" s="295" t="inlineStr">
        <is>
          <t>Qualify?</t>
        </is>
      </c>
      <c r="W8" s="315" t="inlineStr">
        <is>
          <t>Notes:</t>
        </is>
      </c>
      <c r="X8" s="398" t="n"/>
    </row>
    <row r="9">
      <c r="B9" s="11" t="n">
        <v>1</v>
      </c>
      <c r="C9" s="29" t="n"/>
      <c r="D9" s="84" t="n"/>
      <c r="E9" s="454" t="n"/>
      <c r="F9" s="466" t="n"/>
      <c r="G9" s="467" t="n"/>
      <c r="H9" s="466" t="n"/>
      <c r="I9" s="36" t="n"/>
      <c r="J9" s="29" t="n"/>
      <c r="K9" s="29" t="n"/>
      <c r="L9" s="152" t="n"/>
      <c r="M9" s="268" t="n"/>
      <c r="N9" s="1" t="n"/>
      <c r="O9" s="29" t="n"/>
      <c r="P9" s="36" t="n"/>
      <c r="Q9" s="36" t="n"/>
      <c r="R9" s="29" t="n"/>
      <c r="S9" s="29" t="n"/>
      <c r="T9" s="29" t="n"/>
      <c r="U9" s="543" t="n"/>
      <c r="V9" s="43" t="n"/>
      <c r="W9" s="36" t="n"/>
    </row>
    <row r="10">
      <c r="B10" s="11" t="n">
        <v>2</v>
      </c>
      <c r="C10" s="29" t="n"/>
      <c r="D10" s="84" t="n"/>
      <c r="E10" s="454" t="n"/>
      <c r="F10" s="466" t="n"/>
      <c r="G10" s="467" t="n"/>
      <c r="H10" s="466" t="n"/>
      <c r="I10" s="36" t="n"/>
      <c r="J10" s="29" t="n"/>
      <c r="K10" s="29" t="n"/>
      <c r="L10" s="152" t="n"/>
      <c r="M10" s="268" t="n"/>
      <c r="N10" s="1" t="n"/>
      <c r="O10" s="29" t="n"/>
      <c r="P10" s="36" t="n"/>
      <c r="Q10" s="36" t="n"/>
      <c r="R10" s="29" t="n"/>
      <c r="S10" s="29" t="n"/>
      <c r="T10" s="29" t="n"/>
      <c r="U10" s="543" t="n"/>
      <c r="V10" s="43" t="n"/>
      <c r="W10" s="36" t="n"/>
    </row>
    <row r="11">
      <c r="B11" s="11" t="n">
        <v>3</v>
      </c>
      <c r="C11" s="29" t="n"/>
      <c r="D11" s="84" t="n"/>
      <c r="E11" s="454" t="n"/>
      <c r="F11" s="466" t="n"/>
      <c r="G11" s="467" t="n"/>
      <c r="H11" s="466" t="n"/>
      <c r="I11" s="36" t="n"/>
      <c r="J11" s="29" t="n"/>
      <c r="K11" s="29" t="n"/>
      <c r="L11" s="152" t="n"/>
      <c r="M11" s="268" t="n"/>
      <c r="N11" s="1" t="n"/>
      <c r="O11" s="29" t="n"/>
      <c r="P11" s="36" t="n"/>
      <c r="Q11" s="36" t="n"/>
      <c r="R11" s="29" t="n"/>
      <c r="S11" s="29" t="n"/>
      <c r="T11" s="29" t="n"/>
      <c r="U11" s="543" t="n"/>
      <c r="V11" s="43" t="n"/>
      <c r="W11" s="36" t="n"/>
    </row>
    <row r="12">
      <c r="B12" s="11" t="n">
        <v>4</v>
      </c>
      <c r="C12" s="1" t="n"/>
      <c r="D12" s="84" t="n"/>
      <c r="E12" s="454" t="n"/>
      <c r="F12" s="466" t="n"/>
      <c r="G12" s="467" t="n"/>
      <c r="H12" s="466" t="n"/>
      <c r="I12" s="36" t="n"/>
      <c r="J12" s="29" t="n"/>
      <c r="K12" s="29" t="n"/>
      <c r="L12" s="152" t="n"/>
      <c r="M12" s="268" t="n"/>
      <c r="N12" s="1" t="n"/>
      <c r="O12" s="29" t="n"/>
      <c r="P12" s="36" t="n"/>
      <c r="Q12" s="36" t="n"/>
      <c r="R12" s="29" t="n"/>
      <c r="S12" s="29" t="n"/>
      <c r="T12" s="29" t="n"/>
      <c r="U12" s="543" t="n"/>
      <c r="V12" s="43" t="n"/>
      <c r="W12" s="36" t="n"/>
    </row>
    <row r="13" ht="15" customHeight="1" s="358">
      <c r="B13" s="11" t="n">
        <v>5</v>
      </c>
      <c r="C13" s="1" t="n"/>
      <c r="D13" s="84" t="n"/>
      <c r="E13" s="454" t="n"/>
      <c r="F13" s="466" t="n"/>
      <c r="G13" s="467" t="n"/>
      <c r="H13" s="466" t="n"/>
      <c r="I13" s="36" t="n"/>
      <c r="J13" s="29" t="n"/>
      <c r="K13" s="29" t="n"/>
      <c r="L13" s="152" t="n"/>
      <c r="M13" s="268" t="n"/>
      <c r="N13" s="1" t="n"/>
      <c r="O13" s="29" t="n"/>
      <c r="P13" s="36" t="n"/>
      <c r="Q13" s="36" t="n"/>
      <c r="R13" s="29" t="n"/>
      <c r="S13" s="29" t="n"/>
      <c r="T13" s="29" t="n"/>
      <c r="U13" s="543" t="n"/>
      <c r="V13" s="43" t="n"/>
      <c r="W13" s="36" t="n"/>
    </row>
    <row r="14" ht="15" customHeight="1" s="358">
      <c r="B14" s="11" t="n">
        <v>6</v>
      </c>
      <c r="C14" s="1" t="n"/>
      <c r="D14" s="85" t="n"/>
      <c r="E14" s="454" t="n"/>
      <c r="F14" s="466" t="n"/>
      <c r="G14" s="467" t="n"/>
      <c r="H14" s="466" t="n"/>
      <c r="I14" s="36" t="n"/>
      <c r="J14" s="29" t="n"/>
      <c r="K14" s="29" t="n"/>
      <c r="L14" s="152" t="n"/>
      <c r="M14" s="268" t="n"/>
      <c r="N14" s="1" t="n"/>
      <c r="O14" s="29" t="n"/>
      <c r="P14" s="36" t="n"/>
      <c r="Q14" s="36" t="n"/>
      <c r="R14" s="29" t="n"/>
      <c r="S14" s="29" t="n"/>
      <c r="T14" s="29" t="n"/>
      <c r="U14" s="543" t="n"/>
      <c r="V14" s="43" t="n"/>
      <c r="W14" s="36" t="n"/>
    </row>
    <row r="15">
      <c r="B15" s="11" t="n">
        <v>7</v>
      </c>
      <c r="C15" s="287" t="n"/>
      <c r="D15" s="86" t="n"/>
      <c r="E15" s="454" t="n"/>
      <c r="F15" s="466" t="n"/>
      <c r="G15" s="467" t="n"/>
      <c r="H15" s="466" t="n"/>
      <c r="I15" s="36" t="n"/>
      <c r="J15" s="29" t="n"/>
      <c r="K15" s="29" t="n"/>
      <c r="L15" s="152" t="n"/>
      <c r="M15" s="268" t="n"/>
      <c r="N15" s="1" t="n"/>
      <c r="O15" s="29" t="n"/>
      <c r="P15" s="36" t="n"/>
      <c r="Q15" s="36" t="n"/>
      <c r="R15" s="29" t="n"/>
      <c r="S15" s="29" t="n"/>
      <c r="T15" s="29" t="n"/>
      <c r="U15" s="543" t="n"/>
      <c r="V15" s="43" t="n"/>
      <c r="W15" s="36" t="n"/>
    </row>
    <row r="16">
      <c r="B16" s="11" t="n">
        <v>8</v>
      </c>
      <c r="C16" s="287" t="n"/>
      <c r="D16" s="86" t="n"/>
      <c r="E16" s="454" t="n"/>
      <c r="F16" s="466" t="n"/>
      <c r="G16" s="467" t="n"/>
      <c r="H16" s="466" t="n"/>
      <c r="I16" s="36" t="n"/>
      <c r="J16" s="29" t="n"/>
      <c r="K16" s="29" t="n"/>
      <c r="L16" s="152" t="n"/>
      <c r="M16" s="268" t="n"/>
      <c r="N16" s="1" t="n"/>
      <c r="O16" s="29" t="n"/>
      <c r="P16" s="36" t="n"/>
      <c r="Q16" s="36" t="n"/>
      <c r="R16" s="29" t="n"/>
      <c r="S16" s="29" t="n"/>
      <c r="T16" s="29" t="n"/>
      <c r="U16" s="543" t="n"/>
      <c r="V16" s="43" t="n"/>
      <c r="W16" s="36" t="n"/>
    </row>
    <row r="17">
      <c r="B17" s="11" t="n">
        <v>9</v>
      </c>
      <c r="C17" s="1" t="n"/>
      <c r="D17" s="86" t="n"/>
      <c r="E17" s="454" t="n"/>
      <c r="F17" s="466" t="n"/>
      <c r="G17" s="467" t="n"/>
      <c r="H17" s="466" t="n"/>
      <c r="I17" s="36" t="n"/>
      <c r="J17" s="29" t="n"/>
      <c r="K17" s="29" t="n"/>
      <c r="L17" s="156" t="n"/>
      <c r="M17" s="268" t="n"/>
      <c r="N17" s="1" t="n"/>
      <c r="O17" s="29" t="n"/>
      <c r="P17" s="36" t="n"/>
      <c r="Q17" s="36" t="n"/>
      <c r="R17" s="29" t="n"/>
      <c r="S17" s="29" t="n"/>
      <c r="T17" s="29" t="n"/>
      <c r="U17" s="543" t="n"/>
      <c r="V17" s="43" t="n"/>
      <c r="W17" s="36" t="n"/>
    </row>
    <row r="18">
      <c r="B18" s="11" t="n">
        <v>10</v>
      </c>
      <c r="C18" s="1" t="n"/>
      <c r="D18" s="86" t="n"/>
      <c r="E18" s="454" t="n"/>
      <c r="F18" s="466" t="n"/>
      <c r="G18" s="467" t="n"/>
      <c r="H18" s="466" t="n"/>
      <c r="I18" s="36" t="n"/>
      <c r="J18" s="29" t="n"/>
      <c r="K18" s="29" t="n"/>
      <c r="L18" s="152" t="n"/>
      <c r="M18" s="268" t="n"/>
      <c r="N18" s="1" t="n"/>
      <c r="O18" s="29" t="n"/>
      <c r="P18" s="36" t="n"/>
      <c r="Q18" s="36" t="n"/>
      <c r="R18" s="29" t="n"/>
      <c r="S18" s="29" t="n"/>
      <c r="T18" s="29" t="n"/>
      <c r="U18" s="543" t="n"/>
      <c r="V18" s="43" t="n"/>
      <c r="W18" s="36" t="n"/>
    </row>
    <row r="19" ht="15" customHeight="1" s="358">
      <c r="B19" s="11" t="n">
        <v>11</v>
      </c>
      <c r="C19" s="1" t="n"/>
      <c r="D19" s="86" t="n"/>
      <c r="E19" s="454" t="n"/>
      <c r="F19" s="466" t="n"/>
      <c r="G19" s="467" t="n"/>
      <c r="H19" s="466" t="n"/>
      <c r="I19" s="36" t="n"/>
      <c r="J19" s="29" t="n"/>
      <c r="K19" s="29" t="n"/>
      <c r="L19" s="152" t="n"/>
      <c r="M19" s="268" t="n"/>
      <c r="N19" s="1" t="n"/>
      <c r="O19" s="29" t="n"/>
      <c r="P19" s="36" t="n"/>
      <c r="Q19" s="36" t="n"/>
      <c r="R19" s="29" t="n"/>
      <c r="S19" s="29" t="n"/>
      <c r="T19" s="29" t="n"/>
      <c r="U19" s="543" t="n"/>
      <c r="V19" s="43" t="n"/>
      <c r="W19" s="36" t="n"/>
    </row>
    <row r="20">
      <c r="B20" s="11" t="n">
        <v>12</v>
      </c>
      <c r="C20" s="1" t="n"/>
      <c r="D20" s="84" t="n"/>
      <c r="E20" s="454" t="n"/>
      <c r="F20" s="466" t="n"/>
      <c r="G20" s="467" t="n"/>
      <c r="H20" s="466" t="n"/>
      <c r="I20" s="36" t="n"/>
      <c r="J20" s="29" t="n"/>
      <c r="K20" s="29" t="n"/>
      <c r="L20" s="27" t="n"/>
      <c r="M20" s="268" t="n"/>
      <c r="N20" s="1" t="n"/>
      <c r="O20" s="29" t="n"/>
      <c r="Q20" s="36" t="n"/>
      <c r="R20" s="29" t="n"/>
      <c r="S20" s="29" t="n"/>
      <c r="T20" s="29" t="n"/>
      <c r="U20" s="543" t="n"/>
      <c r="V20" s="43" t="n"/>
      <c r="W20" s="36" t="n"/>
    </row>
    <row r="21">
      <c r="B21" s="11" t="n">
        <v>13</v>
      </c>
      <c r="C21" s="1" t="n"/>
      <c r="D21" s="84" t="n"/>
      <c r="E21" s="454" t="n"/>
      <c r="F21" s="466" t="n"/>
      <c r="G21" s="467" t="n"/>
      <c r="H21" s="466" t="n"/>
      <c r="I21" s="36" t="n"/>
      <c r="J21" s="29" t="n"/>
      <c r="K21" s="29" t="n"/>
      <c r="L21" s="152" t="n"/>
      <c r="M21" s="268" t="n"/>
      <c r="N21" s="1" t="n"/>
      <c r="O21" s="29" t="n"/>
      <c r="P21" s="36" t="n"/>
      <c r="Q21" s="36" t="n"/>
      <c r="R21" s="29" t="n"/>
      <c r="S21" s="29" t="n"/>
      <c r="T21" s="29" t="n"/>
      <c r="U21" s="543" t="n"/>
      <c r="V21" s="43" t="n"/>
      <c r="W21" s="36" t="n"/>
    </row>
    <row r="22" ht="15" customHeight="1" s="358">
      <c r="B22" s="11" t="n">
        <v>14</v>
      </c>
      <c r="C22" s="1" t="n"/>
      <c r="D22" s="85" t="n"/>
      <c r="E22" s="454" t="n"/>
      <c r="F22" s="466" t="n"/>
      <c r="G22" s="467" t="n"/>
      <c r="H22" s="466" t="n"/>
      <c r="I22" s="36" t="n"/>
      <c r="J22" s="29" t="n"/>
      <c r="K22" s="29" t="n"/>
      <c r="L22" s="152" t="n"/>
      <c r="M22" s="268" t="n"/>
      <c r="N22" s="1" t="n"/>
      <c r="O22" s="29" t="n"/>
      <c r="P22" s="36" t="n"/>
      <c r="Q22" s="36" t="n"/>
      <c r="R22" s="29" t="n"/>
      <c r="S22" s="29" t="n"/>
      <c r="T22" s="73" t="n"/>
      <c r="U22" s="543" t="n"/>
      <c r="V22" s="43" t="n"/>
      <c r="W22" s="36" t="n"/>
    </row>
    <row r="23">
      <c r="B23" s="11" t="n">
        <v>15</v>
      </c>
      <c r="C23" s="1" t="n"/>
      <c r="D23" s="85" t="n"/>
      <c r="E23" s="454" t="n"/>
      <c r="F23" s="466" t="n"/>
      <c r="G23" s="467" t="n"/>
      <c r="H23" s="466" t="n"/>
      <c r="I23" s="36" t="n"/>
      <c r="J23" s="29" t="n"/>
      <c r="K23" s="29" t="n"/>
      <c r="L23" s="152" t="n"/>
      <c r="M23" s="268" t="n"/>
      <c r="N23" s="1" t="n"/>
      <c r="O23" s="29" t="n"/>
      <c r="P23" s="36" t="n"/>
      <c r="Q23" s="36" t="n"/>
      <c r="R23" s="29" t="n"/>
      <c r="S23" s="29" t="n"/>
      <c r="T23" s="73" t="n"/>
      <c r="U23" s="543" t="n"/>
      <c r="V23" s="43" t="n"/>
      <c r="W23" s="36" t="n"/>
    </row>
    <row r="24">
      <c r="B24" s="11" t="n">
        <v>16</v>
      </c>
      <c r="C24" s="1" t="n"/>
      <c r="D24" s="85" t="n"/>
      <c r="E24" s="454" t="n"/>
      <c r="F24" s="466" t="n"/>
      <c r="G24" s="467" t="n"/>
      <c r="H24" s="466" t="n"/>
      <c r="I24" s="36" t="n"/>
      <c r="J24" s="29" t="n"/>
      <c r="K24" s="29" t="n"/>
      <c r="L24" s="152" t="n"/>
      <c r="M24" s="268" t="n"/>
      <c r="N24" s="1" t="n"/>
      <c r="O24" s="29" t="n"/>
      <c r="P24" s="36" t="n"/>
      <c r="Q24" s="36" t="n"/>
      <c r="R24" s="29" t="n"/>
      <c r="S24" s="29" t="n"/>
      <c r="T24" s="73" t="n"/>
      <c r="U24" s="543" t="n"/>
      <c r="V24" s="43" t="n"/>
      <c r="W24" s="36" t="n"/>
    </row>
    <row r="25">
      <c r="B25" s="11" t="n">
        <v>17</v>
      </c>
      <c r="C25" s="1" t="n"/>
      <c r="D25" s="86" t="n"/>
      <c r="E25" s="454" t="n"/>
      <c r="F25" s="466" t="n"/>
      <c r="G25" s="467" t="n"/>
      <c r="H25" s="466" t="n"/>
      <c r="I25" s="36" t="n"/>
      <c r="J25" s="29" t="n"/>
      <c r="K25" s="29" t="n"/>
      <c r="L25" s="156" t="n"/>
      <c r="M25" s="268" t="n"/>
      <c r="N25" s="1" t="n"/>
      <c r="O25" s="29" t="n"/>
      <c r="P25" s="36" t="n"/>
      <c r="Q25" s="36" t="n"/>
      <c r="R25" s="29" t="n"/>
      <c r="S25" s="29" t="n"/>
      <c r="T25" s="29" t="n"/>
      <c r="U25" s="543" t="n"/>
      <c r="V25" s="43" t="n"/>
      <c r="W25" s="36" t="n"/>
    </row>
    <row r="26" ht="15" customHeight="1" s="358">
      <c r="B26" s="11" t="n">
        <v>18</v>
      </c>
      <c r="C26" s="1" t="n"/>
      <c r="D26" s="85" t="n"/>
      <c r="E26" s="454" t="n"/>
      <c r="F26" s="466" t="n"/>
      <c r="G26" s="467" t="n"/>
      <c r="H26" s="466" t="n"/>
      <c r="I26" s="36" t="n"/>
      <c r="J26" s="29" t="n"/>
      <c r="K26" s="29" t="n"/>
      <c r="L26" s="152" t="n"/>
      <c r="M26" s="268" t="n"/>
      <c r="N26" s="1" t="n"/>
      <c r="O26" s="29" t="n"/>
      <c r="P26" s="36" t="n"/>
      <c r="Q26" s="36" t="n"/>
      <c r="R26" s="29" t="n"/>
      <c r="S26" s="29" t="n"/>
      <c r="T26" s="29" t="n"/>
      <c r="U26" s="543" t="n"/>
      <c r="V26" s="43" t="n"/>
      <c r="W26" s="36" t="n"/>
    </row>
    <row r="27" ht="15" customHeight="1" s="358">
      <c r="B27" s="11" t="n">
        <v>19</v>
      </c>
      <c r="C27" s="1" t="n"/>
      <c r="D27" s="85" t="n"/>
      <c r="E27" s="454" t="n"/>
      <c r="F27" s="466" t="n"/>
      <c r="G27" s="467" t="n"/>
      <c r="H27" s="466" t="n"/>
      <c r="I27" s="36" t="n"/>
      <c r="J27" s="29" t="n"/>
      <c r="K27" s="29" t="n"/>
      <c r="L27" s="152" t="n"/>
      <c r="M27" s="268" t="n"/>
      <c r="N27" s="1" t="n"/>
      <c r="O27" s="29" t="n"/>
      <c r="P27" s="36" t="n"/>
      <c r="Q27" s="36" t="n"/>
      <c r="R27" s="29" t="n"/>
      <c r="S27" s="29" t="n"/>
      <c r="T27" s="29" t="n"/>
      <c r="U27" s="543" t="n"/>
      <c r="V27" s="43" t="n"/>
      <c r="W27" s="36" t="n"/>
    </row>
    <row r="28" ht="15" customHeight="1" s="358">
      <c r="B28" s="11" t="n">
        <v>20</v>
      </c>
      <c r="C28" s="1" t="n"/>
      <c r="D28" s="85" t="n"/>
      <c r="E28" s="454" t="n"/>
      <c r="F28" s="466" t="n"/>
      <c r="G28" s="467" t="n"/>
      <c r="H28" s="466" t="n"/>
      <c r="I28" s="36" t="n"/>
      <c r="J28" s="29" t="n"/>
      <c r="K28" s="29" t="n"/>
      <c r="L28" s="152" t="n"/>
      <c r="M28" s="268" t="n"/>
      <c r="N28" s="1" t="n"/>
      <c r="O28" s="29" t="n"/>
      <c r="P28" s="36" t="n"/>
      <c r="Q28" s="36" t="n"/>
      <c r="R28" s="29" t="n"/>
      <c r="S28" s="29" t="n"/>
      <c r="T28" s="29" t="n"/>
      <c r="U28" s="543" t="n"/>
      <c r="V28" s="43" t="n"/>
      <c r="W28" s="36" t="n"/>
    </row>
    <row r="29" ht="15" customHeight="1" s="358">
      <c r="B29" s="11" t="n">
        <v>21</v>
      </c>
      <c r="C29" s="1" t="n"/>
      <c r="D29" s="85" t="n"/>
      <c r="E29" s="454" t="n"/>
      <c r="F29" s="466" t="n"/>
      <c r="G29" s="467" t="n"/>
      <c r="H29" s="466" t="n"/>
      <c r="I29" s="36" t="n"/>
      <c r="J29" s="29" t="n"/>
      <c r="K29" s="29" t="n"/>
      <c r="L29" s="152" t="n"/>
      <c r="M29" s="268" t="n"/>
      <c r="N29" s="1" t="n"/>
      <c r="O29" s="29" t="n"/>
      <c r="P29" s="36" t="n"/>
      <c r="Q29" s="36" t="n"/>
      <c r="R29" s="29" t="n"/>
      <c r="S29" s="29" t="n"/>
      <c r="T29" s="29" t="n"/>
      <c r="U29" s="543" t="n"/>
      <c r="V29" s="43" t="n"/>
      <c r="W29" s="36" t="n"/>
    </row>
    <row r="30" ht="15" customHeight="1" s="358">
      <c r="B30" s="11" t="n">
        <v>22</v>
      </c>
      <c r="C30" s="1" t="n"/>
      <c r="D30" s="85" t="n"/>
      <c r="E30" s="454" t="n"/>
      <c r="F30" s="466" t="n"/>
      <c r="G30" s="467" t="n"/>
      <c r="H30" s="466" t="n"/>
      <c r="I30" s="36" t="n"/>
      <c r="J30" s="29" t="n"/>
      <c r="K30" s="29" t="n"/>
      <c r="L30" s="152" t="n"/>
      <c r="M30" s="268" t="n"/>
      <c r="N30" s="1" t="n"/>
      <c r="O30" s="29" t="n"/>
      <c r="P30" s="36" t="n"/>
      <c r="Q30" s="36" t="n"/>
      <c r="R30" s="29" t="n"/>
      <c r="S30" s="29" t="n"/>
      <c r="T30" s="29" t="n"/>
      <c r="U30" s="543" t="n"/>
      <c r="V30" s="43" t="n"/>
      <c r="W30" s="36" t="n"/>
    </row>
    <row r="31" ht="15" customHeight="1" s="358">
      <c r="B31" s="11" t="n">
        <v>23</v>
      </c>
      <c r="C31" s="1" t="n"/>
      <c r="D31" s="85" t="n"/>
      <c r="E31" s="454" t="n"/>
      <c r="F31" s="466" t="n"/>
      <c r="G31" s="467" t="n"/>
      <c r="H31" s="466" t="n"/>
      <c r="I31" s="36" t="n"/>
      <c r="J31" s="29" t="n"/>
      <c r="K31" s="29" t="n"/>
      <c r="L31" s="152" t="n"/>
      <c r="M31" s="268" t="n"/>
      <c r="N31" s="1" t="n"/>
      <c r="O31" s="29" t="n"/>
      <c r="P31" s="36" t="n"/>
      <c r="Q31" s="36" t="n"/>
      <c r="R31" s="29" t="n"/>
      <c r="S31" s="29" t="n"/>
      <c r="T31" s="29" t="n"/>
      <c r="U31" s="543" t="n"/>
      <c r="V31" s="43" t="n"/>
      <c r="W31" s="36" t="n"/>
    </row>
    <row r="32" ht="15" customHeight="1" s="358">
      <c r="B32" s="11" t="n">
        <v>24</v>
      </c>
      <c r="C32" s="1" t="n"/>
      <c r="D32" s="85" t="n"/>
      <c r="E32" s="454" t="n"/>
      <c r="F32" s="466" t="n"/>
      <c r="G32" s="467" t="n"/>
      <c r="H32" s="466" t="n"/>
      <c r="I32" s="36" t="n"/>
      <c r="J32" s="29" t="n"/>
      <c r="K32" s="29" t="n"/>
      <c r="L32" s="152" t="n"/>
      <c r="M32" s="268" t="n"/>
      <c r="N32" s="1" t="n"/>
      <c r="O32" s="29" t="n"/>
      <c r="P32" s="36" t="n"/>
      <c r="Q32" s="36" t="n"/>
      <c r="R32" s="29" t="n"/>
      <c r="S32" s="29" t="n"/>
      <c r="T32" s="73" t="n"/>
      <c r="U32" s="543" t="n"/>
      <c r="V32" s="43" t="n"/>
      <c r="W32" s="36" t="n"/>
    </row>
    <row r="33" ht="15" customHeight="1" s="358">
      <c r="B33" s="11" t="n">
        <v>25</v>
      </c>
      <c r="C33" s="1" t="n"/>
      <c r="D33" s="85" t="n"/>
      <c r="E33" s="454" t="n"/>
      <c r="F33" s="466" t="n"/>
      <c r="G33" s="467" t="n"/>
      <c r="H33" s="466" t="n"/>
      <c r="I33" s="36" t="n"/>
      <c r="J33" s="29" t="n"/>
      <c r="K33" s="29" t="n"/>
      <c r="L33" s="152" t="n"/>
      <c r="M33" s="268" t="n"/>
      <c r="N33" s="1" t="n"/>
      <c r="O33" s="29" t="n"/>
      <c r="P33" s="36" t="n"/>
      <c r="Q33" s="36" t="n"/>
      <c r="R33" s="29" t="n"/>
      <c r="S33" s="29" t="n"/>
      <c r="T33" s="73" t="n"/>
      <c r="U33" s="543" t="n"/>
      <c r="V33" s="43" t="n"/>
      <c r="W33" s="36" t="n"/>
    </row>
    <row r="34" ht="15" customHeight="1" s="358">
      <c r="B34" s="11" t="n">
        <v>26</v>
      </c>
      <c r="C34" s="158" t="n"/>
      <c r="D34" s="85" t="n"/>
      <c r="E34" s="454" t="n"/>
      <c r="F34" s="466" t="n"/>
      <c r="G34" s="467" t="n"/>
      <c r="H34" s="466" t="n"/>
      <c r="I34" s="36" t="n"/>
      <c r="J34" s="29" t="n"/>
      <c r="K34" s="29" t="n"/>
      <c r="L34" s="152" t="n"/>
      <c r="M34" s="268" t="n"/>
      <c r="N34" s="1" t="n"/>
      <c r="O34" s="29" t="n"/>
      <c r="P34" s="36" t="n"/>
      <c r="Q34" s="36" t="n"/>
      <c r="R34" s="29" t="n"/>
      <c r="S34" s="29" t="n"/>
      <c r="T34" s="73" t="n"/>
      <c r="U34" s="543" t="n"/>
      <c r="V34" s="43" t="n"/>
      <c r="W34" s="36" t="n"/>
    </row>
    <row r="35" ht="15" customHeight="1" s="358">
      <c r="B35" s="11" t="n">
        <v>27</v>
      </c>
      <c r="C35" s="1" t="n"/>
      <c r="D35" s="85" t="n"/>
      <c r="E35" s="454" t="n"/>
      <c r="F35" s="466" t="n"/>
      <c r="G35" s="467" t="n"/>
      <c r="H35" s="466" t="n"/>
      <c r="I35" s="36" t="n"/>
      <c r="J35" s="29" t="n"/>
      <c r="K35" s="29" t="n"/>
      <c r="L35" s="152" t="n"/>
      <c r="M35" s="268" t="n"/>
      <c r="N35" s="1" t="n"/>
      <c r="O35" s="29" t="n"/>
      <c r="P35" s="36" t="n"/>
      <c r="Q35" s="36" t="n"/>
      <c r="R35" s="29" t="n"/>
      <c r="S35" s="29" t="n"/>
      <c r="T35" s="73" t="n"/>
      <c r="U35" s="543" t="n"/>
      <c r="V35" s="43" t="n"/>
      <c r="W35" s="36" t="n"/>
    </row>
    <row r="36" ht="15" customHeight="1" s="358">
      <c r="B36" s="11" t="n">
        <v>28</v>
      </c>
      <c r="C36" s="1" t="n"/>
      <c r="D36" s="85" t="n"/>
      <c r="E36" s="454" t="n"/>
      <c r="F36" s="466" t="n"/>
      <c r="G36" s="467" t="n"/>
      <c r="H36" s="466" t="n"/>
      <c r="I36" s="36" t="n"/>
      <c r="J36" s="29" t="n"/>
      <c r="K36" s="29" t="n"/>
      <c r="L36" s="152" t="n"/>
      <c r="M36" s="268" t="n"/>
      <c r="N36" s="1" t="n"/>
      <c r="O36" s="29" t="n"/>
      <c r="P36" s="36" t="n"/>
      <c r="Q36" s="36" t="n"/>
      <c r="R36" s="29" t="n"/>
      <c r="S36" s="29" t="n"/>
      <c r="T36" s="73" t="n"/>
      <c r="U36" s="543" t="n"/>
      <c r="V36" s="43" t="n"/>
      <c r="W36" s="36" t="n"/>
    </row>
    <row r="37" ht="15" customHeight="1" s="358">
      <c r="B37" s="11" t="n">
        <v>29</v>
      </c>
      <c r="C37" s="1" t="n"/>
      <c r="D37" s="85" t="n"/>
      <c r="E37" s="454" t="n"/>
      <c r="F37" s="466" t="n"/>
      <c r="G37" s="467" t="n"/>
      <c r="H37" s="466" t="n"/>
      <c r="I37" s="36" t="n"/>
      <c r="J37" s="29" t="n"/>
      <c r="K37" s="29" t="n"/>
      <c r="L37" s="152" t="n"/>
      <c r="M37" s="268" t="n"/>
      <c r="N37" s="1" t="n"/>
      <c r="O37" s="29" t="n"/>
      <c r="P37" s="36" t="n"/>
      <c r="Q37" s="36" t="n"/>
      <c r="R37" s="29" t="n"/>
      <c r="S37" s="29" t="n"/>
      <c r="T37" s="73" t="n"/>
      <c r="U37" s="543" t="n"/>
      <c r="V37" s="43" t="n"/>
      <c r="W37" s="36" t="n"/>
    </row>
    <row r="38" ht="15" customHeight="1" s="358">
      <c r="B38" s="11" t="n">
        <v>30</v>
      </c>
      <c r="C38" s="1" t="n"/>
      <c r="D38" s="85" t="n"/>
      <c r="E38" s="454" t="n"/>
      <c r="F38" s="466" t="n"/>
      <c r="G38" s="467" t="n"/>
      <c r="H38" s="466" t="n"/>
      <c r="I38" s="36" t="n"/>
      <c r="J38" s="29" t="n"/>
      <c r="K38" s="29" t="n"/>
      <c r="L38" s="152" t="n"/>
      <c r="M38" s="268" t="n"/>
      <c r="N38" s="1" t="n"/>
      <c r="O38" s="29" t="n"/>
      <c r="P38" s="36" t="n"/>
      <c r="Q38" s="36" t="n"/>
      <c r="R38" s="29" t="n"/>
      <c r="S38" s="29" t="n"/>
      <c r="T38" s="73" t="n"/>
      <c r="U38" s="543" t="n"/>
      <c r="V38" s="43" t="n"/>
      <c r="W38" s="36" t="n"/>
    </row>
    <row r="39" ht="15" customHeight="1" s="358">
      <c r="B39" s="11" t="n">
        <v>31</v>
      </c>
      <c r="C39" s="1" t="n"/>
      <c r="D39" s="85" t="n"/>
      <c r="E39" s="454" t="n"/>
      <c r="F39" s="466" t="n"/>
      <c r="G39" s="467" t="n"/>
      <c r="H39" s="466" t="n"/>
      <c r="I39" s="36" t="n"/>
      <c r="J39" s="29" t="n"/>
      <c r="K39" s="29" t="n"/>
      <c r="L39" s="152" t="n"/>
      <c r="M39" s="268" t="n"/>
      <c r="N39" s="1" t="n"/>
      <c r="O39" s="29" t="n"/>
      <c r="P39" s="36" t="n"/>
      <c r="Q39" s="36" t="n"/>
      <c r="R39" s="29" t="n"/>
      <c r="S39" s="29" t="n"/>
      <c r="T39" s="73" t="n"/>
      <c r="U39" s="543" t="n"/>
      <c r="V39" s="43" t="n"/>
      <c r="W39" s="36" t="n"/>
    </row>
    <row r="40" ht="15" customHeight="1" s="358">
      <c r="B40" s="11" t="n">
        <v>32</v>
      </c>
      <c r="C40" s="1" t="n"/>
      <c r="D40" s="85" t="n"/>
      <c r="E40" s="454" t="n"/>
      <c r="F40" s="466" t="n"/>
      <c r="G40" s="467" t="n"/>
      <c r="H40" s="466" t="n"/>
      <c r="I40" s="36" t="n"/>
      <c r="J40" s="29" t="n"/>
      <c r="K40" s="29" t="n"/>
      <c r="L40" s="152" t="n"/>
      <c r="M40" s="268" t="n"/>
      <c r="N40" s="1" t="n"/>
      <c r="O40" s="29" t="n"/>
      <c r="P40" s="36" t="n"/>
      <c r="Q40" s="36" t="n"/>
      <c r="R40" s="29" t="n"/>
      <c r="S40" s="29" t="n"/>
      <c r="T40" s="73" t="n"/>
      <c r="U40" s="543" t="n"/>
      <c r="V40" s="43" t="n"/>
      <c r="W40" s="36" t="n"/>
    </row>
    <row r="41" ht="15" customHeight="1" s="358">
      <c r="B41" s="11" t="n">
        <v>33</v>
      </c>
      <c r="C41" s="1" t="n"/>
      <c r="D41" s="85" t="n"/>
      <c r="E41" s="454" t="n"/>
      <c r="F41" s="466" t="n"/>
      <c r="G41" s="467" t="n"/>
      <c r="H41" s="466" t="n"/>
      <c r="I41" s="36" t="n"/>
      <c r="J41" s="29" t="n"/>
      <c r="K41" s="29" t="n"/>
      <c r="L41" s="152" t="n"/>
      <c r="M41" s="268" t="n"/>
      <c r="N41" s="1" t="n"/>
      <c r="O41" s="29" t="n"/>
      <c r="P41" s="36" t="n"/>
      <c r="Q41" s="36" t="n"/>
      <c r="R41" s="29" t="n"/>
      <c r="S41" s="29" t="n"/>
      <c r="T41" s="73" t="n"/>
      <c r="U41" s="543" t="n"/>
      <c r="V41" s="43" t="n"/>
      <c r="W41" s="36" t="n"/>
    </row>
    <row r="42" ht="15" customHeight="1" s="358">
      <c r="B42" s="11" t="n">
        <v>34</v>
      </c>
      <c r="C42" s="1" t="n"/>
      <c r="D42" s="85" t="n"/>
      <c r="E42" s="454" t="n"/>
      <c r="F42" s="466" t="n"/>
      <c r="G42" s="467" t="n"/>
      <c r="H42" s="466" t="n"/>
      <c r="I42" s="36" t="n"/>
      <c r="J42" s="29" t="n"/>
      <c r="K42" s="29" t="n"/>
      <c r="L42" s="152" t="n"/>
      <c r="M42" s="268" t="n"/>
      <c r="N42" s="1" t="n"/>
      <c r="O42" s="29" t="n"/>
      <c r="P42" s="36" t="n"/>
      <c r="Q42" s="36" t="n"/>
      <c r="R42" s="29" t="n"/>
      <c r="S42" s="29" t="n"/>
      <c r="T42" s="73" t="n"/>
      <c r="U42" s="543" t="n"/>
      <c r="V42" s="43" t="n"/>
      <c r="W42" s="36" t="n"/>
    </row>
    <row r="43" ht="15" customHeight="1" s="358">
      <c r="B43" s="11" t="n">
        <v>35</v>
      </c>
      <c r="C43" s="1" t="n"/>
      <c r="D43" s="85" t="n"/>
      <c r="E43" s="454" t="n"/>
      <c r="F43" s="466" t="n"/>
      <c r="G43" s="467" t="n"/>
      <c r="H43" s="466" t="n"/>
      <c r="I43" s="36" t="n"/>
      <c r="J43" s="29" t="n"/>
      <c r="K43" s="29" t="n"/>
      <c r="L43" s="152" t="n"/>
      <c r="M43" s="268" t="n"/>
      <c r="N43" s="1" t="n"/>
      <c r="O43" s="29" t="n"/>
      <c r="P43" s="36" t="n"/>
      <c r="Q43" s="36" t="n"/>
      <c r="R43" s="29" t="n"/>
      <c r="S43" s="29" t="n"/>
      <c r="T43" s="73" t="n"/>
      <c r="U43" s="543" t="n"/>
      <c r="V43" s="43" t="n"/>
      <c r="W43" s="36" t="n"/>
    </row>
    <row r="44" ht="15" customHeight="1" s="358">
      <c r="B44" s="11" t="n">
        <v>36</v>
      </c>
      <c r="C44" s="1" t="n"/>
      <c r="D44" s="165" t="n"/>
      <c r="E44" s="454" t="n"/>
      <c r="F44" s="466" t="n"/>
      <c r="G44" s="467" t="n"/>
      <c r="H44" s="466" t="n"/>
      <c r="I44" s="36" t="n"/>
      <c r="J44" s="29" t="n"/>
      <c r="K44" s="29" t="n"/>
      <c r="L44" s="152" t="n"/>
      <c r="M44" s="268" t="n"/>
      <c r="N44" s="1" t="n"/>
      <c r="O44" s="29" t="n"/>
      <c r="P44" s="36" t="n"/>
      <c r="Q44" s="36" t="n"/>
      <c r="R44" s="29" t="n"/>
      <c r="S44" s="29" t="n"/>
      <c r="T44" s="29" t="n"/>
      <c r="U44" s="543" t="n"/>
      <c r="V44" s="43" t="n"/>
      <c r="W44" s="36" t="n"/>
    </row>
    <row r="45" ht="15" customHeight="1" s="358">
      <c r="B45" s="11" t="n">
        <v>37</v>
      </c>
      <c r="C45" s="1" t="n"/>
      <c r="D45" s="85" t="n"/>
      <c r="E45" s="454" t="n"/>
      <c r="F45" s="466" t="n"/>
      <c r="G45" s="467" t="n"/>
      <c r="H45" s="466" t="n"/>
      <c r="I45" s="36" t="n"/>
      <c r="J45" s="29" t="n"/>
      <c r="K45" s="29" t="n"/>
      <c r="L45" s="152" t="n"/>
      <c r="M45" s="268" t="n"/>
      <c r="N45" s="1" t="n"/>
      <c r="O45" s="29" t="n"/>
      <c r="P45" s="36" t="n"/>
      <c r="Q45" s="36" t="n"/>
      <c r="R45" s="29" t="n"/>
      <c r="S45" s="29" t="n"/>
      <c r="T45" s="73" t="n"/>
      <c r="U45" s="543" t="n"/>
      <c r="V45" s="43" t="n"/>
      <c r="W45" s="36" t="n"/>
    </row>
    <row r="46" ht="15" customHeight="1" s="358">
      <c r="B46" s="11" t="n">
        <v>38</v>
      </c>
      <c r="C46" s="1" t="n"/>
      <c r="D46" s="500" t="n"/>
      <c r="E46" s="454" t="n"/>
      <c r="F46" s="466" t="n"/>
      <c r="G46" s="467" t="n"/>
      <c r="H46" s="466" t="n"/>
      <c r="I46" s="36" t="n"/>
      <c r="J46" s="29" t="n"/>
      <c r="K46" s="29" t="n"/>
      <c r="L46" s="152" t="n"/>
      <c r="M46" s="268" t="n"/>
      <c r="N46" s="1" t="n"/>
      <c r="O46" s="29" t="n"/>
      <c r="P46" s="36" t="n"/>
      <c r="Q46" s="36" t="n"/>
      <c r="R46" s="29" t="n"/>
      <c r="S46" s="29" t="n"/>
      <c r="T46" s="29" t="n"/>
      <c r="U46" s="543" t="n"/>
      <c r="V46" s="43" t="n"/>
      <c r="W46" s="36" t="n"/>
    </row>
    <row r="47" ht="15" customHeight="1" s="358">
      <c r="B47" s="11" t="n">
        <v>39</v>
      </c>
      <c r="C47" s="1" t="n"/>
      <c r="D47" s="85" t="n"/>
      <c r="E47" s="454" t="n"/>
      <c r="F47" s="466" t="n"/>
      <c r="G47" s="467" t="n"/>
      <c r="H47" s="466" t="n"/>
      <c r="I47" s="36" t="n"/>
      <c r="J47" s="29" t="n"/>
      <c r="K47" s="29" t="n"/>
      <c r="L47" s="152" t="n"/>
      <c r="M47" s="268" t="n"/>
      <c r="N47" s="1" t="n"/>
      <c r="O47" s="29" t="n"/>
      <c r="P47" s="36" t="n"/>
      <c r="Q47" s="36" t="n"/>
      <c r="R47" s="29" t="n"/>
      <c r="S47" s="29" t="n"/>
      <c r="T47" s="73" t="n"/>
      <c r="U47" s="543" t="n"/>
      <c r="V47" s="43" t="n"/>
      <c r="W47" s="36" t="n"/>
    </row>
    <row r="48" ht="15" customHeight="1" s="358">
      <c r="B48" s="11" t="n">
        <v>40</v>
      </c>
      <c r="C48" s="1" t="n"/>
      <c r="D48" s="85" t="n"/>
      <c r="E48" s="454" t="n"/>
      <c r="F48" s="466" t="n"/>
      <c r="G48" s="467" t="n"/>
      <c r="H48" s="466" t="n"/>
      <c r="I48" s="36" t="n"/>
      <c r="J48" s="29" t="n"/>
      <c r="K48" s="29" t="n"/>
      <c r="L48" s="152" t="n"/>
      <c r="M48" s="268" t="n"/>
      <c r="N48" s="1" t="n"/>
      <c r="O48" s="29" t="n"/>
      <c r="P48" s="36" t="n"/>
      <c r="Q48" s="36" t="n"/>
      <c r="R48" s="29" t="n"/>
      <c r="S48" s="29" t="n"/>
      <c r="T48" s="73" t="n"/>
      <c r="U48" s="543" t="n"/>
      <c r="V48" s="43" t="n"/>
      <c r="W48" s="36" t="n"/>
    </row>
    <row r="49" ht="15" customHeight="1" s="358">
      <c r="B49" s="11" t="n">
        <v>41</v>
      </c>
      <c r="C49" s="1" t="n"/>
      <c r="D49" s="85" t="n"/>
      <c r="E49" s="454" t="n"/>
      <c r="F49" s="466" t="n"/>
      <c r="G49" s="467" t="n"/>
      <c r="H49" s="466" t="n"/>
      <c r="I49" s="36" t="n"/>
      <c r="J49" s="29" t="n"/>
      <c r="K49" s="29" t="n"/>
      <c r="L49" s="152" t="n"/>
      <c r="M49" s="268" t="n"/>
      <c r="N49" s="1" t="n"/>
      <c r="O49" s="29" t="n"/>
      <c r="P49" s="36" t="n"/>
      <c r="Q49" s="36" t="n"/>
      <c r="R49" s="29" t="n"/>
      <c r="S49" s="29" t="n"/>
      <c r="T49" s="73" t="n"/>
      <c r="U49" s="543" t="n"/>
      <c r="V49" s="43" t="n"/>
      <c r="W49" s="36" t="n"/>
    </row>
    <row r="50" ht="15" customHeight="1" s="358">
      <c r="B50" s="11" t="n">
        <v>42</v>
      </c>
      <c r="C50" s="1" t="n"/>
      <c r="D50" s="85" t="n"/>
      <c r="E50" s="454" t="n"/>
      <c r="F50" s="466" t="n"/>
      <c r="G50" s="467" t="n"/>
      <c r="H50" s="466" t="n"/>
      <c r="I50" s="36" t="n"/>
      <c r="J50" s="29" t="n"/>
      <c r="K50" s="29" t="n"/>
      <c r="L50" s="152" t="n"/>
      <c r="M50" s="268" t="n"/>
      <c r="N50" s="1" t="n"/>
      <c r="O50" s="29" t="n"/>
      <c r="P50" s="36" t="n"/>
      <c r="Q50" s="36" t="n"/>
      <c r="R50" s="29" t="n"/>
      <c r="S50" s="29" t="n"/>
      <c r="T50" s="73" t="n"/>
      <c r="U50" s="543" t="n"/>
      <c r="V50" s="43" t="n"/>
      <c r="W50" s="36" t="n"/>
    </row>
    <row r="51" ht="15" customHeight="1" s="358">
      <c r="B51" s="11" t="n">
        <v>43</v>
      </c>
      <c r="C51" s="1" t="n"/>
      <c r="D51" s="500" t="n"/>
      <c r="E51" s="454" t="n"/>
      <c r="F51" s="466" t="n"/>
      <c r="G51" s="467" t="n"/>
      <c r="H51" s="466" t="n"/>
      <c r="I51" s="36" t="n"/>
      <c r="J51" s="29" t="n"/>
      <c r="K51" s="29" t="n"/>
      <c r="L51" s="152" t="n"/>
      <c r="M51" s="268" t="n"/>
      <c r="N51" s="1" t="n"/>
      <c r="O51" s="29" t="n"/>
      <c r="P51" s="36" t="n"/>
      <c r="Q51" s="36" t="n"/>
      <c r="R51" s="29" t="n"/>
      <c r="S51" s="29" t="n"/>
      <c r="T51" s="73" t="n"/>
      <c r="U51" s="543" t="n"/>
      <c r="V51" s="43" t="n"/>
      <c r="W51" s="36" t="n"/>
    </row>
    <row r="52" ht="15" customHeight="1" s="358">
      <c r="B52" s="11" t="n">
        <v>44</v>
      </c>
      <c r="C52" s="1" t="n"/>
      <c r="D52" s="85" t="n"/>
      <c r="E52" s="454" t="n"/>
      <c r="F52" s="466" t="n"/>
      <c r="G52" s="467" t="n"/>
      <c r="H52" s="466" t="n"/>
      <c r="I52" s="36" t="n"/>
      <c r="J52" s="29" t="n"/>
      <c r="K52" s="29" t="n"/>
      <c r="L52" s="152" t="n"/>
      <c r="M52" s="268" t="n"/>
      <c r="N52" s="1" t="n"/>
      <c r="O52" s="29" t="n"/>
      <c r="P52" s="36" t="n"/>
      <c r="Q52" s="36" t="n"/>
      <c r="R52" s="29" t="n"/>
      <c r="S52" s="29" t="n"/>
      <c r="T52" s="73" t="n"/>
      <c r="U52" s="543" t="n"/>
      <c r="V52" s="43" t="n"/>
      <c r="W52" s="36" t="n"/>
    </row>
    <row r="53" ht="15" customHeight="1" s="358">
      <c r="B53" s="11" t="n">
        <v>45</v>
      </c>
      <c r="C53" s="1" t="n"/>
      <c r="D53" s="500" t="n"/>
      <c r="E53" s="454" t="n"/>
      <c r="F53" s="466" t="n"/>
      <c r="G53" s="467" t="n"/>
      <c r="H53" s="466" t="n"/>
      <c r="I53" s="36" t="n"/>
      <c r="J53" s="29" t="n"/>
      <c r="K53" s="29" t="n"/>
      <c r="L53" s="152" t="n"/>
      <c r="M53" s="268" t="n"/>
      <c r="N53" s="1" t="n"/>
      <c r="O53" s="29" t="n"/>
      <c r="P53" s="36" t="n"/>
      <c r="Q53" s="36" t="n"/>
      <c r="R53" s="29" t="n"/>
      <c r="S53" s="29" t="n"/>
      <c r="T53" s="29" t="n"/>
      <c r="U53" s="543" t="n"/>
      <c r="V53" s="43" t="n"/>
      <c r="W53" s="36" t="n"/>
    </row>
    <row r="54" ht="15" customHeight="1" s="358">
      <c r="B54" s="11" t="n">
        <v>46</v>
      </c>
      <c r="C54" s="1" t="n"/>
      <c r="D54" s="500" t="n"/>
      <c r="E54" s="454" t="n"/>
      <c r="F54" s="466" t="n"/>
      <c r="G54" s="467" t="n"/>
      <c r="H54" s="466" t="n"/>
      <c r="I54" s="36" t="n"/>
      <c r="J54" s="29" t="n"/>
      <c r="K54" s="29" t="n"/>
      <c r="L54" s="152" t="n"/>
      <c r="M54" s="268" t="n"/>
      <c r="N54" s="1" t="n"/>
      <c r="O54" s="29" t="n"/>
      <c r="P54" s="36" t="n"/>
      <c r="Q54" s="36" t="n"/>
      <c r="R54" s="29" t="n"/>
      <c r="S54" s="29" t="n"/>
      <c r="T54" s="29" t="n"/>
      <c r="U54" s="543" t="n"/>
      <c r="V54" s="43" t="n"/>
      <c r="W54" s="36" t="n"/>
    </row>
    <row r="55" ht="15" customHeight="1" s="358">
      <c r="B55" s="11" t="n">
        <v>47</v>
      </c>
      <c r="C55" s="1" t="n"/>
      <c r="D55" s="85" t="n"/>
      <c r="E55" s="454" t="n"/>
      <c r="F55" s="466" t="n"/>
      <c r="G55" s="467" t="n"/>
      <c r="H55" s="466" t="n"/>
      <c r="I55" s="36" t="n"/>
      <c r="J55" s="29" t="n"/>
      <c r="K55" s="29" t="n"/>
      <c r="L55" s="152" t="n"/>
      <c r="M55" s="268" t="n"/>
      <c r="N55" s="1" t="n"/>
      <c r="O55" s="29" t="n"/>
      <c r="P55" s="36" t="n"/>
      <c r="Q55" s="36" t="n"/>
      <c r="R55" s="29" t="n"/>
      <c r="S55" s="29" t="n"/>
      <c r="T55" s="73" t="n"/>
      <c r="U55" s="543" t="n"/>
      <c r="V55" s="43" t="n"/>
      <c r="W55" s="36" t="n"/>
    </row>
    <row r="56" ht="15" customHeight="1" s="358">
      <c r="B56" s="11" t="n">
        <v>48</v>
      </c>
      <c r="C56" s="1" t="n"/>
      <c r="D56" s="85" t="n"/>
      <c r="E56" s="454" t="n"/>
      <c r="F56" s="466" t="n"/>
      <c r="G56" s="467" t="n"/>
      <c r="H56" s="466" t="n"/>
      <c r="I56" s="36" t="n"/>
      <c r="J56" s="29" t="n"/>
      <c r="K56" s="29" t="n"/>
      <c r="L56" s="152" t="n"/>
      <c r="M56" s="268" t="n"/>
      <c r="N56" s="1" t="n"/>
      <c r="O56" s="29" t="n"/>
      <c r="P56" s="36" t="n"/>
      <c r="Q56" s="36" t="n"/>
      <c r="R56" s="29" t="n"/>
      <c r="S56" s="29" t="n"/>
      <c r="T56" s="73" t="n"/>
      <c r="U56" s="543" t="n"/>
      <c r="V56" s="43" t="n"/>
      <c r="W56" s="36" t="n"/>
    </row>
    <row r="57" ht="15" customHeight="1" s="358">
      <c r="B57" s="11" t="n">
        <v>49</v>
      </c>
      <c r="C57" s="1" t="n"/>
      <c r="D57" s="85" t="n"/>
      <c r="E57" s="454" t="n"/>
      <c r="F57" s="466" t="n"/>
      <c r="G57" s="467" t="n"/>
      <c r="H57" s="466" t="n"/>
      <c r="I57" s="36" t="n"/>
      <c r="J57" s="29" t="n"/>
      <c r="K57" s="29" t="n"/>
      <c r="L57" s="152" t="n"/>
      <c r="M57" s="268" t="n"/>
      <c r="N57" s="1" t="n"/>
      <c r="O57" s="29" t="n"/>
      <c r="P57" s="36" t="n"/>
      <c r="Q57" s="36" t="n"/>
      <c r="R57" s="29" t="n"/>
      <c r="S57" s="29" t="n"/>
      <c r="T57" s="73" t="n"/>
      <c r="U57" s="543" t="n"/>
      <c r="V57" s="43" t="n"/>
      <c r="W57" s="36" t="n"/>
    </row>
    <row r="58" ht="15" customHeight="1" s="358">
      <c r="B58" s="11" t="n">
        <v>50</v>
      </c>
      <c r="C58" s="1" t="n"/>
      <c r="D58" s="85" t="n"/>
      <c r="E58" s="454" t="n"/>
      <c r="F58" s="466" t="n"/>
      <c r="G58" s="467" t="n"/>
      <c r="H58" s="466" t="n"/>
      <c r="I58" s="36" t="n"/>
      <c r="J58" s="29" t="n"/>
      <c r="K58" s="29" t="n"/>
      <c r="L58" s="152" t="n"/>
      <c r="M58" s="268" t="n"/>
      <c r="N58" s="1" t="n"/>
      <c r="O58" s="29" t="n"/>
      <c r="P58" s="36" t="n"/>
      <c r="Q58" s="36" t="n"/>
      <c r="R58" s="29" t="n"/>
      <c r="S58" s="29" t="n"/>
      <c r="T58" s="73" t="n"/>
      <c r="U58" s="543" t="n"/>
      <c r="V58" s="43" t="n"/>
      <c r="W58" s="36" t="n"/>
    </row>
    <row r="59" ht="15" customHeight="1" s="358">
      <c r="B59" s="11" t="n">
        <v>51</v>
      </c>
      <c r="C59" s="1" t="n"/>
      <c r="D59" s="500" t="n"/>
      <c r="E59" s="454" t="n"/>
      <c r="F59" s="466" t="n"/>
      <c r="G59" s="467" t="n"/>
      <c r="H59" s="466" t="n"/>
      <c r="I59" s="36" t="n"/>
      <c r="J59" s="29" t="n"/>
      <c r="K59" s="29" t="n"/>
      <c r="L59" s="29" t="n"/>
      <c r="M59" s="268" t="n"/>
      <c r="N59" s="1" t="n"/>
      <c r="O59" s="29" t="n"/>
      <c r="P59" s="36" t="n"/>
      <c r="Q59" s="36" t="n"/>
      <c r="R59" s="29" t="n"/>
      <c r="S59" s="29" t="n"/>
      <c r="T59" s="29" t="n"/>
      <c r="U59" s="543" t="n"/>
      <c r="V59" s="43" t="n"/>
      <c r="W59" s="36" t="n"/>
    </row>
    <row r="60" ht="15" customHeight="1" s="358">
      <c r="B60" s="11" t="n">
        <v>52</v>
      </c>
      <c r="C60" s="1" t="n"/>
      <c r="D60" s="157" t="n"/>
      <c r="E60" s="454" t="n"/>
      <c r="F60" s="466" t="n"/>
      <c r="G60" s="467" t="n"/>
      <c r="H60" s="466" t="n"/>
      <c r="I60" s="36" t="n"/>
      <c r="J60" s="29" t="n"/>
      <c r="K60" s="29" t="n"/>
      <c r="L60" s="152" t="n"/>
      <c r="M60" s="268" t="n"/>
      <c r="N60" s="1" t="n"/>
      <c r="O60" s="29" t="n"/>
      <c r="P60" s="36" t="n"/>
      <c r="Q60" s="36" t="n"/>
      <c r="R60" s="29" t="n"/>
      <c r="S60" s="29" t="n"/>
      <c r="T60" s="73" t="n"/>
      <c r="U60" s="543" t="n"/>
      <c r="V60" s="43" t="n"/>
      <c r="W60" s="266" t="n"/>
    </row>
    <row r="61" ht="15" customHeight="1" s="358">
      <c r="B61" s="11" t="n">
        <v>53</v>
      </c>
      <c r="C61" s="1" t="n"/>
      <c r="D61" s="544" t="n"/>
      <c r="E61" s="454" t="n"/>
      <c r="F61" s="466" t="n"/>
      <c r="G61" s="467" t="n"/>
      <c r="H61" s="466" t="n"/>
      <c r="I61" s="36" t="n"/>
      <c r="J61" s="29" t="n"/>
      <c r="K61" s="29" t="n"/>
      <c r="L61" s="152" t="n"/>
      <c r="M61" s="268" t="n"/>
      <c r="N61" s="1" t="n"/>
      <c r="O61" s="29" t="n"/>
      <c r="P61" s="36" t="n"/>
      <c r="Q61" s="36" t="n"/>
      <c r="R61" s="29" t="n"/>
      <c r="S61" s="29" t="n"/>
      <c r="T61" s="73" t="n"/>
      <c r="U61" s="543" t="n"/>
      <c r="V61" s="43" t="n"/>
      <c r="W61" s="266" t="n"/>
    </row>
    <row r="62" ht="15" customHeight="1" s="358">
      <c r="B62" s="11" t="n">
        <v>54</v>
      </c>
      <c r="C62" s="1" t="n"/>
      <c r="D62" s="85" t="n"/>
      <c r="E62" s="454" t="n"/>
      <c r="F62" s="466" t="n"/>
      <c r="G62" s="467" t="n"/>
      <c r="H62" s="466" t="n"/>
      <c r="I62" s="36" t="n"/>
      <c r="J62" s="29" t="n"/>
      <c r="K62" s="29" t="n"/>
      <c r="L62" s="152" t="n"/>
      <c r="M62" s="268" t="n"/>
      <c r="N62" s="1" t="n"/>
      <c r="O62" s="29" t="n"/>
      <c r="P62" s="36" t="n"/>
      <c r="Q62" s="36" t="n"/>
      <c r="R62" s="29" t="n"/>
      <c r="S62" s="29" t="n"/>
      <c r="T62" s="73" t="n"/>
      <c r="U62" s="543" t="n"/>
      <c r="V62" s="43" t="n"/>
      <c r="W62" s="36" t="n"/>
    </row>
    <row r="63" ht="15" customHeight="1" s="358">
      <c r="B63" s="11" t="n">
        <v>55</v>
      </c>
      <c r="C63" s="1" t="n"/>
      <c r="D63" s="85" t="n"/>
      <c r="E63" s="454" t="n"/>
      <c r="F63" s="466" t="n"/>
      <c r="G63" s="467" t="n"/>
      <c r="H63" s="466" t="n"/>
      <c r="I63" s="36" t="n"/>
      <c r="J63" s="29" t="n"/>
      <c r="K63" s="29" t="n"/>
      <c r="L63" s="152" t="n"/>
      <c r="M63" s="268" t="n"/>
      <c r="N63" s="1" t="n"/>
      <c r="O63" s="29" t="n"/>
      <c r="P63" s="36" t="n"/>
      <c r="Q63" s="36" t="n"/>
      <c r="R63" s="29" t="n"/>
      <c r="S63" s="29" t="n"/>
      <c r="T63" s="29" t="n"/>
      <c r="U63" s="543" t="n"/>
      <c r="V63" s="43" t="n"/>
      <c r="W63" s="36" t="n"/>
    </row>
    <row r="64" ht="15" customHeight="1" s="358">
      <c r="B64" s="11" t="n">
        <v>56</v>
      </c>
      <c r="C64" s="1" t="n"/>
      <c r="D64" s="500" t="n"/>
      <c r="E64" s="454" t="n"/>
      <c r="F64" s="466" t="n"/>
      <c r="G64" s="467" t="n"/>
      <c r="H64" s="466" t="n"/>
      <c r="I64" s="36" t="n"/>
      <c r="J64" s="29" t="n"/>
      <c r="K64" s="29" t="n"/>
      <c r="L64" s="29" t="n"/>
      <c r="M64" s="268" t="n"/>
      <c r="N64" s="1" t="n"/>
      <c r="O64" s="29" t="n"/>
      <c r="P64" s="36" t="n"/>
      <c r="Q64" s="36" t="n"/>
      <c r="R64" s="29" t="n"/>
      <c r="S64" s="29" t="n"/>
      <c r="T64" s="29" t="n"/>
      <c r="U64" s="543" t="n"/>
      <c r="V64" s="43" t="n"/>
      <c r="W64" s="36" t="n"/>
    </row>
    <row r="65" ht="15" customHeight="1" s="358">
      <c r="B65" s="11" t="n">
        <v>57</v>
      </c>
      <c r="C65" s="1" t="n"/>
      <c r="D65" s="85" t="n"/>
      <c r="E65" s="454" t="n"/>
      <c r="F65" s="466" t="n"/>
      <c r="G65" s="467" t="n"/>
      <c r="H65" s="466" t="n"/>
      <c r="I65" s="36" t="n"/>
      <c r="J65" s="29" t="n"/>
      <c r="K65" s="29" t="n"/>
      <c r="L65" s="29" t="n"/>
      <c r="M65" s="268" t="n"/>
      <c r="N65" s="1" t="n"/>
      <c r="O65" s="29" t="n"/>
      <c r="P65" s="36" t="n"/>
      <c r="Q65" s="36" t="n"/>
      <c r="R65" s="29" t="n"/>
      <c r="S65" s="29" t="n"/>
      <c r="T65" s="73" t="n"/>
      <c r="U65" s="543" t="n"/>
      <c r="V65" s="43" t="n"/>
      <c r="W65" s="36" t="n"/>
    </row>
    <row r="66" ht="15" customHeight="1" s="358">
      <c r="B66" s="11" t="n">
        <v>58</v>
      </c>
      <c r="C66" s="1" t="n"/>
      <c r="D66" s="500" t="n"/>
      <c r="E66" s="454" t="n"/>
      <c r="F66" s="466" t="n"/>
      <c r="G66" s="467" t="n"/>
      <c r="H66" s="466" t="n"/>
      <c r="I66" s="36" t="n"/>
      <c r="J66" s="29" t="n"/>
      <c r="K66" s="29" t="n"/>
      <c r="L66" s="152" t="n"/>
      <c r="M66" s="268" t="n"/>
      <c r="N66" s="1" t="n"/>
      <c r="O66" s="29" t="n"/>
      <c r="P66" s="36" t="n"/>
      <c r="Q66" s="36" t="n"/>
      <c r="R66" s="29" t="n"/>
      <c r="S66" s="29" t="n"/>
      <c r="T66" s="29" t="n"/>
      <c r="U66" s="543" t="n"/>
      <c r="V66" s="43" t="n"/>
      <c r="W66" s="36" t="n"/>
    </row>
    <row r="67" ht="15" customHeight="1" s="358">
      <c r="B67" s="11" t="n">
        <v>59</v>
      </c>
      <c r="C67" s="1" t="n"/>
      <c r="D67" s="85" t="n"/>
      <c r="E67" s="454" t="n"/>
      <c r="F67" s="466" t="n"/>
      <c r="G67" s="467" t="n"/>
      <c r="H67" s="466" t="n"/>
      <c r="I67" s="36" t="n"/>
      <c r="J67" s="29" t="n"/>
      <c r="K67" s="29" t="n"/>
      <c r="L67" s="152" t="n"/>
      <c r="M67" s="268" t="n"/>
      <c r="N67" s="1" t="n"/>
      <c r="O67" s="29" t="n"/>
      <c r="P67" s="36" t="n"/>
      <c r="Q67" s="36" t="n"/>
      <c r="R67" s="29" t="n"/>
      <c r="S67" s="29" t="n"/>
      <c r="T67" s="73" t="n"/>
      <c r="U67" s="543" t="n"/>
      <c r="V67" s="43" t="n"/>
      <c r="W67" s="36" t="n"/>
    </row>
    <row r="68" ht="15" customHeight="1" s="358">
      <c r="B68" s="11" t="n">
        <v>60</v>
      </c>
      <c r="C68" s="1" t="n"/>
      <c r="D68" s="500" t="n"/>
      <c r="E68" s="454" t="n"/>
      <c r="F68" s="466" t="n"/>
      <c r="G68" s="467" t="n"/>
      <c r="H68" s="466" t="n"/>
      <c r="I68" s="36" t="n"/>
      <c r="J68" s="29" t="n"/>
      <c r="K68" s="29" t="n"/>
      <c r="L68" s="152" t="n"/>
      <c r="M68" s="268" t="n"/>
      <c r="N68" s="1" t="n"/>
      <c r="O68" s="29" t="n"/>
      <c r="P68" s="36" t="n"/>
      <c r="Q68" s="36" t="n"/>
      <c r="R68" s="29" t="n"/>
      <c r="S68" s="29" t="n"/>
      <c r="T68" s="29" t="n"/>
      <c r="U68" s="543" t="n"/>
      <c r="V68" s="43" t="n"/>
      <c r="W68" s="36" t="n"/>
    </row>
    <row r="69" ht="15" customHeight="1" s="358">
      <c r="B69" s="11" t="n">
        <v>61</v>
      </c>
      <c r="C69" s="1" t="n"/>
      <c r="D69" s="500" t="n"/>
      <c r="E69" s="454" t="n"/>
      <c r="F69" s="466" t="n"/>
      <c r="G69" s="467" t="n"/>
      <c r="H69" s="466" t="n"/>
      <c r="I69" s="36" t="n"/>
      <c r="J69" s="29" t="n"/>
      <c r="K69" s="29" t="n"/>
      <c r="L69" s="152" t="n"/>
      <c r="M69" s="268" t="n"/>
      <c r="N69" s="1" t="n"/>
      <c r="O69" s="29" t="n"/>
      <c r="P69" s="36" t="n"/>
      <c r="Q69" s="36" t="n"/>
      <c r="R69" s="29" t="n"/>
      <c r="S69" s="29" t="n"/>
      <c r="T69" s="73" t="n"/>
      <c r="U69" s="543" t="n"/>
      <c r="V69" s="43" t="n"/>
      <c r="W69" s="36" t="n"/>
    </row>
    <row r="70" ht="15" customHeight="1" s="358">
      <c r="B70" s="11" t="n">
        <v>62</v>
      </c>
      <c r="C70" s="1" t="n"/>
      <c r="D70" s="500" t="n"/>
      <c r="E70" s="454" t="n"/>
      <c r="F70" s="466" t="n"/>
      <c r="G70" s="467" t="n"/>
      <c r="H70" s="466" t="n"/>
      <c r="I70" s="36" t="n"/>
      <c r="J70" s="29" t="n"/>
      <c r="K70" s="29" t="n"/>
      <c r="L70" s="152" t="n"/>
      <c r="M70" s="268" t="n"/>
      <c r="N70" s="1" t="n"/>
      <c r="O70" s="29" t="n"/>
      <c r="P70" s="36" t="n"/>
      <c r="Q70" s="36" t="n"/>
      <c r="R70" s="29" t="n"/>
      <c r="S70" s="29" t="n"/>
      <c r="T70" s="29" t="n"/>
      <c r="U70" s="543" t="n"/>
      <c r="V70" s="43" t="n"/>
      <c r="W70" s="36" t="n"/>
    </row>
    <row r="71" ht="15" customHeight="1" s="358">
      <c r="B71" s="11" t="n">
        <v>63</v>
      </c>
      <c r="C71" s="1" t="n"/>
      <c r="D71" s="85" t="n"/>
      <c r="E71" s="454" t="n"/>
      <c r="F71" s="466" t="n"/>
      <c r="G71" s="467" t="n"/>
      <c r="H71" s="466" t="n"/>
      <c r="I71" s="36" t="n"/>
      <c r="J71" s="29" t="n"/>
      <c r="K71" s="29" t="n"/>
      <c r="L71" s="152" t="n"/>
      <c r="M71" s="268" t="n"/>
      <c r="N71" s="1" t="n"/>
      <c r="O71" s="29" t="n"/>
      <c r="P71" s="36" t="n"/>
      <c r="Q71" s="36" t="n"/>
      <c r="R71" s="29" t="n"/>
      <c r="S71" s="29" t="n"/>
      <c r="T71" s="73" t="n"/>
      <c r="U71" s="543" t="n"/>
      <c r="V71" s="43" t="n"/>
      <c r="W71" s="36" t="n"/>
    </row>
    <row r="72" ht="15" customHeight="1" s="358">
      <c r="B72" s="11" t="n">
        <v>64</v>
      </c>
      <c r="C72" s="1" t="n"/>
      <c r="D72" s="500" t="n"/>
      <c r="E72" s="454" t="n"/>
      <c r="F72" s="466" t="n"/>
      <c r="G72" s="467" t="n"/>
      <c r="H72" s="466" t="n"/>
      <c r="I72" s="36" t="n"/>
      <c r="J72" s="29" t="n"/>
      <c r="K72" s="29" t="n"/>
      <c r="L72" s="152" t="n"/>
      <c r="M72" s="268" t="n"/>
      <c r="N72" s="1" t="n"/>
      <c r="O72" s="29" t="n"/>
      <c r="P72" s="36" t="n"/>
      <c r="Q72" s="36" t="n"/>
      <c r="R72" s="29" t="n"/>
      <c r="S72" s="29" t="n"/>
      <c r="T72" s="29" t="n"/>
      <c r="U72" s="543" t="n"/>
      <c r="V72" s="43" t="n"/>
      <c r="W72" s="36" t="n"/>
    </row>
    <row r="73" ht="15" customHeight="1" s="358">
      <c r="B73" s="11" t="n">
        <v>65</v>
      </c>
      <c r="C73" s="1" t="n"/>
      <c r="D73" s="85" t="n"/>
      <c r="E73" s="454" t="n"/>
      <c r="F73" s="466" t="n"/>
      <c r="G73" s="467" t="n"/>
      <c r="H73" s="466" t="n"/>
      <c r="I73" s="36" t="n"/>
      <c r="J73" s="29" t="n"/>
      <c r="K73" s="29" t="n"/>
      <c r="L73" s="152" t="n"/>
      <c r="M73" s="268" t="n"/>
      <c r="N73" s="1" t="n"/>
      <c r="O73" s="29" t="n"/>
      <c r="P73" s="36" t="n"/>
      <c r="Q73" s="36" t="n"/>
      <c r="R73" s="29" t="n"/>
      <c r="S73" s="29" t="n"/>
      <c r="T73" s="73" t="n"/>
      <c r="U73" s="543" t="n"/>
      <c r="V73" s="43" t="n"/>
      <c r="W73" s="36" t="n"/>
    </row>
    <row r="74" ht="15" customHeight="1" s="358">
      <c r="B74" s="11" t="n">
        <v>66</v>
      </c>
      <c r="C74" s="1" t="n"/>
      <c r="D74" s="500" t="n"/>
      <c r="E74" s="454" t="n"/>
      <c r="F74" s="466" t="n"/>
      <c r="G74" s="467" t="n"/>
      <c r="H74" s="466" t="n"/>
      <c r="I74" s="36" t="n"/>
      <c r="J74" s="29" t="n"/>
      <c r="K74" s="29" t="n"/>
      <c r="L74" s="152" t="n"/>
      <c r="M74" s="268" t="n"/>
      <c r="N74" s="1" t="n"/>
      <c r="O74" s="29" t="n"/>
      <c r="P74" s="36" t="n"/>
      <c r="Q74" s="36" t="n"/>
      <c r="R74" s="29" t="n"/>
      <c r="S74" s="29" t="n"/>
      <c r="T74" s="29" t="n"/>
      <c r="U74" s="543" t="n"/>
      <c r="V74" s="43" t="n"/>
      <c r="W74" s="36" t="n"/>
    </row>
    <row r="75" ht="15" customHeight="1" s="358">
      <c r="B75" s="11" t="n">
        <v>67</v>
      </c>
      <c r="C75" s="1" t="n"/>
      <c r="D75" s="500" t="n"/>
      <c r="E75" s="454" t="n"/>
      <c r="F75" s="466" t="n"/>
      <c r="G75" s="467" t="n"/>
      <c r="H75" s="466" t="n"/>
      <c r="I75" s="36" t="n"/>
      <c r="J75" s="29" t="n"/>
      <c r="K75" s="29" t="n"/>
      <c r="L75" s="152" t="n"/>
      <c r="M75" s="268" t="n"/>
      <c r="N75" s="1" t="n"/>
      <c r="O75" s="29" t="n"/>
      <c r="P75" s="36" t="n"/>
      <c r="Q75" s="36" t="n"/>
      <c r="R75" s="29" t="n"/>
      <c r="S75" s="29" t="n"/>
      <c r="T75" s="29" t="n"/>
      <c r="U75" s="543" t="n"/>
      <c r="V75" s="43" t="n"/>
      <c r="W75" s="36" t="n"/>
    </row>
    <row r="76" ht="15" customHeight="1" s="358">
      <c r="B76" s="11" t="n">
        <v>68</v>
      </c>
      <c r="C76" s="1" t="n"/>
      <c r="D76" s="500" t="n"/>
      <c r="E76" s="454" t="n"/>
      <c r="F76" s="466" t="n"/>
      <c r="G76" s="467" t="n"/>
      <c r="H76" s="466" t="n"/>
      <c r="I76" s="36" t="n"/>
      <c r="J76" s="29" t="n"/>
      <c r="K76" s="29" t="n"/>
      <c r="L76" s="152" t="n"/>
      <c r="M76" s="268" t="n"/>
      <c r="N76" s="1" t="n"/>
      <c r="O76" s="29" t="n"/>
      <c r="P76" s="36" t="n"/>
      <c r="Q76" s="36" t="n"/>
      <c r="R76" s="29" t="n"/>
      <c r="S76" s="29" t="n"/>
      <c r="T76" s="29" t="n"/>
      <c r="U76" s="543" t="n"/>
      <c r="V76" s="43" t="n"/>
      <c r="W76" s="36" t="n"/>
    </row>
    <row r="77" ht="15" customHeight="1" s="358">
      <c r="B77" s="11" t="n">
        <v>69</v>
      </c>
      <c r="C77" s="1" t="n"/>
      <c r="D77" s="500" t="n"/>
      <c r="E77" s="454" t="n"/>
      <c r="F77" s="466" t="n"/>
      <c r="G77" s="467" t="n"/>
      <c r="H77" s="466" t="n"/>
      <c r="I77" s="36" t="n"/>
      <c r="J77" s="29" t="n"/>
      <c r="K77" s="29" t="n"/>
      <c r="L77" s="152" t="n"/>
      <c r="M77" s="268" t="n"/>
      <c r="N77" s="1" t="n"/>
      <c r="O77" s="29" t="n"/>
      <c r="P77" s="36" t="n"/>
      <c r="Q77" s="36" t="n"/>
      <c r="R77" s="29" t="n"/>
      <c r="S77" s="29" t="n"/>
      <c r="T77" s="29" t="n"/>
      <c r="U77" s="543" t="n"/>
      <c r="V77" s="43" t="n"/>
      <c r="W77" s="36" t="n"/>
    </row>
    <row r="78">
      <c r="B78" s="11" t="n">
        <v>70</v>
      </c>
      <c r="C78" s="287" t="n"/>
      <c r="D78" s="86" t="n"/>
      <c r="E78" s="454" t="n"/>
      <c r="F78" s="466" t="n"/>
      <c r="G78" s="467" t="n"/>
      <c r="H78" s="466" t="n"/>
      <c r="I78" s="36" t="n"/>
      <c r="J78" s="29" t="n"/>
      <c r="K78" s="29" t="n"/>
      <c r="L78" s="152" t="n"/>
      <c r="M78" s="268" t="n"/>
      <c r="N78" s="1" t="n"/>
      <c r="O78" s="29" t="n"/>
      <c r="P78" s="36" t="n"/>
      <c r="Q78" s="36" t="n"/>
      <c r="R78" s="29" t="n"/>
      <c r="S78" s="29" t="n"/>
      <c r="T78" s="29" t="n"/>
      <c r="U78" s="543" t="n"/>
      <c r="V78" s="43" t="n"/>
      <c r="W78" s="36" t="n"/>
    </row>
    <row r="79" ht="15" customHeight="1" s="358">
      <c r="B79" s="11" t="n">
        <v>71</v>
      </c>
      <c r="C79" s="1" t="n"/>
      <c r="D79" s="500" t="n"/>
      <c r="E79" s="454" t="n"/>
      <c r="F79" s="466" t="n"/>
      <c r="G79" s="467" t="n"/>
      <c r="H79" s="466" t="n"/>
      <c r="I79" s="36" t="n"/>
      <c r="J79" s="29" t="n"/>
      <c r="K79" s="29" t="n"/>
      <c r="L79" s="152" t="n"/>
      <c r="M79" s="268" t="n"/>
      <c r="N79" s="1" t="n"/>
      <c r="O79" s="29" t="n"/>
      <c r="P79" s="36" t="n"/>
      <c r="Q79" s="36" t="n"/>
      <c r="R79" s="29" t="n"/>
      <c r="S79" s="29" t="n"/>
      <c r="T79" s="29" t="n"/>
      <c r="U79" s="543" t="n"/>
      <c r="V79" s="43" t="n"/>
      <c r="W79" s="36" t="n"/>
    </row>
    <row r="80" ht="15" customHeight="1" s="358">
      <c r="B80" s="11" t="n">
        <v>72</v>
      </c>
      <c r="C80" s="1" t="n"/>
      <c r="D80" s="500" t="n"/>
      <c r="E80" s="454" t="n"/>
      <c r="F80" s="466" t="n"/>
      <c r="G80" s="467" t="n"/>
      <c r="H80" s="466" t="n"/>
      <c r="I80" s="36" t="n"/>
      <c r="J80" s="29" t="n"/>
      <c r="K80" s="29" t="n"/>
      <c r="L80" s="152" t="n"/>
      <c r="M80" s="268" t="n"/>
      <c r="N80" s="1" t="n"/>
      <c r="O80" s="29" t="n"/>
      <c r="P80" s="36" t="n"/>
      <c r="Q80" s="36" t="n"/>
      <c r="R80" s="29" t="n"/>
      <c r="S80" s="29" t="n"/>
      <c r="T80" s="29" t="n"/>
      <c r="U80" s="543" t="n"/>
      <c r="V80" s="43" t="n"/>
      <c r="W80" s="36" t="n"/>
    </row>
    <row r="81" ht="15" customHeight="1" s="358">
      <c r="B81" s="11" t="n">
        <v>73</v>
      </c>
      <c r="C81" s="1" t="n"/>
      <c r="D81" s="500" t="n"/>
      <c r="E81" s="454" t="n"/>
      <c r="F81" s="466" t="n"/>
      <c r="G81" s="467" t="n"/>
      <c r="H81" s="466" t="n"/>
      <c r="I81" s="36" t="n"/>
      <c r="J81" s="29" t="n"/>
      <c r="K81" s="29" t="n"/>
      <c r="L81" s="152" t="n"/>
      <c r="M81" s="268" t="n"/>
      <c r="N81" s="1" t="n"/>
      <c r="O81" s="29" t="n"/>
      <c r="P81" s="36" t="n"/>
      <c r="Q81" s="36" t="n"/>
      <c r="R81" s="29" t="n"/>
      <c r="S81" s="29" t="n"/>
      <c r="T81" s="29" t="n"/>
      <c r="U81" s="543" t="n"/>
      <c r="V81" s="43" t="n"/>
      <c r="W81" s="36" t="n"/>
    </row>
    <row r="82" ht="15" customHeight="1" s="358">
      <c r="B82" s="11" t="n">
        <v>74</v>
      </c>
      <c r="C82" s="1" t="n"/>
      <c r="D82" s="544" t="n"/>
      <c r="E82" s="454" t="n"/>
      <c r="F82" s="466" t="n"/>
      <c r="G82" s="467" t="n"/>
      <c r="H82" s="466" t="n"/>
      <c r="I82" s="36" t="n"/>
      <c r="J82" s="29" t="n"/>
      <c r="K82" s="29" t="n"/>
      <c r="L82" s="29" t="n"/>
      <c r="M82" s="268" t="n"/>
      <c r="N82" s="1" t="n"/>
      <c r="O82" s="29" t="n"/>
      <c r="P82" s="36" t="n"/>
      <c r="Q82" s="36" t="n"/>
      <c r="R82" s="29" t="n"/>
      <c r="S82" s="29" t="n"/>
      <c r="T82" s="29" t="n"/>
      <c r="U82" s="543" t="n"/>
      <c r="V82" s="43" t="n"/>
      <c r="W82" s="36" t="n"/>
    </row>
    <row r="83">
      <c r="B83" s="11" t="n">
        <v>75</v>
      </c>
      <c r="C83" s="287" t="n"/>
      <c r="D83" s="86" t="n"/>
      <c r="E83" s="454" t="n"/>
      <c r="F83" s="466" t="n"/>
      <c r="G83" s="467" t="n"/>
      <c r="H83" s="466" t="n"/>
      <c r="I83" s="36" t="n"/>
      <c r="J83" s="29" t="n"/>
      <c r="K83" s="29" t="n"/>
      <c r="L83" s="152" t="n"/>
      <c r="M83" s="268" t="n"/>
      <c r="N83" s="1" t="n"/>
      <c r="O83" s="29" t="n"/>
      <c r="P83" s="36" t="n"/>
      <c r="Q83" s="36" t="n"/>
      <c r="R83" s="29" t="n"/>
      <c r="S83" s="29" t="n"/>
      <c r="T83" s="29" t="n"/>
      <c r="U83" s="543" t="n"/>
      <c r="V83" s="43" t="n"/>
      <c r="W83" s="36" t="n"/>
    </row>
    <row r="84" ht="15" customHeight="1" s="358">
      <c r="B84" s="11" t="n">
        <v>76</v>
      </c>
      <c r="C84" s="1" t="n"/>
      <c r="D84" s="544" t="n"/>
      <c r="E84" s="454" t="n"/>
      <c r="F84" s="466" t="n"/>
      <c r="G84" s="467" t="n"/>
      <c r="H84" s="466" t="n"/>
      <c r="I84" s="36" t="n"/>
      <c r="J84" s="29" t="n"/>
      <c r="K84" s="29" t="n"/>
      <c r="L84" s="152" t="n"/>
      <c r="M84" s="268" t="n"/>
      <c r="N84" s="1" t="n"/>
      <c r="O84" s="29" t="n"/>
      <c r="P84" s="36" t="n"/>
      <c r="Q84" s="36" t="n"/>
      <c r="R84" s="29" t="n"/>
      <c r="S84" s="29" t="n"/>
      <c r="T84" s="29" t="n"/>
      <c r="U84" s="543" t="n"/>
      <c r="V84" s="43" t="n"/>
      <c r="W84" s="36" t="n"/>
    </row>
    <row r="85" ht="15" customHeight="1" s="358">
      <c r="B85" s="11" t="n">
        <v>77</v>
      </c>
      <c r="C85" s="158" t="n"/>
      <c r="D85" s="544" t="n"/>
      <c r="E85" s="454" t="n"/>
      <c r="F85" s="466" t="n"/>
      <c r="G85" s="467" t="n"/>
      <c r="H85" s="466" t="n"/>
      <c r="I85" s="36" t="n"/>
      <c r="J85" s="29" t="n"/>
      <c r="K85" s="29" t="n"/>
      <c r="L85" s="152" t="n"/>
      <c r="M85" s="268" t="n"/>
      <c r="N85" s="1" t="n"/>
      <c r="O85" s="29" t="n"/>
      <c r="P85" s="36" t="n"/>
      <c r="Q85" s="36" t="n"/>
      <c r="R85" s="29" t="n"/>
      <c r="S85" s="29" t="n"/>
      <c r="T85" s="29" t="n"/>
      <c r="U85" s="543" t="n"/>
      <c r="V85" s="43" t="n"/>
      <c r="W85" s="36" t="n"/>
    </row>
    <row r="86" ht="15" customHeight="1" s="358">
      <c r="B86" s="11" t="n">
        <v>78</v>
      </c>
      <c r="C86" s="158" t="n"/>
      <c r="D86" s="544" t="n"/>
      <c r="E86" s="454" t="n"/>
      <c r="F86" s="466" t="n"/>
      <c r="G86" s="467" t="n"/>
      <c r="H86" s="466" t="n"/>
      <c r="I86" s="36" t="n"/>
      <c r="J86" s="29" t="n"/>
      <c r="K86" s="29" t="n"/>
      <c r="L86" s="152" t="n"/>
      <c r="M86" s="268" t="n"/>
      <c r="N86" s="1" t="n"/>
      <c r="O86" s="29" t="n"/>
      <c r="P86" s="36" t="n"/>
      <c r="Q86" s="36" t="n"/>
      <c r="R86" s="29" t="n"/>
      <c r="S86" s="29" t="n"/>
      <c r="T86" s="29" t="n"/>
      <c r="U86" s="543" t="n"/>
      <c r="V86" s="43" t="n"/>
      <c r="W86" s="36" t="n"/>
    </row>
    <row r="87" ht="15" customHeight="1" s="358">
      <c r="B87" s="11" t="n">
        <v>79</v>
      </c>
      <c r="C87" s="158" t="n"/>
      <c r="D87" s="544" t="n"/>
      <c r="E87" s="454" t="n"/>
      <c r="F87" s="466" t="n"/>
      <c r="G87" s="467" t="n"/>
      <c r="H87" s="466" t="n"/>
      <c r="I87" s="36" t="n"/>
      <c r="J87" s="29" t="n"/>
      <c r="K87" s="29" t="n"/>
      <c r="L87" s="152" t="n"/>
      <c r="M87" s="268" t="n"/>
      <c r="N87" s="1" t="n"/>
      <c r="O87" s="29" t="n"/>
      <c r="P87" s="36" t="n"/>
      <c r="Q87" s="36" t="n"/>
      <c r="R87" s="29" t="n"/>
      <c r="S87" s="29" t="n"/>
      <c r="T87" s="29" t="n"/>
      <c r="U87" s="543" t="n"/>
      <c r="V87" s="43" t="n"/>
      <c r="W87" s="36" t="n"/>
    </row>
    <row r="88">
      <c r="B88" s="11" t="n"/>
      <c r="C88" s="108" t="n"/>
      <c r="D88" s="43" t="n"/>
      <c r="E88" s="454" t="n"/>
      <c r="F88" s="466" t="n"/>
      <c r="G88" s="467" t="n"/>
      <c r="H88" s="466" t="n"/>
      <c r="I88" s="36" t="n"/>
      <c r="J88" s="29" t="n"/>
      <c r="K88" s="29" t="n"/>
      <c r="L88" s="29" t="n"/>
      <c r="M88" s="268" t="n"/>
      <c r="N88" s="1" t="n"/>
      <c r="O88" s="1" t="n"/>
      <c r="P88" s="36" t="n"/>
      <c r="Q88" s="36" t="n"/>
      <c r="R88" s="29" t="n"/>
      <c r="S88" s="29" t="n"/>
      <c r="T88" s="29" t="n"/>
      <c r="U88" s="499" t="n"/>
      <c r="V88" s="43" t="n"/>
      <c r="W88" s="36" t="n"/>
    </row>
    <row r="89">
      <c r="C89" s="104" t="n"/>
      <c r="D89" s="61" t="n"/>
      <c r="E89" s="80" t="n"/>
      <c r="F89" s="501">
        <f>SUBTOTAL(9,F9:F88)</f>
        <v/>
      </c>
      <c r="G89" s="545">
        <f>SUBTOTAL(9,G9:G88)</f>
        <v/>
      </c>
      <c r="H89" s="545">
        <f>SUBTOTAL(9,H9:H88)</f>
        <v/>
      </c>
      <c r="I89" s="70" t="n"/>
      <c r="J89" s="502" t="n"/>
      <c r="K89" s="30">
        <f>SUBTOTAL(2,K9:K88)</f>
        <v/>
      </c>
      <c r="L89" s="505" t="n"/>
      <c r="M89" s="503" t="n"/>
      <c r="N89" s="504" t="n"/>
      <c r="O89" s="505" t="n"/>
      <c r="P89" s="505" t="n"/>
      <c r="Q89" s="504" t="n"/>
      <c r="R89" s="504" t="n"/>
      <c r="S89" s="504" t="n"/>
      <c r="T89" s="504" t="n"/>
      <c r="U89" s="505" t="n"/>
      <c r="V89" s="506" t="n"/>
      <c r="W89" s="37" t="n"/>
    </row>
    <row r="90">
      <c r="F90" s="482" t="n"/>
      <c r="G90" s="482" t="n"/>
      <c r="H90" s="482" t="n"/>
    </row>
    <row r="91">
      <c r="F91" s="482" t="n"/>
      <c r="G91" s="482" t="n"/>
      <c r="H91" s="482" t="n"/>
    </row>
    <row r="92" ht="15.75" customHeight="1" s="358" thickBot="1">
      <c r="C92" s="507" t="n"/>
      <c r="D92" s="508" t="n"/>
      <c r="E92" s="28" t="n"/>
      <c r="F92" s="509" t="n"/>
      <c r="G92" s="546" t="inlineStr">
        <is>
          <t>SUBMITTED TOTAL</t>
        </is>
      </c>
      <c r="H92" s="510">
        <f>SUM(H9:H88)</f>
        <v/>
      </c>
      <c r="I92" s="75" t="n"/>
      <c r="J92" s="477" t="n"/>
      <c r="L92" s="511" t="n"/>
      <c r="M92" s="477" t="n"/>
      <c r="N92" s="477" t="n"/>
      <c r="O92" s="511" t="n"/>
      <c r="P92" s="511" t="n"/>
      <c r="Q92" s="477" t="n"/>
      <c r="R92" s="477" t="n"/>
      <c r="S92" s="477" t="n"/>
      <c r="T92" s="477" t="n"/>
      <c r="U92" s="511" t="n"/>
      <c r="V92" s="476" t="n"/>
    </row>
    <row r="93" ht="15.75" customHeight="1" s="358" thickTop="1">
      <c r="M93" s="477" t="n"/>
    </row>
    <row r="96">
      <c r="D96" s="29" t="inlineStr">
        <is>
          <t>ELIGIBLE TOTAL</t>
        </is>
      </c>
      <c r="E96" s="459" t="n"/>
      <c r="F96" s="460" t="n"/>
      <c r="G96" s="422" t="n"/>
      <c r="I96" s="29" t="inlineStr">
        <is>
          <t>INELIGIBLE TOTAL</t>
        </is>
      </c>
      <c r="J96" s="459" t="n"/>
      <c r="K96" s="460" t="n"/>
      <c r="L96" s="422" t="n"/>
    </row>
    <row r="97">
      <c r="D97" s="43" t="inlineStr">
        <is>
          <t>NO-OOS</t>
        </is>
      </c>
      <c r="E97" s="92" t="inlineStr">
        <is>
          <t>NO-TX</t>
        </is>
      </c>
      <c r="F97" s="93" t="inlineStr">
        <is>
          <t>YES</t>
        </is>
      </c>
      <c r="G97" s="487" t="n"/>
      <c r="I97" s="43" t="inlineStr">
        <is>
          <t>NO-OOS</t>
        </is>
      </c>
      <c r="J97" s="92" t="inlineStr">
        <is>
          <t>NO-TX</t>
        </is>
      </c>
      <c r="K97" s="93" t="inlineStr">
        <is>
          <t>YES</t>
        </is>
      </c>
      <c r="L97" s="422" t="n"/>
    </row>
    <row r="98">
      <c r="D98" s="492">
        <f>SUMIF($V$9:$V$88,D97,$H$9:$H$88)</f>
        <v/>
      </c>
      <c r="E98" s="492">
        <f>SUMIF($V$9:$V$88,E97,$H$9:$H$88)</f>
        <v/>
      </c>
      <c r="F98" s="492">
        <f>SUMIF($V$9:$V$88,F97,$H$9:$H$88)</f>
        <v/>
      </c>
      <c r="G98" s="474">
        <f>SUM(D98:F98)</f>
        <v/>
      </c>
      <c r="I98" s="492">
        <f>SUMIF($V$9:$V$88,I97,$G$9:$G$88)</f>
        <v/>
      </c>
      <c r="J98" s="492">
        <f>SUMIF($V$9:$V$88,J97,$G$9:$G$88)</f>
        <v/>
      </c>
      <c r="K98" s="492">
        <f>SUMIF($V$9:$V$88,K97,$G$9:$G$88)</f>
        <v/>
      </c>
      <c r="L98" s="474">
        <f>SUM(I98:K98)</f>
        <v/>
      </c>
    </row>
    <row r="99">
      <c r="G99" s="97">
        <f>H92-G98</f>
        <v/>
      </c>
      <c r="I99" s="32" t="n"/>
      <c r="J99" s="32" t="n"/>
      <c r="K99" s="493" t="n"/>
      <c r="L99" s="97">
        <f>G92-L98</f>
        <v/>
      </c>
    </row>
    <row r="100">
      <c r="D100" s="479" t="n"/>
      <c r="E100" s="479" t="n"/>
      <c r="G100" s="68" t="n"/>
      <c r="L100" s="422" t="n"/>
    </row>
    <row r="101">
      <c r="G101" s="480" t="inlineStr">
        <is>
          <t>Total Eligible</t>
        </is>
      </c>
      <c r="H101" s="479">
        <f>F98</f>
        <v/>
      </c>
      <c r="I101" s="479" t="n"/>
      <c r="J101" s="68" t="n"/>
      <c r="L101" s="422" t="n"/>
    </row>
    <row r="102" ht="15.75" customHeight="1" s="358" thickBot="1">
      <c r="G102" s="513" t="inlineStr">
        <is>
          <t>Total Ineligible</t>
        </is>
      </c>
      <c r="H102" s="494">
        <f>D98+E98+I98+J98+K98</f>
        <v/>
      </c>
      <c r="I102" s="479" t="n"/>
      <c r="J102" s="68" t="n"/>
      <c r="L102" s="422" t="n"/>
    </row>
    <row r="103" ht="15.75" customHeight="1" s="358" thickTop="1">
      <c r="G103" s="480" t="inlineStr">
        <is>
          <t>Total Expenses</t>
        </is>
      </c>
      <c r="H103" s="479">
        <f>SUM(H101:H102)</f>
        <v/>
      </c>
      <c r="I103" s="479" t="n"/>
      <c r="J103" s="68" t="n"/>
    </row>
    <row r="104">
      <c r="H104" s="97">
        <f>F92-H103</f>
        <v/>
      </c>
      <c r="I104" s="479" t="n"/>
    </row>
    <row r="106">
      <c r="G106" s="547" t="inlineStr">
        <is>
          <t>Pymt Method</t>
        </is>
      </c>
      <c r="H106" s="547" t="inlineStr">
        <is>
          <t>Total</t>
        </is>
      </c>
      <c r="I106" s="223" t="inlineStr">
        <is>
          <t>Qualified</t>
        </is>
      </c>
      <c r="J106" s="39" t="inlineStr">
        <is>
          <t>Ineligible</t>
        </is>
      </c>
    </row>
    <row r="107">
      <c r="G107" s="479" t="inlineStr">
        <is>
          <t>Check</t>
        </is>
      </c>
      <c r="H107" s="479">
        <f>SUMIF($J$9:$J$88,G107,$F$9:$F$88)</f>
        <v/>
      </c>
      <c r="I107" s="548">
        <f>SUMIFS($H$9:$H$88,$J$9:$J$88,G107,$V$9:$V$88,"YES")</f>
        <v/>
      </c>
      <c r="J107" s="458">
        <f>H107-I107</f>
        <v/>
      </c>
    </row>
    <row r="108">
      <c r="G108" s="479" t="inlineStr">
        <is>
          <t>Credit Card</t>
        </is>
      </c>
      <c r="H108" s="479">
        <f>SUMIF($J$9:$J$88,G108,$F$9:$F$88)</f>
        <v/>
      </c>
      <c r="I108" s="548">
        <f>SUMIFS($H$9:$H$88,$J$9:$J$88,G108,$V$9:$V$88,"YES")</f>
        <v/>
      </c>
      <c r="J108" s="458">
        <f>H108-I108</f>
        <v/>
      </c>
    </row>
    <row r="109" ht="15.75" customHeight="1" s="358" thickBot="1">
      <c r="G109" s="494" t="inlineStr">
        <is>
          <t>Unknown</t>
        </is>
      </c>
      <c r="H109" s="494">
        <f>SUMIF($J$9:$J$88,G109,$F$9:$F$88)</f>
        <v/>
      </c>
      <c r="I109" s="549">
        <f>SUMIFS($H$9:$H$88,$J$9:$J$88,G109,$V$9:$V$88,"YES")</f>
        <v/>
      </c>
      <c r="J109" s="550">
        <f>H109-I109</f>
        <v/>
      </c>
    </row>
    <row r="110" ht="15.75" customHeight="1" s="358" thickTop="1">
      <c r="H110" s="479">
        <f>SUM(H107:H109)</f>
        <v/>
      </c>
      <c r="I110" s="551">
        <f>SUM(I107:I109)</f>
        <v/>
      </c>
      <c r="J110" s="479">
        <f>SUM(J107:J109)</f>
        <v/>
      </c>
    </row>
    <row r="111">
      <c r="H111" s="96">
        <f>H110-H103</f>
        <v/>
      </c>
      <c r="I111" s="96">
        <f>I110-H101</f>
        <v/>
      </c>
      <c r="J111" s="96">
        <f>J110-H102</f>
        <v/>
      </c>
    </row>
    <row r="113">
      <c r="C113" s="491" t="n"/>
      <c r="D113" s="32" t="n"/>
    </row>
    <row r="114">
      <c r="C114" s="491" t="n"/>
      <c r="D114" s="32" t="n"/>
    </row>
    <row r="115">
      <c r="C115" s="491" t="n"/>
      <c r="D115" s="32" t="n"/>
    </row>
    <row r="116">
      <c r="C116" s="491" t="n"/>
      <c r="D116" s="32" t="n"/>
    </row>
    <row r="117">
      <c r="C117" s="491" t="n"/>
      <c r="D117" s="32" t="n"/>
    </row>
    <row r="118">
      <c r="C118" s="491" t="n"/>
      <c r="D118" s="32" t="n"/>
    </row>
    <row r="119">
      <c r="C119" s="552" t="n"/>
      <c r="D119" s="4" t="n"/>
      <c r="E119" s="526" t="n"/>
      <c r="F119" s="474" t="n"/>
    </row>
    <row r="120">
      <c r="C120" s="491" t="n"/>
    </row>
    <row r="121">
      <c r="C121" s="491" t="n"/>
    </row>
    <row r="122">
      <c r="C122" s="491" t="n"/>
    </row>
    <row r="123">
      <c r="C123" s="491" t="n"/>
    </row>
  </sheetData>
  <autoFilter ref="C6:W58">
    <filterColumn colId="19" hiddenButton="0" showButton="1">
      <filters>
        <filter val="YES"/>
      </filters>
    </filterColumn>
  </autoFilter>
  <mergeCells count="3">
    <mergeCell ref="D96:F96"/>
    <mergeCell ref="I96:K96"/>
    <mergeCell ref="B1:X1"/>
  </mergeCells>
  <conditionalFormatting sqref="D97">
    <cfRule type="cellIs" priority="325" operator="equal" dxfId="2">
      <formula>"NO-OOS"</formula>
    </cfRule>
    <cfRule type="cellIs" priority="326" operator="equal" dxfId="1">
      <formula>"NO-CO"</formula>
    </cfRule>
    <cfRule type="cellIs" priority="327" operator="equal" dxfId="0">
      <formula>"YES"</formula>
    </cfRule>
    <cfRule type="cellIs" priority="328" operator="equal" dxfId="1">
      <formula>"NO"</formula>
    </cfRule>
  </conditionalFormatting>
  <conditionalFormatting sqref="I97">
    <cfRule type="cellIs" priority="320" operator="equal" dxfId="2">
      <formula>"NO-OOS"</formula>
    </cfRule>
    <cfRule type="cellIs" priority="321" operator="equal" dxfId="1">
      <formula>"NO-CO"</formula>
    </cfRule>
    <cfRule type="cellIs" priority="322" operator="equal" dxfId="0">
      <formula>"YES"</formula>
    </cfRule>
    <cfRule type="cellIs" priority="323" operator="equal" dxfId="1">
      <formula>"NO"</formula>
    </cfRule>
  </conditionalFormatting>
  <conditionalFormatting sqref="M9:M88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88">
    <cfRule type="cellIs" priority="7" operator="equal" dxfId="2">
      <formula>"NO-OOS"</formula>
    </cfRule>
    <cfRule type="cellIs" priority="8" operator="equal" dxfId="1">
      <formula>"NO-TX"</formula>
    </cfRule>
    <cfRule type="cellIs" priority="9" operator="equal" dxfId="0">
      <formula>"YES"</formula>
    </cfRule>
  </conditionalFormatting>
  <dataValidations xWindow="781" yWindow="325" count="1">
    <dataValidation sqref="D97 I97 X2:X6" showDropDown="0" showInputMessage="1" showErrorMessage="1" allowBlank="1" type="list"/>
  </dataValidations>
  <pageMargins left="0.45" right="0.45" top="0.75" bottom="0.75" header="0.3" footer="0.3"/>
  <pageSetup orientation="portrait" scale="20" fitToHeight="0"/>
</worksheet>
</file>

<file path=xl/worksheets/sheet10.xml><?xml version="1.0" encoding="utf-8"?>
<worksheet xmlns="http://schemas.openxmlformats.org/spreadsheetml/2006/main">
  <sheetPr>
    <tabColor rgb="FFA7FFC4"/>
    <outlinePr summaryBelow="1" summaryRight="1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baseColWidth="8" defaultRowHeight="15"/>
  <cols>
    <col width="9.140625" customWidth="1" style="9" min="2" max="2"/>
    <col width="9" customWidth="1" style="9" min="3" max="3"/>
    <col width="10.140625" bestFit="1" customWidth="1" style="9" min="4" max="4"/>
    <col width="19.140625" customWidth="1" style="103" min="5" max="5"/>
    <col width="16.85546875" customWidth="1" style="27" min="6" max="6"/>
    <col width="18.140625" customWidth="1" style="358" min="7" max="7"/>
    <col width="18.42578125" customWidth="1" style="358" min="8" max="8"/>
    <col width="18.140625" customWidth="1" style="358" min="9" max="9"/>
    <col width="27.140625" customWidth="1" style="358" min="10" max="10"/>
    <col width="17.85546875" customWidth="1" style="358" min="11" max="12"/>
    <col width="27.7109375" customWidth="1" style="422" min="13" max="13"/>
    <col width="15.42578125" customWidth="1" style="358" min="14" max="14"/>
    <col width="37.5703125" customWidth="1" style="32" min="15" max="15"/>
    <col width="31.7109375" customWidth="1" style="32" min="16" max="16"/>
    <col width="15.7109375" customWidth="1" style="32" min="17" max="17"/>
    <col width="10.140625" customWidth="1" style="422" min="18" max="18"/>
    <col width="12.28515625" customWidth="1" style="32" min="19" max="19"/>
    <col width="19.28515625" customWidth="1" style="422" min="20" max="20"/>
    <col width="13" bestFit="1" customWidth="1" style="358" min="21" max="21"/>
    <col width="61.5703125" bestFit="1" customWidth="1" style="32" min="22" max="22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31" t="n"/>
      <c r="Q2" s="31" t="n"/>
      <c r="R2" s="431" t="n"/>
      <c r="S2" s="431" t="n"/>
      <c r="T2" s="431" t="n"/>
      <c r="U2" s="31" t="n"/>
      <c r="V2" s="431" t="n"/>
      <c r="W2" s="31" t="n"/>
    </row>
    <row r="3">
      <c r="D3" s="15" t="n"/>
      <c r="E3" s="23" t="n"/>
      <c r="L3" s="422" t="n"/>
      <c r="N3" s="422" t="n"/>
      <c r="S3" s="422" t="n"/>
      <c r="U3" s="32" t="n"/>
      <c r="W3" s="32" t="n"/>
    </row>
    <row r="4" ht="18.75" customHeight="1" s="358">
      <c r="D4" s="15" t="n"/>
      <c r="E4" s="4" t="n"/>
      <c r="I4" s="4" t="n"/>
      <c r="J4" s="4" t="n"/>
      <c r="K4" s="4" t="n"/>
      <c r="L4" s="5" t="n"/>
      <c r="M4" s="5" t="n"/>
      <c r="N4" s="422" t="n"/>
      <c r="O4" s="4" t="n"/>
      <c r="P4" s="4" t="n"/>
      <c r="Q4" s="4" t="n"/>
      <c r="R4" s="420" t="n"/>
      <c r="S4" s="420" t="n"/>
      <c r="T4" s="420" t="n"/>
      <c r="U4" s="4" t="n"/>
      <c r="V4" s="4" t="n"/>
      <c r="W4" s="4" t="n"/>
      <c r="X4" s="4" t="n"/>
    </row>
    <row r="5" ht="18.75" customHeight="1" s="358">
      <c r="D5" s="15" t="n"/>
      <c r="E5" s="4" t="n"/>
      <c r="I5" s="4" t="n"/>
      <c r="J5" s="4" t="n"/>
      <c r="K5" s="4" t="n"/>
      <c r="L5" s="5" t="n"/>
      <c r="M5" s="5" t="n"/>
      <c r="N5" s="422" t="n"/>
      <c r="O5" s="4" t="n"/>
      <c r="P5" s="4" t="n"/>
      <c r="Q5" s="4" t="n"/>
      <c r="R5" s="420" t="n"/>
      <c r="S5" s="420" t="n"/>
      <c r="T5" s="420" t="inlineStr">
        <is>
          <t>If no Address, please add PDF file of adress obtained from website</t>
        </is>
      </c>
      <c r="U5" s="4" t="n"/>
      <c r="V5" s="4" t="n"/>
      <c r="W5" s="4" t="n"/>
      <c r="X5" s="4" t="n"/>
    </row>
    <row r="6" ht="18.75" customFormat="1" customHeight="1" s="7">
      <c r="B6" s="292" t="inlineStr">
        <is>
          <t>ITEM #</t>
        </is>
      </c>
      <c r="C6" s="292" t="inlineStr">
        <is>
          <t>PO #</t>
        </is>
      </c>
      <c r="D6" s="292" t="inlineStr">
        <is>
          <t>Env #</t>
        </is>
      </c>
      <c r="E6" s="293" t="inlineStr">
        <is>
          <t>Line #</t>
        </is>
      </c>
      <c r="F6" s="294" t="inlineStr">
        <is>
          <t>Receipt Date</t>
        </is>
      </c>
      <c r="G6" s="297" t="inlineStr">
        <is>
          <t>Petty $ Amount</t>
        </is>
      </c>
      <c r="H6" s="542" t="inlineStr">
        <is>
          <t>Total Ineligible</t>
        </is>
      </c>
      <c r="I6" s="297" t="inlineStr">
        <is>
          <t>Qualified Total</t>
        </is>
      </c>
      <c r="J6" s="297" t="inlineStr">
        <is>
          <t>Name</t>
        </is>
      </c>
      <c r="K6" s="295" t="inlineStr">
        <is>
          <t>Pymt Method</t>
        </is>
      </c>
      <c r="L6" s="295" t="inlineStr">
        <is>
          <t>Payment Entity</t>
        </is>
      </c>
      <c r="M6" s="295" t="inlineStr">
        <is>
          <t>Vendor</t>
        </is>
      </c>
      <c r="N6" s="295" t="inlineStr">
        <is>
          <t>Type</t>
        </is>
      </c>
      <c r="O6" s="295" t="inlineStr">
        <is>
          <t>Description</t>
        </is>
      </c>
      <c r="P6" s="295" t="inlineStr">
        <is>
          <t>Address</t>
        </is>
      </c>
      <c r="Q6" s="295" t="inlineStr">
        <is>
          <t xml:space="preserve">City </t>
        </is>
      </c>
      <c r="R6" s="295" t="inlineStr">
        <is>
          <t>State</t>
        </is>
      </c>
      <c r="S6" s="295" t="inlineStr">
        <is>
          <t>Zip</t>
        </is>
      </c>
      <c r="T6" s="295" t="inlineStr">
        <is>
          <t>Contact #</t>
        </is>
      </c>
      <c r="U6" s="295" t="inlineStr">
        <is>
          <t>Qualify?</t>
        </is>
      </c>
      <c r="V6" s="295" t="inlineStr">
        <is>
          <t>Notes</t>
        </is>
      </c>
    </row>
    <row r="7">
      <c r="B7" s="11" t="n">
        <v>1</v>
      </c>
      <c r="C7" s="11" t="n"/>
      <c r="D7" s="29" t="n"/>
      <c r="E7" s="29" t="n"/>
      <c r="F7" s="553" t="n"/>
      <c r="G7" s="554" t="n"/>
      <c r="H7" s="555" t="n"/>
      <c r="I7" s="554" t="n"/>
      <c r="J7" s="36" t="n"/>
      <c r="K7" s="1" t="n"/>
      <c r="L7" s="1" t="n"/>
      <c r="M7" s="1" t="n"/>
      <c r="N7" s="554" t="n"/>
      <c r="O7" s="1" t="n"/>
      <c r="P7" s="1" t="n"/>
      <c r="Q7" s="29" t="n"/>
      <c r="R7" s="29" t="n"/>
      <c r="S7" s="73" t="n"/>
      <c r="T7" s="543" t="n"/>
      <c r="U7" s="43" t="n"/>
      <c r="V7" s="1" t="n"/>
    </row>
    <row r="8">
      <c r="B8" s="11" t="n">
        <v>2</v>
      </c>
      <c r="C8" s="11" t="n"/>
      <c r="D8" s="29" t="n"/>
      <c r="E8" s="29" t="n"/>
      <c r="F8" s="553" t="n"/>
      <c r="G8" s="554" t="n"/>
      <c r="H8" s="555" t="n"/>
      <c r="I8" s="554" t="n"/>
      <c r="J8" s="36" t="n"/>
      <c r="K8" s="1" t="n"/>
      <c r="L8" s="1" t="n"/>
      <c r="M8" s="1" t="n"/>
      <c r="N8" s="554" t="n"/>
      <c r="O8" s="1" t="n"/>
      <c r="P8" s="1" t="n"/>
      <c r="Q8" s="29" t="n"/>
      <c r="R8" s="29" t="n"/>
      <c r="S8" s="73" t="n"/>
      <c r="T8" s="543" t="n"/>
      <c r="U8" s="43" t="n"/>
      <c r="V8" s="1" t="n"/>
    </row>
    <row r="9">
      <c r="B9" s="11" t="n">
        <v>3</v>
      </c>
      <c r="C9" s="11" t="n"/>
      <c r="D9" s="29" t="n"/>
      <c r="E9" s="29" t="n"/>
      <c r="F9" s="553" t="n"/>
      <c r="G9" s="554" t="n"/>
      <c r="H9" s="555" t="n"/>
      <c r="I9" s="554" t="n"/>
      <c r="J9" s="36" t="n"/>
      <c r="K9" s="1" t="n"/>
      <c r="L9" s="1" t="n"/>
      <c r="M9" s="1" t="n"/>
      <c r="N9" s="554" t="n"/>
      <c r="O9" s="1" t="n"/>
      <c r="P9" s="1" t="n"/>
      <c r="Q9" s="29" t="n"/>
      <c r="R9" s="29" t="n"/>
      <c r="S9" s="73" t="n"/>
      <c r="T9" s="543" t="n"/>
      <c r="U9" s="43" t="n"/>
      <c r="V9" s="1" t="n"/>
    </row>
    <row r="10">
      <c r="B10" s="11" t="n">
        <v>4</v>
      </c>
      <c r="C10" s="11" t="n"/>
      <c r="D10" s="29" t="n"/>
      <c r="E10" s="29" t="n"/>
      <c r="F10" s="553" t="n"/>
      <c r="G10" s="554" t="n"/>
      <c r="H10" s="555" t="n"/>
      <c r="I10" s="554" t="n"/>
      <c r="J10" s="36" t="n"/>
      <c r="K10" s="1" t="n"/>
      <c r="L10" s="1" t="n"/>
      <c r="M10" s="1" t="n"/>
      <c r="N10" s="554" t="n"/>
      <c r="O10" s="1" t="n"/>
      <c r="P10" s="1" t="n"/>
      <c r="Q10" s="29" t="n"/>
      <c r="R10" s="29" t="n"/>
      <c r="S10" s="73" t="n"/>
      <c r="T10" s="543" t="n"/>
      <c r="U10" s="43" t="n"/>
      <c r="V10" s="1" t="n"/>
    </row>
    <row r="11">
      <c r="B11" s="11" t="n">
        <v>5</v>
      </c>
      <c r="C11" s="11" t="n"/>
      <c r="D11" s="29" t="n"/>
      <c r="E11" s="29" t="n"/>
      <c r="F11" s="553" t="n"/>
      <c r="G11" s="554" t="n"/>
      <c r="H11" s="555" t="n"/>
      <c r="I11" s="554" t="n"/>
      <c r="J11" s="36" t="n"/>
      <c r="K11" s="1" t="n"/>
      <c r="L11" s="1" t="n"/>
      <c r="M11" s="1" t="n"/>
      <c r="N11" s="554" t="n"/>
      <c r="O11" s="1" t="n"/>
      <c r="P11" s="1" t="n"/>
      <c r="Q11" s="29" t="n"/>
      <c r="R11" s="29" t="n"/>
      <c r="S11" s="73" t="n"/>
      <c r="T11" s="543" t="n"/>
      <c r="U11" s="43" t="n"/>
      <c r="V11" s="1" t="n"/>
    </row>
    <row r="12">
      <c r="B12" s="11" t="n">
        <v>6</v>
      </c>
      <c r="C12" s="11" t="n"/>
      <c r="D12" s="29" t="n"/>
      <c r="E12" s="29" t="n"/>
      <c r="F12" s="553" t="n"/>
      <c r="G12" s="554" t="n"/>
      <c r="H12" s="555" t="n"/>
      <c r="I12" s="554" t="n"/>
      <c r="J12" s="36" t="n"/>
      <c r="K12" s="1" t="n"/>
      <c r="L12" s="1" t="n"/>
      <c r="M12" s="1" t="n"/>
      <c r="N12" s="554" t="n"/>
      <c r="O12" s="1" t="n"/>
      <c r="P12" s="1" t="n"/>
      <c r="Q12" s="29" t="n"/>
      <c r="R12" s="29" t="n"/>
      <c r="S12" s="73" t="n"/>
      <c r="T12" s="543" t="n"/>
      <c r="U12" s="43" t="n"/>
      <c r="V12" s="1" t="n"/>
    </row>
    <row r="13">
      <c r="B13" s="11" t="n">
        <v>7</v>
      </c>
      <c r="C13" s="11" t="n"/>
      <c r="D13" s="29" t="n"/>
      <c r="E13" s="29" t="n"/>
      <c r="F13" s="553" t="n"/>
      <c r="G13" s="554" t="n"/>
      <c r="H13" s="555" t="n"/>
      <c r="I13" s="554" t="n"/>
      <c r="J13" s="36" t="n"/>
      <c r="K13" s="1" t="n"/>
      <c r="L13" s="1" t="n"/>
      <c r="M13" s="1" t="n"/>
      <c r="N13" s="554" t="n"/>
      <c r="O13" s="1" t="n"/>
      <c r="P13" s="1" t="n"/>
      <c r="Q13" s="29" t="n"/>
      <c r="R13" s="29" t="n"/>
      <c r="S13" s="73" t="n"/>
      <c r="T13" s="543" t="n"/>
      <c r="U13" s="43" t="n"/>
      <c r="V13" s="1" t="n"/>
    </row>
    <row r="14">
      <c r="B14" s="11" t="n">
        <v>8</v>
      </c>
      <c r="C14" s="11" t="n"/>
      <c r="D14" s="29" t="n"/>
      <c r="E14" s="29" t="n"/>
      <c r="F14" s="553" t="n"/>
      <c r="G14" s="554" t="n"/>
      <c r="H14" s="555" t="n"/>
      <c r="I14" s="554" t="n"/>
      <c r="J14" s="36" t="n"/>
      <c r="K14" s="1" t="n"/>
      <c r="L14" s="1" t="n"/>
      <c r="M14" s="1" t="n"/>
      <c r="N14" s="554" t="n"/>
      <c r="O14" s="1" t="n"/>
      <c r="P14" s="1" t="n"/>
      <c r="Q14" s="29" t="n"/>
      <c r="R14" s="29" t="n"/>
      <c r="S14" s="73" t="n"/>
      <c r="T14" s="543" t="n"/>
      <c r="U14" s="43" t="n"/>
      <c r="V14" s="1" t="n"/>
    </row>
    <row r="15">
      <c r="B15" s="11" t="n">
        <v>9</v>
      </c>
      <c r="C15" s="11" t="n"/>
      <c r="D15" s="29" t="n"/>
      <c r="E15" s="29" t="n"/>
      <c r="F15" s="553" t="n"/>
      <c r="G15" s="554" t="n"/>
      <c r="H15" s="555" t="n"/>
      <c r="I15" s="554" t="n"/>
      <c r="J15" s="36" t="n"/>
      <c r="K15" s="1" t="n"/>
      <c r="L15" s="1" t="n"/>
      <c r="M15" s="1" t="n"/>
      <c r="N15" s="554" t="n"/>
      <c r="O15" s="1" t="n"/>
      <c r="P15" s="1" t="n"/>
      <c r="Q15" s="29" t="n"/>
      <c r="R15" s="29" t="n"/>
      <c r="S15" s="73" t="n"/>
      <c r="T15" s="543" t="n"/>
      <c r="U15" s="43" t="n"/>
      <c r="V15" s="317" t="n"/>
    </row>
    <row r="16">
      <c r="B16" s="11" t="n">
        <v>10</v>
      </c>
      <c r="C16" s="11" t="n"/>
      <c r="D16" s="29" t="n"/>
      <c r="E16" s="29" t="n"/>
      <c r="F16" s="553" t="n"/>
      <c r="G16" s="554" t="n"/>
      <c r="H16" s="555" t="n"/>
      <c r="I16" s="554" t="n"/>
      <c r="J16" s="36" t="n"/>
      <c r="K16" s="1" t="n"/>
      <c r="L16" s="1" t="n"/>
      <c r="M16" s="1" t="n"/>
      <c r="N16" s="554" t="n"/>
      <c r="O16" s="1" t="n"/>
      <c r="P16" s="1" t="n"/>
      <c r="Q16" s="29" t="n"/>
      <c r="R16" s="29" t="n"/>
      <c r="S16" s="73" t="n"/>
      <c r="T16" s="543" t="n"/>
      <c r="U16" s="43" t="n"/>
      <c r="V16" s="1" t="n"/>
    </row>
    <row r="17">
      <c r="B17" s="11" t="n">
        <v>11</v>
      </c>
      <c r="C17" s="11" t="n"/>
      <c r="D17" s="29" t="n"/>
      <c r="E17" s="29" t="n"/>
      <c r="F17" s="553" t="n"/>
      <c r="G17" s="554" t="n"/>
      <c r="H17" s="555" t="n"/>
      <c r="I17" s="554" t="n"/>
      <c r="J17" s="36" t="n"/>
      <c r="K17" s="1" t="n"/>
      <c r="L17" s="1" t="n"/>
      <c r="M17" s="1" t="n"/>
      <c r="N17" s="554" t="n"/>
      <c r="O17" s="1" t="n"/>
      <c r="P17" s="1" t="n"/>
      <c r="Q17" s="29" t="n"/>
      <c r="R17" s="29" t="n"/>
      <c r="S17" s="73" t="n"/>
      <c r="T17" s="543" t="n"/>
      <c r="U17" s="43" t="n"/>
      <c r="V17" s="1" t="n"/>
    </row>
    <row r="18">
      <c r="B18" s="11" t="n">
        <v>12</v>
      </c>
      <c r="C18" s="11" t="n"/>
      <c r="D18" s="29" t="n"/>
      <c r="E18" s="29" t="n"/>
      <c r="F18" s="553" t="n"/>
      <c r="G18" s="554" t="n"/>
      <c r="H18" s="555" t="n"/>
      <c r="I18" s="554" t="n"/>
      <c r="J18" s="36" t="n"/>
      <c r="K18" s="1" t="n"/>
      <c r="L18" s="1" t="n"/>
      <c r="M18" s="1" t="n"/>
      <c r="N18" s="554" t="n"/>
      <c r="O18" s="1" t="n"/>
      <c r="P18" s="1" t="n"/>
      <c r="Q18" s="29" t="n"/>
      <c r="R18" s="29" t="n"/>
      <c r="S18" s="73" t="n"/>
      <c r="T18" s="543" t="n"/>
      <c r="U18" s="43" t="n"/>
      <c r="V18" s="1" t="n"/>
    </row>
    <row r="19">
      <c r="B19" s="11" t="n">
        <v>13</v>
      </c>
      <c r="C19" s="11" t="n"/>
      <c r="D19" s="29" t="n"/>
      <c r="E19" s="29" t="n"/>
      <c r="F19" s="553" t="n"/>
      <c r="G19" s="554" t="n"/>
      <c r="H19" s="555" t="n"/>
      <c r="I19" s="554" t="n"/>
      <c r="J19" s="36" t="n"/>
      <c r="K19" s="1" t="n"/>
      <c r="L19" s="1" t="n"/>
      <c r="M19" s="1" t="n"/>
      <c r="N19" s="554" t="n"/>
      <c r="O19" s="1" t="n"/>
      <c r="P19" s="1" t="n"/>
      <c r="Q19" s="29" t="n"/>
      <c r="R19" s="29" t="n"/>
      <c r="S19" s="73" t="n"/>
      <c r="T19" s="543" t="n"/>
      <c r="U19" s="43" t="n"/>
      <c r="V19" s="317" t="n"/>
    </row>
    <row r="20">
      <c r="B20" s="11" t="n">
        <v>14</v>
      </c>
      <c r="C20" s="11" t="n"/>
      <c r="D20" s="29" t="n"/>
      <c r="E20" s="29" t="n"/>
      <c r="F20" s="553" t="n"/>
      <c r="G20" s="554" t="n"/>
      <c r="H20" s="555" t="n"/>
      <c r="I20" s="554" t="n"/>
      <c r="J20" s="36" t="n"/>
      <c r="K20" s="1" t="n"/>
      <c r="L20" s="1" t="n"/>
      <c r="M20" s="1" t="n"/>
      <c r="N20" s="554" t="n"/>
      <c r="O20" s="1" t="n"/>
      <c r="P20" s="1" t="n"/>
      <c r="Q20" s="29" t="n"/>
      <c r="R20" s="29" t="n"/>
      <c r="S20" s="73" t="n"/>
      <c r="T20" s="543" t="n"/>
      <c r="U20" s="43" t="n"/>
      <c r="V20" s="1" t="n"/>
    </row>
    <row r="21">
      <c r="B21" s="11" t="n">
        <v>15</v>
      </c>
      <c r="C21" s="11" t="n"/>
      <c r="D21" s="29" t="n"/>
      <c r="E21" s="29" t="n"/>
      <c r="F21" s="553" t="n"/>
      <c r="G21" s="554" t="n"/>
      <c r="H21" s="555" t="n"/>
      <c r="I21" s="554" t="n"/>
      <c r="J21" s="36" t="n"/>
      <c r="K21" s="1" t="n"/>
      <c r="L21" s="1" t="n"/>
      <c r="M21" s="1" t="n"/>
      <c r="N21" s="554" t="n"/>
      <c r="O21" s="1" t="n"/>
      <c r="P21" s="1" t="n"/>
      <c r="Q21" s="29" t="n"/>
      <c r="R21" s="29" t="n"/>
      <c r="S21" s="73" t="n"/>
      <c r="T21" s="543" t="n"/>
      <c r="U21" s="43" t="n"/>
      <c r="V21" s="1" t="n"/>
    </row>
    <row r="22">
      <c r="B22" s="11" t="n">
        <v>16</v>
      </c>
      <c r="C22" s="11" t="n"/>
      <c r="D22" s="29" t="n"/>
      <c r="E22" s="29" t="n"/>
      <c r="F22" s="553" t="n"/>
      <c r="G22" s="554" t="n"/>
      <c r="H22" s="555" t="n"/>
      <c r="I22" s="554" t="n"/>
      <c r="J22" s="36" t="n"/>
      <c r="K22" s="1" t="n"/>
      <c r="L22" s="1" t="n"/>
      <c r="M22" s="1" t="n"/>
      <c r="N22" s="554" t="n"/>
      <c r="O22" s="1" t="n"/>
      <c r="P22" s="1" t="n"/>
      <c r="Q22" s="29" t="n"/>
      <c r="R22" s="29" t="n"/>
      <c r="S22" s="73" t="n"/>
      <c r="T22" s="543" t="n"/>
      <c r="U22" s="43" t="n"/>
      <c r="V22" s="1" t="n"/>
    </row>
    <row r="23">
      <c r="B23" s="11" t="n">
        <v>17</v>
      </c>
      <c r="C23" s="11" t="n"/>
      <c r="D23" s="29" t="n"/>
      <c r="E23" s="29" t="n"/>
      <c r="F23" s="553" t="n"/>
      <c r="G23" s="554" t="n"/>
      <c r="H23" s="555" t="n"/>
      <c r="I23" s="554" t="n"/>
      <c r="J23" s="36" t="n"/>
      <c r="K23" s="1" t="n"/>
      <c r="L23" s="1" t="n"/>
      <c r="M23" s="1" t="n"/>
      <c r="N23" s="554" t="n"/>
      <c r="O23" s="1" t="n"/>
      <c r="P23" s="1" t="n"/>
      <c r="Q23" s="29" t="n"/>
      <c r="R23" s="29" t="n"/>
      <c r="S23" s="73" t="n"/>
      <c r="T23" s="543" t="n"/>
      <c r="U23" s="43" t="n"/>
      <c r="V23" s="1" t="n"/>
    </row>
    <row r="24">
      <c r="B24" s="11" t="n">
        <v>18</v>
      </c>
      <c r="C24" s="11" t="n"/>
      <c r="D24" s="29" t="n"/>
      <c r="E24" s="29" t="n"/>
      <c r="F24" s="553" t="n"/>
      <c r="G24" s="554" t="n"/>
      <c r="H24" s="555" t="n"/>
      <c r="I24" s="554" t="n"/>
      <c r="J24" s="36" t="n"/>
      <c r="K24" s="1" t="n"/>
      <c r="L24" s="1" t="n"/>
      <c r="M24" s="1" t="n"/>
      <c r="N24" s="554" t="n"/>
      <c r="O24" s="1" t="n"/>
      <c r="P24" s="1" t="n"/>
      <c r="Q24" s="29" t="n"/>
      <c r="R24" s="29" t="n"/>
      <c r="S24" s="73" t="n"/>
      <c r="T24" s="543" t="n"/>
      <c r="U24" s="43" t="n"/>
      <c r="V24" s="1" t="n"/>
    </row>
    <row r="25">
      <c r="B25" s="11" t="n">
        <v>19</v>
      </c>
      <c r="C25" s="11" t="n"/>
      <c r="D25" s="29" t="n"/>
      <c r="E25" s="29" t="n"/>
      <c r="F25" s="553" t="n"/>
      <c r="G25" s="554" t="n"/>
      <c r="H25" s="555" t="n"/>
      <c r="I25" s="554" t="n"/>
      <c r="J25" s="36" t="n"/>
      <c r="K25" s="1" t="n"/>
      <c r="L25" s="1" t="n"/>
      <c r="M25" s="1" t="n"/>
      <c r="N25" s="554" t="n"/>
      <c r="O25" s="1" t="n"/>
      <c r="P25" s="1" t="n"/>
      <c r="Q25" s="29" t="n"/>
      <c r="R25" s="29" t="n"/>
      <c r="S25" s="73" t="n"/>
      <c r="T25" s="543" t="n"/>
      <c r="U25" s="43" t="n"/>
      <c r="V25" s="1" t="n"/>
    </row>
    <row r="26">
      <c r="B26" s="11" t="n">
        <v>20</v>
      </c>
      <c r="C26" s="11" t="n"/>
      <c r="D26" s="29" t="n"/>
      <c r="E26" s="29" t="n"/>
      <c r="F26" s="553" t="n"/>
      <c r="G26" s="554" t="n"/>
      <c r="H26" s="555" t="n"/>
      <c r="I26" s="554" t="n"/>
      <c r="J26" s="36" t="n"/>
      <c r="K26" s="1" t="n"/>
      <c r="L26" s="1" t="n"/>
      <c r="M26" s="1" t="n"/>
      <c r="N26" s="554" t="n"/>
      <c r="O26" s="1" t="n"/>
      <c r="P26" s="1" t="n"/>
      <c r="Q26" s="29" t="n"/>
      <c r="R26" s="29" t="n"/>
      <c r="S26" s="73" t="n"/>
      <c r="T26" s="543" t="n"/>
      <c r="U26" s="43" t="n"/>
      <c r="V26" s="1" t="n"/>
    </row>
    <row r="27">
      <c r="B27" s="11" t="n">
        <v>21</v>
      </c>
      <c r="C27" s="11" t="n"/>
      <c r="D27" s="29" t="n"/>
      <c r="E27" s="29" t="n"/>
      <c r="F27" s="553" t="n"/>
      <c r="G27" s="554" t="n"/>
      <c r="H27" s="555" t="n"/>
      <c r="I27" s="554" t="n"/>
      <c r="J27" s="36" t="n"/>
      <c r="K27" s="1" t="n"/>
      <c r="L27" s="1" t="n"/>
      <c r="M27" s="1" t="n"/>
      <c r="N27" s="554" t="n"/>
      <c r="O27" s="1" t="n"/>
      <c r="P27" s="1" t="n"/>
      <c r="Q27" s="29" t="n"/>
      <c r="R27" s="29" t="n"/>
      <c r="S27" s="73" t="n"/>
      <c r="T27" s="543" t="n"/>
      <c r="U27" s="43" t="n"/>
      <c r="V27" s="1" t="n"/>
    </row>
    <row r="28">
      <c r="B28" s="11" t="n">
        <v>22</v>
      </c>
      <c r="C28" s="11" t="n"/>
      <c r="D28" s="29" t="n"/>
      <c r="E28" s="29" t="n"/>
      <c r="F28" s="553" t="n"/>
      <c r="G28" s="554" t="n"/>
      <c r="H28" s="555" t="n"/>
      <c r="I28" s="554" t="n"/>
      <c r="J28" s="36" t="n"/>
      <c r="K28" s="1" t="n"/>
      <c r="L28" s="1" t="n"/>
      <c r="M28" s="1" t="n"/>
      <c r="N28" s="554" t="n"/>
      <c r="O28" s="1" t="n"/>
      <c r="P28" s="1" t="n"/>
      <c r="Q28" s="29" t="n"/>
      <c r="R28" s="29" t="n"/>
      <c r="S28" s="73" t="n"/>
      <c r="T28" s="543" t="n"/>
      <c r="U28" s="43" t="n"/>
      <c r="V28" s="1" t="n"/>
    </row>
    <row r="29">
      <c r="B29" s="11" t="n">
        <v>23</v>
      </c>
      <c r="C29" s="11" t="n"/>
      <c r="D29" s="29" t="n"/>
      <c r="E29" s="29" t="n"/>
      <c r="F29" s="553" t="n"/>
      <c r="G29" s="554" t="n"/>
      <c r="H29" s="555" t="n"/>
      <c r="I29" s="554" t="n"/>
      <c r="J29" s="36" t="n"/>
      <c r="K29" s="1" t="n"/>
      <c r="L29" s="1" t="n"/>
      <c r="M29" s="1" t="n"/>
      <c r="N29" s="554" t="n"/>
      <c r="O29" s="1" t="n"/>
      <c r="P29" s="1" t="n"/>
      <c r="Q29" s="29" t="n"/>
      <c r="R29" s="29" t="n"/>
      <c r="S29" s="73" t="n"/>
      <c r="T29" s="543" t="n"/>
      <c r="U29" s="43" t="n"/>
      <c r="V29" s="1" t="n"/>
    </row>
    <row r="30">
      <c r="B30" s="11" t="n">
        <v>24</v>
      </c>
      <c r="C30" s="11" t="n"/>
      <c r="D30" s="29" t="n"/>
      <c r="E30" s="29" t="n"/>
      <c r="F30" s="553" t="n"/>
      <c r="G30" s="554" t="n"/>
      <c r="H30" s="555" t="n"/>
      <c r="I30" s="554" t="n"/>
      <c r="J30" s="36" t="n"/>
      <c r="K30" s="1" t="n"/>
      <c r="L30" s="1" t="n"/>
      <c r="M30" s="1" t="n"/>
      <c r="N30" s="554" t="n"/>
      <c r="O30" s="1" t="n"/>
      <c r="P30" s="1" t="n"/>
      <c r="Q30" s="29" t="n"/>
      <c r="R30" s="29" t="n"/>
      <c r="S30" s="73" t="n"/>
      <c r="T30" s="543" t="n"/>
      <c r="U30" s="43" t="n"/>
      <c r="V30" s="1" t="n"/>
    </row>
    <row r="31">
      <c r="B31" s="11" t="n">
        <v>25</v>
      </c>
      <c r="C31" s="11" t="n"/>
      <c r="D31" s="29" t="n"/>
      <c r="E31" s="29" t="n"/>
      <c r="F31" s="553" t="n"/>
      <c r="G31" s="554" t="n"/>
      <c r="H31" s="555" t="n"/>
      <c r="I31" s="554" t="n"/>
      <c r="J31" s="36" t="n"/>
      <c r="K31" s="1" t="n"/>
      <c r="L31" s="1" t="n"/>
      <c r="M31" s="1" t="n"/>
      <c r="N31" s="554" t="n"/>
      <c r="O31" s="1" t="n"/>
      <c r="P31" s="1" t="n"/>
      <c r="Q31" s="29" t="n"/>
      <c r="R31" s="29" t="n"/>
      <c r="S31" s="73" t="n"/>
      <c r="T31" s="543" t="n"/>
      <c r="U31" s="43" t="n"/>
      <c r="V31" s="1" t="n"/>
    </row>
    <row r="32">
      <c r="B32" s="11" t="n">
        <v>26</v>
      </c>
      <c r="C32" s="11" t="n"/>
      <c r="D32" s="29" t="n"/>
      <c r="E32" s="29" t="n"/>
      <c r="F32" s="553" t="n"/>
      <c r="G32" s="554" t="n"/>
      <c r="H32" s="555" t="n"/>
      <c r="I32" s="554" t="n"/>
      <c r="J32" s="36" t="n"/>
      <c r="K32" s="1" t="n"/>
      <c r="L32" s="1" t="n"/>
      <c r="M32" s="1" t="n"/>
      <c r="N32" s="554" t="n"/>
      <c r="O32" s="1" t="n"/>
      <c r="P32" s="1" t="n"/>
      <c r="Q32" s="29" t="n"/>
      <c r="R32" s="29" t="n"/>
      <c r="S32" s="29" t="n"/>
      <c r="T32" s="543" t="n"/>
      <c r="U32" s="43" t="n"/>
      <c r="V32" s="1" t="n"/>
    </row>
    <row r="33">
      <c r="B33" s="11" t="n">
        <v>27</v>
      </c>
      <c r="C33" s="11" t="n"/>
      <c r="D33" s="29" t="n"/>
      <c r="E33" s="29" t="n"/>
      <c r="F33" s="553" t="n"/>
      <c r="G33" s="554" t="n"/>
      <c r="H33" s="555" t="n"/>
      <c r="I33" s="554" t="n"/>
      <c r="J33" s="36" t="n"/>
      <c r="K33" s="1" t="n"/>
      <c r="L33" s="1" t="n"/>
      <c r="M33" s="1" t="n"/>
      <c r="N33" s="554" t="n"/>
      <c r="O33" s="1" t="n"/>
      <c r="P33" s="1" t="n"/>
      <c r="Q33" s="29" t="n"/>
      <c r="R33" s="29" t="n"/>
      <c r="S33" s="29" t="n"/>
      <c r="T33" s="543" t="n"/>
      <c r="U33" s="43" t="n"/>
      <c r="V33" s="1" t="n"/>
    </row>
    <row r="34">
      <c r="B34" s="11" t="n">
        <v>28</v>
      </c>
      <c r="C34" s="11" t="n"/>
      <c r="D34" s="29" t="n"/>
      <c r="E34" s="29" t="n"/>
      <c r="F34" s="553" t="n"/>
      <c r="G34" s="554" t="n"/>
      <c r="H34" s="555" t="n"/>
      <c r="I34" s="554" t="n"/>
      <c r="J34" s="36" t="n"/>
      <c r="K34" s="1" t="n"/>
      <c r="L34" s="1" t="n"/>
      <c r="M34" s="1" t="n"/>
      <c r="N34" s="554" t="n"/>
      <c r="O34" s="1" t="n"/>
      <c r="P34" s="1" t="n"/>
      <c r="Q34" s="29" t="n"/>
      <c r="R34" s="29" t="n"/>
      <c r="S34" s="73" t="n"/>
      <c r="T34" s="543" t="n"/>
      <c r="U34" s="43" t="n"/>
      <c r="V34" s="1" t="n"/>
    </row>
    <row r="35">
      <c r="B35" s="11" t="n">
        <v>29</v>
      </c>
      <c r="C35" s="11" t="n"/>
      <c r="D35" s="29" t="n"/>
      <c r="E35" s="29" t="n"/>
      <c r="F35" s="553" t="n"/>
      <c r="G35" s="554" t="n"/>
      <c r="H35" s="555" t="n"/>
      <c r="I35" s="554" t="n"/>
      <c r="J35" s="36" t="n"/>
      <c r="K35" s="1" t="n"/>
      <c r="L35" s="1" t="n"/>
      <c r="M35" s="1" t="n"/>
      <c r="N35" s="554" t="n"/>
      <c r="O35" s="1" t="n"/>
      <c r="P35" s="1" t="n"/>
      <c r="Q35" s="29" t="n"/>
      <c r="R35" s="29" t="n"/>
      <c r="S35" s="73" t="n"/>
      <c r="T35" s="543" t="n"/>
      <c r="U35" s="43" t="n"/>
      <c r="V35" s="1" t="n"/>
    </row>
    <row r="36">
      <c r="B36" s="11" t="n">
        <v>30</v>
      </c>
      <c r="C36" s="11" t="n"/>
      <c r="D36" s="29" t="n"/>
      <c r="E36" s="29" t="n"/>
      <c r="F36" s="553" t="n"/>
      <c r="G36" s="554" t="n"/>
      <c r="H36" s="555" t="n"/>
      <c r="I36" s="554" t="n"/>
      <c r="J36" s="36" t="n"/>
      <c r="K36" s="1" t="n"/>
      <c r="L36" s="1" t="n"/>
      <c r="M36" s="1" t="n"/>
      <c r="N36" s="554" t="n"/>
      <c r="O36" s="1" t="n"/>
      <c r="P36" s="1" t="n"/>
      <c r="Q36" s="29" t="n"/>
      <c r="R36" s="29" t="n"/>
      <c r="S36" s="73" t="n"/>
      <c r="T36" s="543" t="n"/>
      <c r="U36" s="43" t="n"/>
      <c r="V36" s="1" t="n"/>
    </row>
    <row r="37">
      <c r="B37" s="11" t="n">
        <v>31</v>
      </c>
      <c r="C37" s="11" t="n"/>
      <c r="D37" s="29" t="n"/>
      <c r="E37" s="29" t="n"/>
      <c r="F37" s="553" t="n"/>
      <c r="G37" s="554" t="n"/>
      <c r="H37" s="555" t="n"/>
      <c r="I37" s="554" t="n"/>
      <c r="J37" s="36" t="n"/>
      <c r="K37" s="1" t="n"/>
      <c r="L37" s="1" t="n"/>
      <c r="M37" s="1" t="n"/>
      <c r="N37" s="554" t="n"/>
      <c r="O37" s="1" t="n"/>
      <c r="P37" s="1" t="n"/>
      <c r="Q37" s="29" t="n"/>
      <c r="R37" s="29" t="n"/>
      <c r="S37" s="73" t="n"/>
      <c r="T37" s="543" t="n"/>
      <c r="U37" s="43" t="n"/>
      <c r="V37" s="1" t="n"/>
    </row>
    <row r="38">
      <c r="B38" s="11" t="n">
        <v>32</v>
      </c>
      <c r="C38" s="11" t="n"/>
      <c r="D38" s="29" t="n"/>
      <c r="E38" s="29" t="n"/>
      <c r="F38" s="553" t="n"/>
      <c r="G38" s="554" t="n"/>
      <c r="H38" s="555" t="n"/>
      <c r="I38" s="554" t="n"/>
      <c r="J38" s="36" t="n"/>
      <c r="K38" s="1" t="n"/>
      <c r="L38" s="1" t="n"/>
      <c r="M38" s="1" t="n"/>
      <c r="N38" s="554" t="n"/>
      <c r="O38" s="1" t="n"/>
      <c r="P38" s="1" t="n"/>
      <c r="Q38" s="29" t="n"/>
      <c r="R38" s="29" t="n"/>
      <c r="S38" s="73" t="n"/>
      <c r="T38" s="543" t="n"/>
      <c r="U38" s="43" t="n"/>
      <c r="V38" s="1" t="n"/>
    </row>
    <row r="39">
      <c r="B39" s="11" t="n">
        <v>33</v>
      </c>
      <c r="C39" s="11" t="n"/>
      <c r="D39" s="29" t="n"/>
      <c r="E39" s="29" t="n"/>
      <c r="F39" s="553" t="n"/>
      <c r="G39" s="554" t="n"/>
      <c r="H39" s="555" t="n"/>
      <c r="I39" s="554" t="n"/>
      <c r="J39" s="36" t="n"/>
      <c r="K39" s="1" t="n"/>
      <c r="L39" s="1" t="n"/>
      <c r="M39" s="1" t="n"/>
      <c r="N39" s="554" t="n"/>
      <c r="O39" s="1" t="n"/>
      <c r="P39" s="1" t="n"/>
      <c r="Q39" s="29" t="n"/>
      <c r="R39" s="29" t="n"/>
      <c r="S39" s="29" t="n"/>
      <c r="T39" s="543" t="n"/>
      <c r="U39" s="43" t="n"/>
      <c r="V39" s="1" t="n"/>
    </row>
    <row r="40">
      <c r="B40" s="11" t="n">
        <v>34</v>
      </c>
      <c r="C40" s="11" t="n"/>
      <c r="D40" s="29" t="n"/>
      <c r="E40" s="29" t="n"/>
      <c r="F40" s="553" t="n"/>
      <c r="G40" s="554" t="n"/>
      <c r="H40" s="555" t="n"/>
      <c r="I40" s="554" t="n"/>
      <c r="J40" s="36" t="n"/>
      <c r="K40" s="1" t="n"/>
      <c r="L40" s="1" t="n"/>
      <c r="M40" s="1" t="n"/>
      <c r="N40" s="554" t="n"/>
      <c r="O40" s="1" t="n"/>
      <c r="P40" s="1" t="n"/>
      <c r="Q40" s="29" t="n"/>
      <c r="R40" s="29" t="n"/>
      <c r="S40" s="29" t="n"/>
      <c r="T40" s="543" t="n"/>
      <c r="U40" s="43" t="n"/>
      <c r="V40" s="1" t="n"/>
    </row>
    <row r="41">
      <c r="B41" s="11" t="n">
        <v>35</v>
      </c>
      <c r="C41" s="11" t="n"/>
      <c r="D41" s="29" t="n"/>
      <c r="E41" s="29" t="n"/>
      <c r="F41" s="553" t="n"/>
      <c r="G41" s="554" t="n"/>
      <c r="H41" s="555" t="n"/>
      <c r="I41" s="554" t="n"/>
      <c r="J41" s="36" t="n"/>
      <c r="K41" s="1" t="n"/>
      <c r="L41" s="1" t="n"/>
      <c r="M41" s="1" t="n"/>
      <c r="N41" s="554" t="n"/>
      <c r="O41" s="1" t="n"/>
      <c r="P41" s="1" t="n"/>
      <c r="Q41" s="29" t="n"/>
      <c r="R41" s="29" t="n"/>
      <c r="S41" s="29" t="n"/>
      <c r="T41" s="543" t="n"/>
      <c r="U41" s="43" t="n"/>
      <c r="V41" s="1" t="n"/>
    </row>
    <row r="42">
      <c r="B42" s="11" t="n">
        <v>36</v>
      </c>
      <c r="C42" s="11" t="n"/>
      <c r="D42" s="29" t="n"/>
      <c r="E42" s="29" t="n"/>
      <c r="F42" s="553" t="n"/>
      <c r="G42" s="554" t="n"/>
      <c r="H42" s="555" t="n"/>
      <c r="I42" s="554" t="n"/>
      <c r="J42" s="36" t="n"/>
      <c r="K42" s="1" t="n"/>
      <c r="L42" s="1" t="n"/>
      <c r="M42" s="1" t="n"/>
      <c r="N42" s="554" t="n"/>
      <c r="O42" s="1" t="n"/>
      <c r="P42" s="1" t="n"/>
      <c r="Q42" s="29" t="n"/>
      <c r="R42" s="29" t="n"/>
      <c r="S42" s="29" t="n"/>
      <c r="T42" s="543" t="n"/>
      <c r="U42" s="43" t="n"/>
      <c r="V42" s="1" t="n"/>
    </row>
    <row r="43">
      <c r="B43" s="11" t="n">
        <v>37</v>
      </c>
      <c r="C43" s="11" t="n"/>
      <c r="D43" s="29" t="n"/>
      <c r="E43" s="29" t="n"/>
      <c r="F43" s="553" t="n"/>
      <c r="G43" s="554" t="n"/>
      <c r="H43" s="555" t="n"/>
      <c r="I43" s="554" t="n"/>
      <c r="J43" s="36" t="n"/>
      <c r="K43" s="1" t="n"/>
      <c r="L43" s="1" t="n"/>
      <c r="M43" s="1" t="n"/>
      <c r="N43" s="554" t="n"/>
      <c r="O43" s="1" t="n"/>
      <c r="P43" s="1" t="n"/>
      <c r="Q43" s="29" t="n"/>
      <c r="R43" s="29" t="n"/>
      <c r="S43" s="29" t="n"/>
      <c r="T43" s="543" t="n"/>
      <c r="U43" s="43" t="n"/>
      <c r="V43" s="1" t="n"/>
    </row>
    <row r="44">
      <c r="B44" s="11" t="n">
        <v>38</v>
      </c>
      <c r="C44" s="11" t="n"/>
      <c r="D44" s="29" t="n"/>
      <c r="E44" s="29" t="n"/>
      <c r="F44" s="553" t="n"/>
      <c r="G44" s="554" t="n"/>
      <c r="H44" s="555" t="n"/>
      <c r="I44" s="554" t="n"/>
      <c r="J44" s="36" t="n"/>
      <c r="K44" s="1" t="n"/>
      <c r="L44" s="1" t="n"/>
      <c r="M44" s="1" t="n"/>
      <c r="N44" s="554" t="n"/>
      <c r="O44" s="1" t="n"/>
      <c r="P44" s="1" t="n"/>
      <c r="Q44" s="29" t="n"/>
      <c r="R44" s="29" t="n"/>
      <c r="S44" s="29" t="n"/>
      <c r="T44" s="543" t="n"/>
      <c r="U44" s="43" t="n"/>
      <c r="V44" s="1" t="n"/>
    </row>
    <row r="45">
      <c r="B45" s="11" t="n">
        <v>39</v>
      </c>
      <c r="C45" s="11" t="n"/>
      <c r="D45" s="29" t="n"/>
      <c r="E45" s="29" t="n"/>
      <c r="F45" s="553" t="n"/>
      <c r="G45" s="554" t="n"/>
      <c r="H45" s="555" t="n"/>
      <c r="I45" s="554" t="n"/>
      <c r="J45" s="36" t="n"/>
      <c r="K45" s="1" t="n"/>
      <c r="L45" s="1" t="n"/>
      <c r="M45" s="1" t="n"/>
      <c r="N45" s="554" t="n"/>
      <c r="O45" s="1" t="n"/>
      <c r="P45" s="1" t="n"/>
      <c r="Q45" s="29" t="n"/>
      <c r="R45" s="29" t="n"/>
      <c r="S45" s="29" t="n"/>
      <c r="T45" s="543" t="n"/>
      <c r="U45" s="43" t="n"/>
      <c r="V45" s="1" t="n"/>
    </row>
    <row r="46">
      <c r="B46" s="11" t="n">
        <v>40</v>
      </c>
      <c r="C46" s="11" t="n"/>
      <c r="D46" s="29" t="n"/>
      <c r="E46" s="29" t="n"/>
      <c r="F46" s="553" t="n"/>
      <c r="G46" s="554" t="n"/>
      <c r="H46" s="555" t="n"/>
      <c r="I46" s="554" t="n"/>
      <c r="J46" s="36" t="n"/>
      <c r="K46" s="1" t="n"/>
      <c r="L46" s="1" t="n"/>
      <c r="M46" s="1" t="n"/>
      <c r="N46" s="554" t="n"/>
      <c r="O46" s="1" t="n"/>
      <c r="P46" s="1" t="n"/>
      <c r="Q46" s="29" t="n"/>
      <c r="R46" s="29" t="n"/>
      <c r="S46" s="29" t="n"/>
      <c r="T46" s="543" t="n"/>
      <c r="U46" s="43" t="n"/>
      <c r="V46" s="1" t="n"/>
    </row>
    <row r="47">
      <c r="B47" s="11" t="n">
        <v>41</v>
      </c>
      <c r="C47" s="11" t="n"/>
      <c r="D47" s="29" t="n"/>
      <c r="E47" s="29" t="n"/>
      <c r="F47" s="553" t="n"/>
      <c r="G47" s="554" t="n"/>
      <c r="H47" s="555" t="n"/>
      <c r="I47" s="554" t="n"/>
      <c r="J47" s="36" t="n"/>
      <c r="K47" s="1" t="n"/>
      <c r="L47" s="1" t="n"/>
      <c r="M47" s="1" t="n"/>
      <c r="N47" s="554" t="n"/>
      <c r="O47" s="1" t="n"/>
      <c r="P47" s="1" t="n"/>
      <c r="Q47" s="29" t="n"/>
      <c r="R47" s="29" t="n"/>
      <c r="S47" s="29" t="n"/>
      <c r="T47" s="543" t="n"/>
      <c r="U47" s="43" t="n"/>
      <c r="V47" s="1" t="n"/>
    </row>
    <row r="48">
      <c r="B48" s="11" t="n">
        <v>42</v>
      </c>
      <c r="C48" s="11" t="n"/>
      <c r="D48" s="29" t="n"/>
      <c r="E48" s="29" t="n"/>
      <c r="F48" s="553" t="n"/>
      <c r="G48" s="554" t="n"/>
      <c r="H48" s="555" t="n"/>
      <c r="I48" s="554" t="n"/>
      <c r="J48" s="36" t="n"/>
      <c r="K48" s="1" t="n"/>
      <c r="L48" s="1" t="n"/>
      <c r="M48" s="1" t="n"/>
      <c r="N48" s="554" t="n"/>
      <c r="O48" s="1" t="n"/>
      <c r="P48" s="1" t="n"/>
      <c r="Q48" s="29" t="n"/>
      <c r="R48" s="29" t="n"/>
      <c r="S48" s="29" t="n"/>
      <c r="T48" s="543" t="n"/>
      <c r="U48" s="43" t="n"/>
      <c r="V48" s="1" t="n"/>
    </row>
    <row r="49">
      <c r="B49" s="11" t="n">
        <v>43</v>
      </c>
      <c r="C49" s="11" t="n"/>
      <c r="D49" s="29" t="n"/>
      <c r="E49" s="29" t="n"/>
      <c r="F49" s="553" t="n"/>
      <c r="G49" s="554" t="n"/>
      <c r="H49" s="555" t="n"/>
      <c r="I49" s="554" t="n"/>
      <c r="J49" s="36" t="n"/>
      <c r="K49" s="1" t="n"/>
      <c r="L49" s="1" t="n"/>
      <c r="M49" s="1" t="n"/>
      <c r="N49" s="554" t="n"/>
      <c r="O49" s="1" t="n"/>
      <c r="P49" s="1" t="n"/>
      <c r="Q49" s="29" t="n"/>
      <c r="R49" s="29" t="n"/>
      <c r="S49" s="29" t="n"/>
      <c r="T49" s="543" t="n"/>
      <c r="U49" s="43" t="n"/>
      <c r="V49" s="1" t="n"/>
    </row>
    <row r="50">
      <c r="B50" s="11" t="n">
        <v>44</v>
      </c>
      <c r="C50" s="11" t="n"/>
      <c r="D50" s="29" t="n"/>
      <c r="E50" s="29" t="n"/>
      <c r="F50" s="553" t="n"/>
      <c r="G50" s="554" t="n"/>
      <c r="H50" s="555" t="n"/>
      <c r="I50" s="554" t="n"/>
      <c r="J50" s="36" t="n"/>
      <c r="K50" s="1" t="n"/>
      <c r="L50" s="1" t="n"/>
      <c r="M50" s="1" t="n"/>
      <c r="N50" s="554" t="n"/>
      <c r="O50" s="1" t="n"/>
      <c r="P50" s="1" t="n"/>
      <c r="Q50" s="29" t="n"/>
      <c r="R50" s="29" t="n"/>
      <c r="S50" s="29" t="n"/>
      <c r="T50" s="543" t="n"/>
      <c r="U50" s="43" t="n"/>
      <c r="V50" s="1" t="n"/>
    </row>
    <row r="51">
      <c r="B51" s="11" t="n">
        <v>45</v>
      </c>
      <c r="C51" s="11" t="n"/>
      <c r="D51" s="29" t="n"/>
      <c r="E51" s="29" t="n"/>
      <c r="F51" s="553" t="n"/>
      <c r="G51" s="554" t="n"/>
      <c r="H51" s="555" t="n"/>
      <c r="I51" s="554" t="n"/>
      <c r="J51" s="36" t="n"/>
      <c r="K51" s="1" t="n"/>
      <c r="L51" s="1" t="n"/>
      <c r="M51" s="1" t="n"/>
      <c r="N51" s="554" t="n"/>
      <c r="O51" s="1" t="n"/>
      <c r="P51" s="1" t="n"/>
      <c r="Q51" s="29" t="n"/>
      <c r="R51" s="29" t="n"/>
      <c r="S51" s="29" t="n"/>
      <c r="T51" s="543" t="n"/>
      <c r="U51" s="43" t="n"/>
      <c r="V51" s="1" t="n"/>
    </row>
    <row r="52">
      <c r="B52" s="11" t="n">
        <v>46</v>
      </c>
      <c r="C52" s="11" t="n"/>
      <c r="D52" s="29" t="n"/>
      <c r="E52" s="29" t="n"/>
      <c r="F52" s="553" t="n"/>
      <c r="G52" s="554" t="n"/>
      <c r="H52" s="555" t="n"/>
      <c r="I52" s="554" t="n"/>
      <c r="J52" s="36" t="n"/>
      <c r="K52" s="1" t="n"/>
      <c r="L52" s="1" t="n"/>
      <c r="M52" s="1" t="n"/>
      <c r="N52" s="554" t="n"/>
      <c r="O52" s="1" t="n"/>
      <c r="P52" s="1" t="n"/>
      <c r="Q52" s="29" t="n"/>
      <c r="R52" s="29" t="n"/>
      <c r="S52" s="73" t="n"/>
      <c r="T52" s="543" t="n"/>
      <c r="U52" s="43" t="n"/>
      <c r="V52" s="1" t="n"/>
    </row>
    <row r="53">
      <c r="B53" s="11" t="n">
        <v>47</v>
      </c>
      <c r="C53" s="11" t="n"/>
      <c r="D53" s="29" t="n"/>
      <c r="E53" s="29" t="n"/>
      <c r="F53" s="553" t="n"/>
      <c r="G53" s="554" t="n"/>
      <c r="H53" s="555" t="n"/>
      <c r="I53" s="554" t="n"/>
      <c r="J53" s="36" t="n"/>
      <c r="K53" s="1" t="n"/>
      <c r="L53" s="1" t="n"/>
      <c r="M53" s="1" t="n"/>
      <c r="N53" s="554" t="n"/>
      <c r="O53" s="1" t="n"/>
      <c r="P53" s="1" t="n"/>
      <c r="Q53" s="29" t="n"/>
      <c r="R53" s="29" t="n"/>
      <c r="S53" s="73" t="n"/>
      <c r="T53" s="543" t="n"/>
      <c r="U53" s="43" t="n"/>
      <c r="V53" s="1" t="n"/>
    </row>
    <row r="54">
      <c r="B54" s="11" t="n">
        <v>48</v>
      </c>
      <c r="C54" s="11" t="n"/>
      <c r="D54" s="29" t="n"/>
      <c r="E54" s="29" t="n"/>
      <c r="F54" s="553" t="n"/>
      <c r="G54" s="554" t="n"/>
      <c r="H54" s="555" t="n"/>
      <c r="I54" s="554" t="n"/>
      <c r="J54" s="36" t="n"/>
      <c r="K54" s="1" t="n"/>
      <c r="L54" s="1" t="n"/>
      <c r="M54" s="1" t="n"/>
      <c r="N54" s="554" t="n"/>
      <c r="O54" s="1" t="n"/>
      <c r="P54" s="1" t="n"/>
      <c r="Q54" s="29" t="n"/>
      <c r="R54" s="29" t="n"/>
      <c r="S54" s="29" t="n"/>
      <c r="T54" s="543" t="n"/>
      <c r="U54" s="43" t="n"/>
      <c r="V54" s="1" t="n"/>
    </row>
    <row r="55">
      <c r="B55" s="11" t="n">
        <v>49</v>
      </c>
      <c r="C55" s="11" t="n"/>
      <c r="D55" s="29" t="n"/>
      <c r="E55" s="29" t="n"/>
      <c r="F55" s="553" t="n"/>
      <c r="G55" s="554" t="n"/>
      <c r="H55" s="555" t="n"/>
      <c r="I55" s="554" t="n"/>
      <c r="J55" s="36" t="n"/>
      <c r="K55" s="1" t="n"/>
      <c r="L55" s="1" t="n"/>
      <c r="M55" s="1" t="n"/>
      <c r="N55" s="554" t="n"/>
      <c r="O55" s="1" t="n"/>
      <c r="P55" s="1" t="n"/>
      <c r="Q55" s="29" t="n"/>
      <c r="R55" s="29" t="n"/>
      <c r="S55" s="73" t="n"/>
      <c r="T55" s="543" t="n"/>
      <c r="U55" s="43" t="n"/>
      <c r="V55" s="1" t="n"/>
    </row>
    <row r="56">
      <c r="B56" s="11" t="n">
        <v>50</v>
      </c>
      <c r="C56" s="11" t="n"/>
      <c r="D56" s="29" t="n"/>
      <c r="E56" s="29" t="n"/>
      <c r="F56" s="553" t="n"/>
      <c r="G56" s="554" t="n"/>
      <c r="H56" s="555" t="n"/>
      <c r="I56" s="554" t="n"/>
      <c r="J56" s="36" t="n"/>
      <c r="K56" s="1" t="n"/>
      <c r="L56" s="1" t="n"/>
      <c r="M56" s="1" t="n"/>
      <c r="N56" s="554" t="n"/>
      <c r="O56" s="1" t="n"/>
      <c r="P56" s="1" t="n"/>
      <c r="Q56" s="29" t="n"/>
      <c r="R56" s="29" t="n"/>
      <c r="S56" s="73" t="n"/>
      <c r="T56" s="543" t="n"/>
      <c r="U56" s="43" t="n"/>
      <c r="V56" s="1" t="n"/>
    </row>
    <row r="57">
      <c r="B57" s="11" t="n">
        <v>51</v>
      </c>
      <c r="C57" s="11" t="n"/>
      <c r="D57" s="29" t="n"/>
      <c r="E57" s="29" t="n"/>
      <c r="F57" s="553" t="n"/>
      <c r="G57" s="554" t="n"/>
      <c r="H57" s="555" t="n"/>
      <c r="I57" s="554" t="n"/>
      <c r="J57" s="36" t="n"/>
      <c r="K57" s="1" t="n"/>
      <c r="L57" s="1" t="n"/>
      <c r="M57" s="1" t="n"/>
      <c r="N57" s="554" t="n"/>
      <c r="O57" s="1" t="n"/>
      <c r="P57" s="1" t="n"/>
      <c r="Q57" s="29" t="n"/>
      <c r="R57" s="29" t="n"/>
      <c r="S57" s="73" t="n"/>
      <c r="T57" s="543" t="n"/>
      <c r="U57" s="43" t="n"/>
      <c r="V57" s="1" t="n"/>
    </row>
    <row r="58">
      <c r="B58" s="11" t="n">
        <v>52</v>
      </c>
      <c r="C58" s="11" t="n"/>
      <c r="D58" s="29" t="n"/>
      <c r="E58" s="29" t="n"/>
      <c r="F58" s="553" t="n"/>
      <c r="G58" s="554" t="n"/>
      <c r="H58" s="555" t="n"/>
      <c r="I58" s="554" t="n"/>
      <c r="J58" s="36" t="n"/>
      <c r="K58" s="1" t="n"/>
      <c r="L58" s="1" t="n"/>
      <c r="M58" s="1" t="n"/>
      <c r="N58" s="554" t="n"/>
      <c r="O58" s="1" t="n"/>
      <c r="P58" s="1" t="n"/>
      <c r="Q58" s="29" t="n"/>
      <c r="R58" s="29" t="n"/>
      <c r="S58" s="73" t="n"/>
      <c r="T58" s="543" t="n"/>
      <c r="U58" s="43" t="n"/>
      <c r="V58" s="1" t="n"/>
    </row>
    <row r="59">
      <c r="B59" s="11" t="n">
        <v>53</v>
      </c>
      <c r="C59" s="11" t="n"/>
      <c r="D59" s="29" t="n"/>
      <c r="E59" s="29" t="n"/>
      <c r="F59" s="553" t="n"/>
      <c r="G59" s="554" t="n"/>
      <c r="H59" s="555" t="n"/>
      <c r="I59" s="554" t="n"/>
      <c r="J59" s="36" t="n"/>
      <c r="K59" s="1" t="n"/>
      <c r="L59" s="1" t="n"/>
      <c r="M59" s="1" t="n"/>
      <c r="N59" s="554" t="n"/>
      <c r="O59" s="1" t="n"/>
      <c r="P59" s="1" t="n"/>
      <c r="Q59" s="29" t="n"/>
      <c r="R59" s="29" t="n"/>
      <c r="S59" s="73" t="n"/>
      <c r="T59" s="543" t="n"/>
      <c r="U59" s="43" t="n"/>
      <c r="V59" s="1" t="n"/>
    </row>
    <row r="60">
      <c r="B60" s="11" t="n">
        <v>54</v>
      </c>
      <c r="C60" s="11" t="n"/>
      <c r="D60" s="29" t="n"/>
      <c r="E60" s="29" t="n"/>
      <c r="F60" s="553" t="n"/>
      <c r="G60" s="554" t="n"/>
      <c r="H60" s="555" t="n"/>
      <c r="I60" s="554" t="n"/>
      <c r="J60" s="36" t="n"/>
      <c r="K60" s="1" t="n"/>
      <c r="L60" s="1" t="n"/>
      <c r="M60" s="1" t="n"/>
      <c r="N60" s="554" t="n"/>
      <c r="O60" s="1" t="n"/>
      <c r="P60" s="1" t="n"/>
      <c r="Q60" s="29" t="n"/>
      <c r="R60" s="29" t="n"/>
      <c r="S60" s="73" t="n"/>
      <c r="T60" s="543" t="n"/>
      <c r="U60" s="43" t="n"/>
      <c r="V60" s="1" t="n"/>
    </row>
    <row r="61">
      <c r="B61" s="11" t="n">
        <v>55</v>
      </c>
      <c r="C61" s="11" t="n"/>
      <c r="D61" s="29" t="n"/>
      <c r="E61" s="29" t="n"/>
      <c r="F61" s="553" t="n"/>
      <c r="G61" s="554" t="n"/>
      <c r="H61" s="555" t="n"/>
      <c r="I61" s="554" t="n"/>
      <c r="J61" s="36" t="n"/>
      <c r="K61" s="1" t="n"/>
      <c r="L61" s="1" t="n"/>
      <c r="M61" s="1" t="n"/>
      <c r="N61" s="554" t="n"/>
      <c r="O61" s="1" t="n"/>
      <c r="P61" s="1" t="n"/>
      <c r="Q61" s="29" t="n"/>
      <c r="R61" s="29" t="n"/>
      <c r="S61" s="73" t="n"/>
      <c r="T61" s="543" t="n"/>
      <c r="U61" s="43" t="n"/>
      <c r="V61" s="1" t="n"/>
    </row>
    <row r="62">
      <c r="B62" s="11" t="n">
        <v>56</v>
      </c>
      <c r="C62" s="11" t="n"/>
      <c r="D62" s="29" t="n"/>
      <c r="E62" s="29" t="n"/>
      <c r="F62" s="553" t="n"/>
      <c r="G62" s="554" t="n"/>
      <c r="H62" s="555" t="n"/>
      <c r="I62" s="554" t="n"/>
      <c r="J62" s="36" t="n"/>
      <c r="K62" s="1" t="n"/>
      <c r="L62" s="1" t="n"/>
      <c r="M62" s="1" t="n"/>
      <c r="N62" s="554" t="n"/>
      <c r="O62" s="1" t="n"/>
      <c r="P62" s="1" t="n"/>
      <c r="Q62" s="29" t="n"/>
      <c r="R62" s="29" t="n"/>
      <c r="S62" s="29" t="n"/>
      <c r="T62" s="543" t="n"/>
      <c r="U62" s="43" t="n"/>
      <c r="V62" s="1" t="n"/>
    </row>
    <row r="63">
      <c r="B63" s="11" t="n">
        <v>57</v>
      </c>
      <c r="C63" s="11" t="n"/>
      <c r="D63" s="29" t="n"/>
      <c r="E63" s="29" t="n"/>
      <c r="F63" s="553" t="n"/>
      <c r="G63" s="554" t="n"/>
      <c r="H63" s="555" t="n"/>
      <c r="I63" s="554" t="n"/>
      <c r="J63" s="36" t="n"/>
      <c r="K63" s="1" t="n"/>
      <c r="L63" s="1" t="n"/>
      <c r="M63" s="1" t="n"/>
      <c r="N63" s="554" t="n"/>
      <c r="O63" s="1" t="n"/>
      <c r="P63" s="1" t="n"/>
      <c r="Q63" s="29" t="n"/>
      <c r="R63" s="29" t="n"/>
      <c r="S63" s="29" t="n"/>
      <c r="T63" s="543" t="n"/>
      <c r="U63" s="43" t="n"/>
      <c r="V63" s="1" t="n"/>
    </row>
    <row r="64">
      <c r="B64" s="11" t="n">
        <v>58</v>
      </c>
      <c r="C64" s="11" t="n"/>
      <c r="D64" s="29" t="n"/>
      <c r="E64" s="29" t="n"/>
      <c r="F64" s="553" t="n"/>
      <c r="G64" s="554" t="n"/>
      <c r="H64" s="555" t="n"/>
      <c r="I64" s="554" t="n"/>
      <c r="J64" s="36" t="n"/>
      <c r="K64" s="1" t="n"/>
      <c r="L64" s="1" t="n"/>
      <c r="M64" s="1" t="n"/>
      <c r="N64" s="554" t="n"/>
      <c r="O64" s="1" t="n"/>
      <c r="P64" s="1" t="n"/>
      <c r="Q64" s="29" t="n"/>
      <c r="R64" s="29" t="n"/>
      <c r="S64" s="73" t="n"/>
      <c r="T64" s="543" t="n"/>
      <c r="U64" s="43" t="n"/>
      <c r="V64" s="1" t="n"/>
    </row>
    <row r="65">
      <c r="B65" s="11" t="n">
        <v>59</v>
      </c>
      <c r="C65" s="11" t="n"/>
      <c r="D65" s="29" t="n"/>
      <c r="E65" s="29" t="n"/>
      <c r="F65" s="553" t="n"/>
      <c r="G65" s="554" t="n"/>
      <c r="H65" s="555" t="n"/>
      <c r="I65" s="554" t="n"/>
      <c r="J65" s="36" t="n"/>
      <c r="K65" s="1" t="n"/>
      <c r="L65" s="1" t="n"/>
      <c r="M65" s="1" t="n"/>
      <c r="N65" s="554" t="n"/>
      <c r="O65" s="1" t="n"/>
      <c r="P65" s="1" t="n"/>
      <c r="Q65" s="29" t="n"/>
      <c r="R65" s="29" t="n"/>
      <c r="S65" s="73" t="n"/>
      <c r="T65" s="543" t="n"/>
      <c r="U65" s="43" t="n"/>
      <c r="V65" s="1" t="n"/>
    </row>
    <row r="66">
      <c r="B66" s="11" t="n">
        <v>60</v>
      </c>
      <c r="C66" s="11" t="n"/>
      <c r="D66" s="29" t="n"/>
      <c r="E66" s="29" t="n"/>
      <c r="F66" s="553" t="n"/>
      <c r="G66" s="554" t="n"/>
      <c r="H66" s="555" t="n"/>
      <c r="I66" s="554" t="n"/>
      <c r="J66" s="36" t="n"/>
      <c r="K66" s="1" t="n"/>
      <c r="L66" s="1" t="n"/>
      <c r="M66" s="1" t="n"/>
      <c r="N66" s="554" t="n"/>
      <c r="O66" s="1" t="n"/>
      <c r="P66" s="1" t="n"/>
      <c r="Q66" s="29" t="n"/>
      <c r="R66" s="29" t="n"/>
      <c r="S66" s="73" t="n"/>
      <c r="T66" s="543" t="n"/>
      <c r="U66" s="43" t="n"/>
      <c r="V66" s="1" t="n"/>
    </row>
    <row r="67">
      <c r="B67" s="11" t="n">
        <v>61</v>
      </c>
      <c r="C67" s="11" t="n"/>
      <c r="D67" s="29" t="n"/>
      <c r="E67" s="29" t="n"/>
      <c r="F67" s="553" t="n"/>
      <c r="G67" s="554" t="n"/>
      <c r="H67" s="555" t="n"/>
      <c r="I67" s="554" t="n"/>
      <c r="J67" s="36" t="n"/>
      <c r="K67" s="1" t="n"/>
      <c r="L67" s="1" t="n"/>
      <c r="M67" s="1" t="n"/>
      <c r="N67" s="554" t="n"/>
      <c r="O67" s="1" t="n"/>
      <c r="P67" s="1" t="n"/>
      <c r="Q67" s="29" t="n"/>
      <c r="R67" s="29" t="n"/>
      <c r="S67" s="73" t="n"/>
      <c r="T67" s="543" t="n"/>
      <c r="U67" s="43" t="n"/>
      <c r="V67" s="317" t="n"/>
    </row>
    <row r="68">
      <c r="B68" s="11" t="n">
        <v>62</v>
      </c>
      <c r="C68" s="11" t="n"/>
      <c r="D68" s="29" t="n"/>
      <c r="E68" s="29" t="n"/>
      <c r="F68" s="553" t="n"/>
      <c r="G68" s="554" t="n"/>
      <c r="H68" s="555" t="n"/>
      <c r="I68" s="554" t="n"/>
      <c r="J68" s="36" t="n"/>
      <c r="K68" s="1" t="n"/>
      <c r="L68" s="1" t="n"/>
      <c r="M68" s="1" t="n"/>
      <c r="N68" s="554" t="n"/>
      <c r="O68" s="1" t="n"/>
      <c r="P68" s="1" t="n"/>
      <c r="Q68" s="29" t="n"/>
      <c r="R68" s="29" t="n"/>
      <c r="S68" s="29" t="n"/>
      <c r="T68" s="543" t="n"/>
      <c r="U68" s="43" t="n"/>
      <c r="V68" s="1" t="n"/>
    </row>
    <row r="69">
      <c r="B69" s="11" t="n">
        <v>63</v>
      </c>
      <c r="C69" s="11" t="n"/>
      <c r="D69" s="29" t="n"/>
      <c r="E69" s="29" t="n"/>
      <c r="F69" s="553" t="n"/>
      <c r="G69" s="554" t="n"/>
      <c r="H69" s="555" t="n"/>
      <c r="I69" s="554" t="n"/>
      <c r="J69" s="36" t="n"/>
      <c r="K69" s="1" t="n"/>
      <c r="L69" s="1" t="n"/>
      <c r="M69" s="1" t="n"/>
      <c r="N69" s="554" t="n"/>
      <c r="O69" s="1" t="n"/>
      <c r="P69" s="1" t="n"/>
      <c r="Q69" s="29" t="n"/>
      <c r="R69" s="29" t="n"/>
      <c r="S69" s="29" t="n"/>
      <c r="T69" s="543" t="n"/>
      <c r="U69" s="43" t="n"/>
      <c r="V69" s="1" t="n"/>
    </row>
    <row r="70">
      <c r="B70" s="11" t="n">
        <v>64</v>
      </c>
      <c r="C70" s="11" t="n"/>
      <c r="D70" s="29" t="n"/>
      <c r="E70" s="29" t="n"/>
      <c r="F70" s="553" t="n"/>
      <c r="G70" s="554" t="n"/>
      <c r="H70" s="555" t="n"/>
      <c r="I70" s="554" t="n"/>
      <c r="J70" s="36" t="n"/>
      <c r="K70" s="1" t="n"/>
      <c r="L70" s="1" t="n"/>
      <c r="M70" s="1" t="n"/>
      <c r="N70" s="554" t="n"/>
      <c r="O70" s="1" t="n"/>
      <c r="P70" s="1" t="n"/>
      <c r="Q70" s="29" t="n"/>
      <c r="R70" s="29" t="n"/>
      <c r="S70" s="73" t="n"/>
      <c r="T70" s="543" t="n"/>
      <c r="U70" s="43" t="n"/>
      <c r="V70" s="1" t="n"/>
    </row>
    <row r="71">
      <c r="B71" s="11" t="n">
        <v>65</v>
      </c>
      <c r="C71" s="11" t="n"/>
      <c r="D71" s="29" t="n"/>
      <c r="E71" s="29" t="n"/>
      <c r="F71" s="553" t="n"/>
      <c r="G71" s="554" t="n"/>
      <c r="H71" s="555" t="n"/>
      <c r="I71" s="554" t="n"/>
      <c r="J71" s="36" t="n"/>
      <c r="K71" s="1" t="n"/>
      <c r="L71" s="1" t="n"/>
      <c r="M71" s="1" t="n"/>
      <c r="N71" s="554" t="n"/>
      <c r="O71" s="1" t="n"/>
      <c r="P71" s="1" t="n"/>
      <c r="Q71" s="29" t="n"/>
      <c r="R71" s="29" t="n"/>
      <c r="S71" s="73" t="n"/>
      <c r="T71" s="543" t="n"/>
      <c r="U71" s="43" t="n"/>
      <c r="V71" s="1" t="n"/>
    </row>
    <row r="72">
      <c r="B72" s="11" t="n">
        <v>66</v>
      </c>
      <c r="C72" s="11" t="n"/>
      <c r="D72" s="29" t="n"/>
      <c r="E72" s="29" t="n"/>
      <c r="F72" s="553" t="n"/>
      <c r="G72" s="554" t="n"/>
      <c r="H72" s="555" t="n"/>
      <c r="I72" s="554" t="n"/>
      <c r="J72" s="36" t="n"/>
      <c r="K72" s="1" t="n"/>
      <c r="L72" s="1" t="n"/>
      <c r="M72" s="1" t="n"/>
      <c r="N72" s="554" t="n"/>
      <c r="O72" s="1" t="n"/>
      <c r="P72" s="1" t="n"/>
      <c r="Q72" s="29" t="n"/>
      <c r="R72" s="29" t="n"/>
      <c r="S72" s="73" t="n"/>
      <c r="T72" s="543" t="n"/>
      <c r="U72" s="43" t="n"/>
      <c r="V72" s="1" t="n"/>
    </row>
    <row r="73">
      <c r="B73" s="11" t="n">
        <v>67</v>
      </c>
      <c r="C73" s="11" t="n"/>
      <c r="D73" s="29" t="n"/>
      <c r="E73" s="29" t="n"/>
      <c r="F73" s="553" t="n"/>
      <c r="G73" s="554" t="n"/>
      <c r="H73" s="555" t="n"/>
      <c r="I73" s="554" t="n"/>
      <c r="J73" s="36" t="n"/>
      <c r="K73" s="1" t="n"/>
      <c r="L73" s="1" t="n"/>
      <c r="M73" s="1" t="n"/>
      <c r="N73" s="554" t="n"/>
      <c r="O73" s="1" t="n"/>
      <c r="P73" s="1" t="n"/>
      <c r="Q73" s="29" t="n"/>
      <c r="R73" s="29" t="n"/>
      <c r="S73" s="73" t="n"/>
      <c r="T73" s="543" t="n"/>
      <c r="U73" s="43" t="n"/>
      <c r="V73" s="317" t="n"/>
    </row>
    <row r="74">
      <c r="B74" s="11" t="n">
        <v>68</v>
      </c>
      <c r="C74" s="11" t="n"/>
      <c r="D74" s="29" t="n"/>
      <c r="E74" s="29" t="n"/>
      <c r="F74" s="553" t="n"/>
      <c r="G74" s="554" t="n"/>
      <c r="H74" s="555" t="n"/>
      <c r="I74" s="554" t="n"/>
      <c r="J74" s="36" t="n"/>
      <c r="K74" s="1" t="n"/>
      <c r="L74" s="1" t="n"/>
      <c r="M74" s="1" t="n"/>
      <c r="N74" s="554" t="n"/>
      <c r="O74" s="1" t="n"/>
      <c r="P74" s="1" t="n"/>
      <c r="Q74" s="29" t="n"/>
      <c r="R74" s="29" t="n"/>
      <c r="S74" s="73" t="n"/>
      <c r="T74" s="543" t="n"/>
      <c r="U74" s="43" t="n"/>
      <c r="V74" s="1" t="n"/>
    </row>
    <row r="75">
      <c r="B75" s="11" t="n">
        <v>69</v>
      </c>
      <c r="C75" s="11" t="n"/>
      <c r="D75" s="29" t="n"/>
      <c r="E75" s="29" t="n"/>
      <c r="F75" s="553" t="n"/>
      <c r="G75" s="554" t="n"/>
      <c r="H75" s="555" t="n"/>
      <c r="I75" s="554" t="n"/>
      <c r="J75" s="36" t="n"/>
      <c r="K75" s="1" t="n"/>
      <c r="L75" s="1" t="n"/>
      <c r="M75" s="1" t="n"/>
      <c r="N75" s="554" t="n"/>
      <c r="O75" s="1" t="n"/>
      <c r="P75" s="1" t="n"/>
      <c r="Q75" s="29" t="n"/>
      <c r="R75" s="29" t="n"/>
      <c r="S75" s="29" t="n"/>
      <c r="T75" s="543" t="n"/>
      <c r="U75" s="43" t="n"/>
      <c r="V75" s="1" t="n"/>
    </row>
    <row r="76">
      <c r="B76" s="11" t="n">
        <v>70</v>
      </c>
      <c r="C76" s="11" t="n"/>
      <c r="D76" s="29" t="n"/>
      <c r="E76" s="29" t="n"/>
      <c r="F76" s="553" t="n"/>
      <c r="G76" s="554" t="n"/>
      <c r="H76" s="555" t="n"/>
      <c r="I76" s="554" t="n"/>
      <c r="J76" s="36" t="n"/>
      <c r="K76" s="1" t="n"/>
      <c r="L76" s="1" t="n"/>
      <c r="M76" s="1" t="n"/>
      <c r="N76" s="554" t="n"/>
      <c r="O76" s="1" t="n"/>
      <c r="P76" s="1" t="n"/>
      <c r="Q76" s="29" t="n"/>
      <c r="R76" s="29" t="n"/>
      <c r="S76" s="29" t="n"/>
      <c r="T76" s="543" t="n"/>
      <c r="U76" s="43" t="n"/>
      <c r="V76" s="1" t="n"/>
    </row>
    <row r="77">
      <c r="B77" s="11" t="n">
        <v>71</v>
      </c>
      <c r="C77" s="11" t="n"/>
      <c r="D77" s="29" t="n"/>
      <c r="E77" s="29" t="n"/>
      <c r="F77" s="553" t="n"/>
      <c r="G77" s="554" t="n"/>
      <c r="H77" s="555" t="n"/>
      <c r="I77" s="554" t="n"/>
      <c r="J77" s="36" t="n"/>
      <c r="K77" s="1" t="n"/>
      <c r="L77" s="1" t="n"/>
      <c r="M77" s="1" t="n"/>
      <c r="N77" s="554" t="n"/>
      <c r="O77" s="1" t="n"/>
      <c r="P77" s="1" t="n"/>
      <c r="Q77" s="29" t="n"/>
      <c r="R77" s="29" t="n"/>
      <c r="S77" s="29" t="n"/>
      <c r="T77" s="543" t="n"/>
      <c r="U77" s="43" t="n"/>
      <c r="V77" s="1" t="n"/>
    </row>
    <row r="78">
      <c r="B78" s="11" t="n">
        <v>72</v>
      </c>
      <c r="C78" s="11" t="n"/>
      <c r="D78" s="29" t="n"/>
      <c r="E78" s="29" t="n"/>
      <c r="F78" s="553" t="n"/>
      <c r="G78" s="554" t="n"/>
      <c r="H78" s="555" t="n"/>
      <c r="I78" s="554" t="n"/>
      <c r="J78" s="36" t="n"/>
      <c r="K78" s="1" t="n"/>
      <c r="L78" s="1" t="n"/>
      <c r="M78" s="1" t="n"/>
      <c r="N78" s="554" t="n"/>
      <c r="O78" s="1" t="n"/>
      <c r="P78" s="1" t="n"/>
      <c r="Q78" s="29" t="n"/>
      <c r="R78" s="29" t="n"/>
      <c r="S78" s="29" t="n"/>
      <c r="T78" s="543" t="n"/>
      <c r="U78" s="43" t="n"/>
      <c r="V78" s="1" t="n"/>
    </row>
    <row r="79">
      <c r="B79" s="11" t="n">
        <v>73</v>
      </c>
      <c r="C79" s="11" t="n"/>
      <c r="D79" s="29" t="n"/>
      <c r="E79" s="29" t="n"/>
      <c r="F79" s="553" t="n"/>
      <c r="G79" s="554" t="n"/>
      <c r="H79" s="555" t="n"/>
      <c r="I79" s="554" t="n"/>
      <c r="J79" s="36" t="n"/>
      <c r="K79" s="1" t="n"/>
      <c r="L79" s="1" t="n"/>
      <c r="M79" s="1" t="n"/>
      <c r="N79" s="554" t="n"/>
      <c r="O79" s="1" t="n"/>
      <c r="P79" s="1" t="n"/>
      <c r="Q79" s="29" t="n"/>
      <c r="R79" s="29" t="n"/>
      <c r="S79" s="29" t="n"/>
      <c r="T79" s="543" t="n"/>
      <c r="U79" s="43" t="n"/>
      <c r="V79" s="1" t="n"/>
    </row>
    <row r="80">
      <c r="B80" s="11" t="n">
        <v>74</v>
      </c>
      <c r="C80" s="11" t="n"/>
      <c r="D80" s="29" t="n"/>
      <c r="E80" s="29" t="n"/>
      <c r="F80" s="553" t="n"/>
      <c r="G80" s="554" t="n"/>
      <c r="H80" s="555" t="n"/>
      <c r="I80" s="554" t="n"/>
      <c r="J80" s="36" t="n"/>
      <c r="K80" s="1" t="n"/>
      <c r="L80" s="1" t="n"/>
      <c r="M80" s="1" t="n"/>
      <c r="N80" s="554" t="n"/>
      <c r="O80" s="1" t="n"/>
      <c r="P80" s="1" t="n"/>
      <c r="Q80" s="29" t="n"/>
      <c r="R80" s="29" t="n"/>
      <c r="S80" s="29" t="n"/>
      <c r="T80" s="543" t="n"/>
      <c r="U80" s="43" t="n"/>
      <c r="V80" s="1" t="n"/>
    </row>
    <row r="81">
      <c r="B81" s="11" t="n">
        <v>75</v>
      </c>
      <c r="C81" s="11" t="n"/>
      <c r="D81" s="29" t="n"/>
      <c r="E81" s="29" t="n"/>
      <c r="F81" s="553" t="n"/>
      <c r="G81" s="554" t="n"/>
      <c r="H81" s="555" t="n"/>
      <c r="I81" s="554" t="n"/>
      <c r="J81" s="36" t="n"/>
      <c r="K81" s="1" t="n"/>
      <c r="L81" s="1" t="n"/>
      <c r="M81" s="1" t="n"/>
      <c r="N81" s="554" t="n"/>
      <c r="O81" s="1" t="n"/>
      <c r="P81" s="1" t="n"/>
      <c r="Q81" s="29" t="n"/>
      <c r="R81" s="29" t="n"/>
      <c r="S81" s="29" t="n"/>
      <c r="T81" s="543" t="n"/>
      <c r="U81" s="43" t="n"/>
      <c r="V81" s="1" t="n"/>
    </row>
    <row r="82">
      <c r="B82" s="11" t="n">
        <v>76</v>
      </c>
      <c r="C82" s="11" t="n"/>
      <c r="D82" s="29" t="n"/>
      <c r="E82" s="29" t="n"/>
      <c r="F82" s="553" t="n"/>
      <c r="G82" s="554" t="n"/>
      <c r="H82" s="555" t="n"/>
      <c r="I82" s="554" t="n"/>
      <c r="J82" s="36" t="n"/>
      <c r="K82" s="1" t="n"/>
      <c r="L82" s="1" t="n"/>
      <c r="M82" s="1" t="n"/>
      <c r="N82" s="554" t="n"/>
      <c r="O82" s="1" t="n"/>
      <c r="P82" s="1" t="n"/>
      <c r="Q82" s="29" t="n"/>
      <c r="R82" s="29" t="n"/>
      <c r="S82" s="29" t="n"/>
      <c r="T82" s="543" t="n"/>
      <c r="U82" s="43" t="n"/>
      <c r="V82" s="1" t="n"/>
    </row>
    <row r="83">
      <c r="B83" s="11" t="n">
        <v>77</v>
      </c>
      <c r="C83" s="11" t="n"/>
      <c r="D83" s="29" t="n"/>
      <c r="E83" s="29" t="n"/>
      <c r="F83" s="553" t="n"/>
      <c r="G83" s="554" t="n"/>
      <c r="H83" s="555" t="n"/>
      <c r="I83" s="554" t="n"/>
      <c r="J83" s="36" t="n"/>
      <c r="K83" s="1" t="n"/>
      <c r="L83" s="1" t="n"/>
      <c r="M83" s="1" t="n"/>
      <c r="N83" s="554" t="n"/>
      <c r="O83" s="1" t="n"/>
      <c r="P83" s="1" t="n"/>
      <c r="Q83" s="29" t="n"/>
      <c r="R83" s="29" t="n"/>
      <c r="S83" s="29" t="n"/>
      <c r="T83" s="543" t="n"/>
      <c r="U83" s="43" t="n"/>
      <c r="V83" s="1" t="n"/>
    </row>
    <row r="84">
      <c r="B84" s="11" t="n">
        <v>78</v>
      </c>
      <c r="C84" s="11" t="n"/>
      <c r="D84" s="29" t="n"/>
      <c r="E84" s="29" t="n"/>
      <c r="F84" s="553" t="n"/>
      <c r="G84" s="554" t="n"/>
      <c r="H84" s="555" t="n"/>
      <c r="I84" s="554" t="n"/>
      <c r="J84" s="36" t="n"/>
      <c r="K84" s="1" t="n"/>
      <c r="L84" s="1" t="n"/>
      <c r="M84" s="1" t="n"/>
      <c r="N84" s="554" t="n"/>
      <c r="O84" s="1" t="n"/>
      <c r="P84" s="1" t="n"/>
      <c r="Q84" s="29" t="n"/>
      <c r="R84" s="29" t="n"/>
      <c r="S84" s="29" t="n"/>
      <c r="T84" s="543" t="n"/>
      <c r="U84" s="43" t="n"/>
      <c r="V84" s="1" t="n"/>
    </row>
    <row r="85">
      <c r="B85" s="11" t="n">
        <v>79</v>
      </c>
      <c r="C85" s="11" t="n"/>
      <c r="D85" s="29" t="n"/>
      <c r="E85" s="29" t="n"/>
      <c r="F85" s="553" t="n"/>
      <c r="G85" s="554" t="n"/>
      <c r="H85" s="555" t="n"/>
      <c r="I85" s="554" t="n"/>
      <c r="J85" s="36" t="n"/>
      <c r="K85" s="1" t="n"/>
      <c r="L85" s="1" t="n"/>
      <c r="M85" s="1" t="n"/>
      <c r="N85" s="554" t="n"/>
      <c r="O85" s="1" t="n"/>
      <c r="P85" s="1" t="n"/>
      <c r="Q85" s="29" t="n"/>
      <c r="R85" s="29" t="n"/>
      <c r="S85" s="29" t="n"/>
      <c r="T85" s="543" t="n"/>
      <c r="U85" s="43" t="n"/>
      <c r="V85" s="1" t="n"/>
    </row>
    <row r="86">
      <c r="B86" s="11" t="n">
        <v>80</v>
      </c>
      <c r="C86" s="11" t="n"/>
      <c r="D86" s="29" t="n"/>
      <c r="E86" s="29" t="n"/>
      <c r="F86" s="553" t="n"/>
      <c r="G86" s="554" t="n"/>
      <c r="H86" s="555" t="n"/>
      <c r="I86" s="554" t="n"/>
      <c r="J86" s="36" t="n"/>
      <c r="K86" s="1" t="n"/>
      <c r="L86" s="1" t="n"/>
      <c r="M86" s="1" t="n"/>
      <c r="N86" s="554" t="n"/>
      <c r="O86" s="1" t="n"/>
      <c r="P86" s="1" t="n"/>
      <c r="Q86" s="29" t="n"/>
      <c r="R86" s="29" t="n"/>
      <c r="S86" s="29" t="n"/>
      <c r="T86" s="543" t="n"/>
      <c r="U86" s="43" t="n"/>
      <c r="V86" s="1" t="n"/>
    </row>
    <row r="87">
      <c r="B87" s="11" t="n">
        <v>81</v>
      </c>
      <c r="C87" s="11" t="n"/>
      <c r="D87" s="29" t="n"/>
      <c r="E87" s="29" t="n"/>
      <c r="F87" s="553" t="n"/>
      <c r="G87" s="554" t="n"/>
      <c r="H87" s="555" t="n"/>
      <c r="I87" s="554" t="n"/>
      <c r="J87" s="36" t="n"/>
      <c r="K87" s="1" t="n"/>
      <c r="L87" s="1" t="n"/>
      <c r="M87" s="1" t="n"/>
      <c r="N87" s="554" t="n"/>
      <c r="O87" s="1" t="n"/>
      <c r="P87" s="1" t="n"/>
      <c r="Q87" s="29" t="n"/>
      <c r="R87" s="29" t="n"/>
      <c r="S87" s="29" t="n"/>
      <c r="T87" s="543" t="n"/>
      <c r="U87" s="43" t="n"/>
      <c r="V87" s="1" t="n"/>
    </row>
    <row r="88">
      <c r="B88" s="11" t="n">
        <v>82</v>
      </c>
      <c r="C88" s="11" t="n"/>
      <c r="D88" s="29" t="n"/>
      <c r="E88" s="29" t="n"/>
      <c r="F88" s="553" t="n"/>
      <c r="G88" s="554" t="n"/>
      <c r="H88" s="555" t="n"/>
      <c r="I88" s="554" t="n"/>
      <c r="J88" s="36" t="n"/>
      <c r="K88" s="1" t="n"/>
      <c r="L88" s="1" t="n"/>
      <c r="M88" s="1" t="n"/>
      <c r="N88" s="554" t="n"/>
      <c r="O88" s="1" t="n"/>
      <c r="P88" s="1" t="n"/>
      <c r="Q88" s="29" t="n"/>
      <c r="R88" s="29" t="n"/>
      <c r="S88" s="73" t="n"/>
      <c r="T88" s="543" t="n"/>
      <c r="U88" s="43" t="n"/>
      <c r="V88" s="1" t="n"/>
    </row>
    <row r="89">
      <c r="B89" s="11" t="n">
        <v>83</v>
      </c>
      <c r="C89" s="11" t="n"/>
      <c r="D89" s="29" t="n"/>
      <c r="E89" s="29" t="n"/>
      <c r="F89" s="553" t="n"/>
      <c r="G89" s="554" t="n"/>
      <c r="H89" s="555" t="n"/>
      <c r="I89" s="554" t="n"/>
      <c r="J89" s="36" t="n"/>
      <c r="K89" s="1" t="n"/>
      <c r="L89" s="1" t="n"/>
      <c r="M89" s="1" t="n"/>
      <c r="N89" s="554" t="n"/>
      <c r="O89" s="1" t="n"/>
      <c r="P89" s="1" t="n"/>
      <c r="Q89" s="29" t="n"/>
      <c r="R89" s="29" t="n"/>
      <c r="S89" s="73" t="n"/>
      <c r="T89" s="543" t="n"/>
      <c r="U89" s="43" t="n"/>
      <c r="V89" s="1" t="n"/>
    </row>
    <row r="90">
      <c r="B90" s="11" t="n">
        <v>84</v>
      </c>
      <c r="C90" s="11" t="n"/>
      <c r="D90" s="29" t="n"/>
      <c r="E90" s="29" t="n"/>
      <c r="F90" s="553" t="n"/>
      <c r="G90" s="554" t="n"/>
      <c r="H90" s="555" t="n"/>
      <c r="I90" s="554" t="n"/>
      <c r="J90" s="36" t="n"/>
      <c r="K90" s="1" t="n"/>
      <c r="L90" s="1" t="n"/>
      <c r="M90" s="1" t="n"/>
      <c r="N90" s="554" t="n"/>
      <c r="O90" s="1" t="n"/>
      <c r="P90" s="1" t="n"/>
      <c r="Q90" s="29" t="n"/>
      <c r="R90" s="29" t="n"/>
      <c r="S90" s="29" t="n"/>
      <c r="T90" s="543" t="n"/>
      <c r="U90" s="43" t="n"/>
      <c r="V90" s="1" t="n"/>
    </row>
    <row r="91">
      <c r="B91" s="11" t="n">
        <v>85</v>
      </c>
      <c r="C91" s="11" t="n"/>
      <c r="D91" s="29" t="n"/>
      <c r="E91" s="29" t="n"/>
      <c r="F91" s="553" t="n"/>
      <c r="G91" s="554" t="n"/>
      <c r="H91" s="555" t="n"/>
      <c r="I91" s="554" t="n"/>
      <c r="J91" s="36" t="n"/>
      <c r="K91" s="1" t="n"/>
      <c r="L91" s="1" t="n"/>
      <c r="M91" s="1" t="n"/>
      <c r="N91" s="554" t="n"/>
      <c r="O91" s="1" t="n"/>
      <c r="P91" s="1" t="n"/>
      <c r="Q91" s="29" t="n"/>
      <c r="R91" s="29" t="n"/>
      <c r="S91" s="73" t="n"/>
      <c r="T91" s="543" t="n"/>
      <c r="U91" s="43" t="n"/>
      <c r="V91" s="1" t="n"/>
    </row>
    <row r="92">
      <c r="B92" s="11" t="n">
        <v>86</v>
      </c>
      <c r="C92" s="11" t="n"/>
      <c r="D92" s="29" t="n"/>
      <c r="E92" s="29" t="n"/>
      <c r="F92" s="553" t="n"/>
      <c r="G92" s="554" t="n"/>
      <c r="H92" s="555" t="n"/>
      <c r="I92" s="554" t="n"/>
      <c r="J92" s="36" t="n"/>
      <c r="K92" s="1" t="n"/>
      <c r="L92" s="1" t="n"/>
      <c r="M92" s="1" t="n"/>
      <c r="N92" s="554" t="n"/>
      <c r="O92" s="1" t="n"/>
      <c r="P92" s="1" t="n"/>
      <c r="Q92" s="29" t="n"/>
      <c r="R92" s="29" t="n"/>
      <c r="S92" s="73" t="n"/>
      <c r="T92" s="543" t="n"/>
      <c r="U92" s="43" t="n"/>
      <c r="V92" s="1" t="n"/>
    </row>
    <row r="93">
      <c r="B93" s="11" t="n">
        <v>87</v>
      </c>
      <c r="C93" s="11" t="n"/>
      <c r="D93" s="29" t="n"/>
      <c r="E93" s="29" t="n"/>
      <c r="F93" s="553" t="n"/>
      <c r="G93" s="554" t="n"/>
      <c r="H93" s="555" t="n"/>
      <c r="I93" s="554" t="n"/>
      <c r="J93" s="36" t="n"/>
      <c r="K93" s="1" t="n"/>
      <c r="L93" s="1" t="n"/>
      <c r="M93" s="1" t="n"/>
      <c r="N93" s="554" t="n"/>
      <c r="O93" s="1" t="n"/>
      <c r="P93" s="1" t="n"/>
      <c r="Q93" s="29" t="n"/>
      <c r="R93" s="29" t="n"/>
      <c r="S93" s="73" t="n"/>
      <c r="T93" s="543" t="n"/>
      <c r="U93" s="43" t="n"/>
      <c r="V93" s="1" t="n"/>
    </row>
    <row r="94">
      <c r="B94" s="11" t="n">
        <v>88</v>
      </c>
      <c r="C94" s="11" t="n"/>
      <c r="D94" s="29" t="n"/>
      <c r="E94" s="29" t="n"/>
      <c r="F94" s="553" t="n"/>
      <c r="G94" s="554" t="n"/>
      <c r="H94" s="555" t="n"/>
      <c r="I94" s="554" t="n"/>
      <c r="J94" s="36" t="n"/>
      <c r="K94" s="1" t="n"/>
      <c r="L94" s="1" t="n"/>
      <c r="M94" s="1" t="n"/>
      <c r="N94" s="554" t="n"/>
      <c r="O94" s="1" t="n"/>
      <c r="P94" s="1" t="n"/>
      <c r="Q94" s="29" t="n"/>
      <c r="R94" s="29" t="n"/>
      <c r="S94" s="73" t="n"/>
      <c r="T94" s="543" t="n"/>
      <c r="U94" s="43" t="n"/>
      <c r="V94" s="1" t="n"/>
    </row>
    <row r="95">
      <c r="B95" s="11" t="n">
        <v>89</v>
      </c>
      <c r="C95" s="11" t="n"/>
      <c r="D95" s="29" t="n"/>
      <c r="E95" s="29" t="n"/>
      <c r="F95" s="553" t="n"/>
      <c r="G95" s="554" t="n"/>
      <c r="H95" s="555" t="n"/>
      <c r="I95" s="554" t="n"/>
      <c r="J95" s="36" t="n"/>
      <c r="K95" s="1" t="n"/>
      <c r="L95" s="1" t="n"/>
      <c r="M95" s="1" t="n"/>
      <c r="N95" s="554" t="n"/>
      <c r="O95" s="1" t="n"/>
      <c r="P95" s="1" t="n"/>
      <c r="Q95" s="29" t="n"/>
      <c r="R95" s="29" t="n"/>
      <c r="S95" s="73" t="n"/>
      <c r="T95" s="543" t="n"/>
      <c r="U95" s="43" t="n"/>
      <c r="V95" s="1" t="n"/>
    </row>
    <row r="96">
      <c r="B96" s="11" t="n">
        <v>90</v>
      </c>
      <c r="C96" s="11" t="n"/>
      <c r="D96" s="29" t="n"/>
      <c r="E96" s="29" t="n"/>
      <c r="F96" s="553" t="n"/>
      <c r="G96" s="554" t="n"/>
      <c r="H96" s="555" t="n"/>
      <c r="I96" s="554" t="n"/>
      <c r="J96" s="36" t="n"/>
      <c r="K96" s="1" t="n"/>
      <c r="L96" s="1" t="n"/>
      <c r="M96" s="1" t="n"/>
      <c r="N96" s="554" t="n"/>
      <c r="O96" s="1" t="n"/>
      <c r="P96" s="1" t="n"/>
      <c r="Q96" s="29" t="n"/>
      <c r="R96" s="29" t="n"/>
      <c r="S96" s="73" t="n"/>
      <c r="T96" s="543" t="n"/>
      <c r="U96" s="43" t="n"/>
      <c r="V96" s="1" t="n"/>
    </row>
    <row r="97">
      <c r="B97" s="11" t="n">
        <v>91</v>
      </c>
      <c r="C97" s="11" t="n"/>
      <c r="D97" s="29" t="n"/>
      <c r="E97" s="29" t="n"/>
      <c r="F97" s="553" t="n"/>
      <c r="G97" s="554" t="n"/>
      <c r="H97" s="555" t="n"/>
      <c r="I97" s="554" t="n"/>
      <c r="J97" s="36" t="n"/>
      <c r="K97" s="1" t="n"/>
      <c r="L97" s="1" t="n"/>
      <c r="M97" s="1" t="n"/>
      <c r="N97" s="554" t="n"/>
      <c r="O97" s="1" t="n"/>
      <c r="P97" s="1" t="n"/>
      <c r="Q97" s="29" t="n"/>
      <c r="R97" s="29" t="n"/>
      <c r="S97" s="73" t="n"/>
      <c r="T97" s="543" t="n"/>
      <c r="U97" s="43" t="n"/>
      <c r="V97" s="1" t="n"/>
    </row>
    <row r="98">
      <c r="B98" s="11" t="n">
        <v>92</v>
      </c>
      <c r="C98" s="11" t="n"/>
      <c r="D98" s="29" t="n"/>
      <c r="E98" s="29" t="n"/>
      <c r="F98" s="553" t="n"/>
      <c r="G98" s="554" t="n"/>
      <c r="H98" s="555" t="n"/>
      <c r="I98" s="554" t="n"/>
      <c r="J98" s="36" t="n"/>
      <c r="K98" s="1" t="n"/>
      <c r="L98" s="1" t="n"/>
      <c r="M98" s="1" t="n"/>
      <c r="N98" s="554" t="n"/>
      <c r="O98" s="1" t="n"/>
      <c r="P98" s="1" t="n"/>
      <c r="Q98" s="29" t="n"/>
      <c r="R98" s="29" t="n"/>
      <c r="S98" s="73" t="n"/>
      <c r="T98" s="543" t="n"/>
      <c r="U98" s="43" t="n"/>
      <c r="V98" s="1" t="n"/>
    </row>
    <row r="99">
      <c r="B99" s="11" t="n">
        <v>93</v>
      </c>
      <c r="C99" s="11" t="n"/>
      <c r="D99" s="29" t="n"/>
      <c r="E99" s="29" t="n"/>
      <c r="F99" s="553" t="n"/>
      <c r="G99" s="554" t="n"/>
      <c r="H99" s="555" t="n"/>
      <c r="I99" s="554" t="n"/>
      <c r="J99" s="36" t="n"/>
      <c r="K99" s="1" t="n"/>
      <c r="L99" s="1" t="n"/>
      <c r="M99" s="1" t="n"/>
      <c r="N99" s="554" t="n"/>
      <c r="O99" s="1" t="n"/>
      <c r="P99" s="1" t="n"/>
      <c r="Q99" s="29" t="n"/>
      <c r="R99" s="29" t="n"/>
      <c r="S99" s="73" t="n"/>
      <c r="T99" s="543" t="n"/>
      <c r="U99" s="43" t="n"/>
      <c r="V99" s="1" t="n"/>
    </row>
    <row r="100">
      <c r="B100" s="11" t="n">
        <v>94</v>
      </c>
      <c r="C100" s="11" t="n"/>
      <c r="D100" s="29" t="n"/>
      <c r="E100" s="29" t="n"/>
      <c r="F100" s="553" t="n"/>
      <c r="G100" s="554" t="n"/>
      <c r="H100" s="555" t="n"/>
      <c r="I100" s="554" t="n"/>
      <c r="J100" s="36" t="n"/>
      <c r="K100" s="1" t="n"/>
      <c r="L100" s="1" t="n"/>
      <c r="M100" s="1" t="n"/>
      <c r="N100" s="554" t="n"/>
      <c r="O100" s="1" t="n"/>
      <c r="P100" s="1" t="n"/>
      <c r="Q100" s="29" t="n"/>
      <c r="R100" s="29" t="n"/>
      <c r="S100" s="73" t="n"/>
      <c r="T100" s="543" t="n"/>
      <c r="U100" s="43" t="n"/>
      <c r="V100" s="1" t="n"/>
    </row>
    <row r="101">
      <c r="B101" s="11" t="n">
        <v>95</v>
      </c>
      <c r="C101" s="11" t="n"/>
      <c r="D101" s="29" t="n"/>
      <c r="E101" s="29" t="n"/>
      <c r="F101" s="553" t="n"/>
      <c r="G101" s="554" t="n"/>
      <c r="H101" s="555" t="n"/>
      <c r="I101" s="554" t="n"/>
      <c r="J101" s="36" t="n"/>
      <c r="K101" s="1" t="n"/>
      <c r="L101" s="1" t="n"/>
      <c r="M101" s="1" t="n"/>
      <c r="N101" s="554" t="n"/>
      <c r="O101" s="1" t="n"/>
      <c r="P101" s="1" t="n"/>
      <c r="Q101" s="29" t="n"/>
      <c r="R101" s="29" t="n"/>
      <c r="S101" s="73" t="n"/>
      <c r="T101" s="543" t="n"/>
      <c r="U101" s="43" t="n"/>
      <c r="V101" s="1" t="n"/>
    </row>
    <row r="102">
      <c r="B102" s="11" t="n">
        <v>96</v>
      </c>
      <c r="C102" s="11" t="n"/>
      <c r="D102" s="29" t="n"/>
      <c r="E102" s="29" t="n"/>
      <c r="F102" s="553" t="n"/>
      <c r="G102" s="554" t="n"/>
      <c r="H102" s="555" t="n"/>
      <c r="I102" s="554" t="n"/>
      <c r="J102" s="36" t="n"/>
      <c r="K102" s="1" t="n"/>
      <c r="L102" s="1" t="n"/>
      <c r="M102" s="1" t="n"/>
      <c r="N102" s="554" t="n"/>
      <c r="O102" s="1" t="n"/>
      <c r="P102" s="1" t="n"/>
      <c r="Q102" s="29" t="n"/>
      <c r="R102" s="29" t="n"/>
      <c r="S102" s="29" t="n"/>
      <c r="T102" s="543" t="n"/>
      <c r="U102" s="43" t="n"/>
      <c r="V102" s="1" t="n"/>
    </row>
    <row r="103">
      <c r="B103" s="11" t="n">
        <v>97</v>
      </c>
      <c r="C103" s="11" t="n"/>
      <c r="D103" s="29" t="n"/>
      <c r="E103" s="29" t="n"/>
      <c r="F103" s="553" t="n"/>
      <c r="G103" s="554" t="n"/>
      <c r="H103" s="555" t="n"/>
      <c r="I103" s="554" t="n"/>
      <c r="J103" s="36" t="n"/>
      <c r="K103" s="1" t="n"/>
      <c r="L103" s="1" t="n"/>
      <c r="M103" s="1" t="n"/>
      <c r="N103" s="554" t="n"/>
      <c r="O103" s="1" t="n"/>
      <c r="P103" s="1" t="n"/>
      <c r="Q103" s="29" t="n"/>
      <c r="R103" s="29" t="n"/>
      <c r="S103" s="29" t="n"/>
      <c r="T103" s="543" t="n"/>
      <c r="U103" s="43" t="n"/>
      <c r="V103" s="1" t="n"/>
    </row>
    <row r="104">
      <c r="B104" s="11" t="n">
        <v>98</v>
      </c>
      <c r="C104" s="11" t="n"/>
      <c r="D104" s="29" t="n"/>
      <c r="E104" s="29" t="n"/>
      <c r="F104" s="553" t="n"/>
      <c r="G104" s="554" t="n"/>
      <c r="H104" s="555" t="n"/>
      <c r="I104" s="554" t="n"/>
      <c r="J104" s="36" t="n"/>
      <c r="K104" s="1" t="n"/>
      <c r="L104" s="1" t="n"/>
      <c r="M104" s="1" t="n"/>
      <c r="N104" s="554" t="n"/>
      <c r="O104" s="1" t="n"/>
      <c r="P104" s="1" t="n"/>
      <c r="Q104" s="29" t="n"/>
      <c r="R104" s="29" t="n"/>
      <c r="S104" s="73" t="n"/>
      <c r="T104" s="543" t="n"/>
      <c r="U104" s="43" t="n"/>
      <c r="V104" s="1" t="n"/>
    </row>
    <row r="105">
      <c r="B105" s="11" t="n">
        <v>99</v>
      </c>
      <c r="C105" s="11" t="n"/>
      <c r="D105" s="29" t="n"/>
      <c r="E105" s="29" t="n"/>
      <c r="F105" s="553" t="n"/>
      <c r="G105" s="554" t="n"/>
      <c r="H105" s="555" t="n"/>
      <c r="I105" s="554" t="n"/>
      <c r="J105" s="36" t="n"/>
      <c r="K105" s="1" t="n"/>
      <c r="L105" s="1" t="n"/>
      <c r="M105" s="1" t="n"/>
      <c r="N105" s="554" t="n"/>
      <c r="O105" s="1" t="n"/>
      <c r="P105" s="1" t="n"/>
      <c r="Q105" s="29" t="n"/>
      <c r="R105" s="29" t="n"/>
      <c r="S105" s="73" t="n"/>
      <c r="T105" s="543" t="n"/>
      <c r="U105" s="43" t="n"/>
      <c r="V105" s="1" t="n"/>
    </row>
    <row r="106">
      <c r="B106" s="11" t="n">
        <v>100</v>
      </c>
      <c r="C106" s="11" t="n"/>
      <c r="D106" s="29" t="n"/>
      <c r="E106" s="29" t="n"/>
      <c r="F106" s="553" t="n"/>
      <c r="G106" s="554" t="n"/>
      <c r="H106" s="555" t="n"/>
      <c r="I106" s="554" t="n"/>
      <c r="J106" s="36" t="n"/>
      <c r="K106" s="1" t="n"/>
      <c r="L106" s="1" t="n"/>
      <c r="M106" s="1" t="n"/>
      <c r="N106" s="554" t="n"/>
      <c r="O106" s="1" t="n"/>
      <c r="P106" s="1" t="n"/>
      <c r="Q106" s="29" t="n"/>
      <c r="R106" s="29" t="n"/>
      <c r="S106" s="73" t="n"/>
      <c r="T106" s="543" t="n"/>
      <c r="U106" s="43" t="n"/>
      <c r="V106" s="1" t="n"/>
    </row>
    <row r="107">
      <c r="B107" s="270" t="n"/>
      <c r="C107" s="270" t="n"/>
      <c r="D107" s="271" t="n"/>
      <c r="E107" s="186" t="n"/>
      <c r="F107" s="454" t="n"/>
      <c r="G107" s="554" t="n"/>
      <c r="H107" s="556" t="n"/>
      <c r="I107" s="557" t="n"/>
      <c r="J107" s="272" t="n"/>
      <c r="K107" s="557" t="n"/>
      <c r="L107" s="557" t="n"/>
      <c r="M107" s="274" t="n"/>
      <c r="N107" s="557" t="n"/>
      <c r="O107" s="274" t="n"/>
      <c r="P107" s="274" t="n"/>
      <c r="Q107" s="275" t="n"/>
      <c r="R107" s="275" t="n"/>
      <c r="S107" s="275" t="n"/>
      <c r="T107" s="558" t="n"/>
      <c r="U107" s="277" t="n"/>
      <c r="V107" s="1" t="n"/>
    </row>
    <row r="108">
      <c r="E108" s="111" t="inlineStr">
        <is>
          <t>Subtotal:</t>
        </is>
      </c>
      <c r="F108" s="90" t="n"/>
      <c r="G108" s="559">
        <f>SUBTOTAL(9,G7:G107)</f>
        <v/>
      </c>
      <c r="H108" s="506" t="n"/>
      <c r="I108" s="506" t="n"/>
      <c r="J108" s="504" t="n"/>
      <c r="K108" s="504" t="n"/>
      <c r="L108" s="504" t="n"/>
      <c r="M108" s="504" t="n"/>
      <c r="N108" s="506" t="n"/>
      <c r="O108" s="560" t="n"/>
      <c r="P108" s="65" t="n"/>
      <c r="Q108" s="65" t="n"/>
      <c r="R108" s="77" t="n"/>
      <c r="S108" s="65" t="n"/>
      <c r="T108" s="77" t="n"/>
      <c r="U108" s="58" t="n"/>
      <c r="V108" s="65" t="n"/>
    </row>
    <row r="109">
      <c r="F109" s="49" t="n"/>
      <c r="O109" s="561" t="n"/>
      <c r="U109" s="525" t="n"/>
    </row>
    <row r="111" ht="15.75" customHeight="1" s="358" thickBot="1">
      <c r="E111" s="562" t="inlineStr">
        <is>
          <t>SUBMITTED TOTAL</t>
        </is>
      </c>
      <c r="G111" s="101">
        <f>SUM(G7:G107)</f>
        <v/>
      </c>
      <c r="H111" s="320" t="n"/>
      <c r="I111" s="320" t="n"/>
      <c r="J111" s="563" t="n"/>
      <c r="K111" s="563" t="n"/>
      <c r="L111" s="563" t="n"/>
      <c r="M111" s="477" t="n"/>
      <c r="N111" s="476" t="n"/>
    </row>
    <row r="112" ht="15.75" customHeight="1" s="358" thickTop="1">
      <c r="F112" s="49" t="n"/>
      <c r="O112" s="511" t="n"/>
      <c r="U112" s="476" t="n"/>
    </row>
    <row r="115">
      <c r="E115" s="29" t="inlineStr">
        <is>
          <t>ELIGIBLE TOTAL</t>
        </is>
      </c>
      <c r="F115" s="459" t="n"/>
      <c r="G115" s="460" t="n"/>
      <c r="J115" s="428" t="inlineStr">
        <is>
          <t>INELIGIBLE TOTAL</t>
        </is>
      </c>
      <c r="K115" s="429" t="n"/>
      <c r="L115" s="430" t="n"/>
    </row>
    <row r="116">
      <c r="E116" s="186" t="inlineStr">
        <is>
          <t>NO-OOS</t>
        </is>
      </c>
      <c r="F116" s="92" t="inlineStr">
        <is>
          <t>NO-TX</t>
        </is>
      </c>
      <c r="G116" s="93" t="inlineStr">
        <is>
          <t>YES</t>
        </is>
      </c>
      <c r="J116" s="43" t="inlineStr">
        <is>
          <t>NO-OOS</t>
        </is>
      </c>
      <c r="K116" s="92" t="inlineStr">
        <is>
          <t>NO-TX</t>
        </is>
      </c>
      <c r="L116" s="93" t="inlineStr">
        <is>
          <t>YES</t>
        </is>
      </c>
    </row>
    <row r="117">
      <c r="E117" s="564">
        <f>SUMIF($U$7:$U$106,E116,$I$7:$I$106)</f>
        <v/>
      </c>
      <c r="F117" s="492">
        <f>SUMIF($U$7:$U$106,F116,$I$7:$I$106)</f>
        <v/>
      </c>
      <c r="G117" s="492">
        <f>SUMIF($U$7:$U$106,G116,$I$7:$I$106)</f>
        <v/>
      </c>
      <c r="H117" s="474">
        <f>SUM(E117:G117)</f>
        <v/>
      </c>
      <c r="J117" s="492">
        <f>SUMIF($U$7:$U$106,J116,$H$7:$H$106)</f>
        <v/>
      </c>
      <c r="K117" s="492">
        <f>SUMIF($U$7:$U$106,K116,$H$7:$H$106)</f>
        <v/>
      </c>
      <c r="L117" s="492">
        <f>SUMIF($U$7:$U$106,L116,$H$7:$H$106)</f>
        <v/>
      </c>
      <c r="M117" s="474">
        <f>SUM(J117:L117)</f>
        <v/>
      </c>
    </row>
    <row r="118">
      <c r="H118" s="97">
        <f>I111-H117</f>
        <v/>
      </c>
      <c r="J118" s="32" t="n"/>
      <c r="K118" s="32" t="n"/>
      <c r="L118" s="493" t="n"/>
      <c r="M118" s="97">
        <f>H111-M117</f>
        <v/>
      </c>
    </row>
    <row r="119">
      <c r="E119" s="565" t="n"/>
      <c r="F119" s="479" t="n"/>
      <c r="G119" s="479" t="n"/>
      <c r="J119" s="422" t="n"/>
      <c r="L119" s="422" t="n"/>
    </row>
    <row r="120">
      <c r="G120" s="479" t="n"/>
      <c r="H120" s="479" t="inlineStr">
        <is>
          <t>Total Eligible</t>
        </is>
      </c>
      <c r="I120" s="479">
        <f>G117</f>
        <v/>
      </c>
      <c r="K120" s="68" t="n"/>
      <c r="L120" s="422" t="n"/>
    </row>
    <row r="121" ht="15.75" customHeight="1" s="358" thickBot="1">
      <c r="G121" s="479" t="n"/>
      <c r="H121" s="494" t="inlineStr">
        <is>
          <t>Total Ineligible</t>
        </is>
      </c>
      <c r="I121" s="494">
        <f>E117+F117+J117+K117+L117</f>
        <v/>
      </c>
      <c r="K121" s="68" t="n"/>
      <c r="L121" s="422" t="n"/>
    </row>
    <row r="122" ht="15.75" customHeight="1" s="358" thickTop="1">
      <c r="G122" s="479" t="n"/>
      <c r="H122" s="479" t="inlineStr">
        <is>
          <t>Total Expenses</t>
        </is>
      </c>
      <c r="I122" s="479">
        <f>SUM(I120:I121)</f>
        <v/>
      </c>
      <c r="K122" s="68" t="n"/>
      <c r="L122" s="422" t="n"/>
    </row>
    <row r="123">
      <c r="G123" s="479" t="n"/>
      <c r="I123" s="479" t="n"/>
      <c r="J123" s="97">
        <f>G111-I122</f>
        <v/>
      </c>
      <c r="K123" s="68" t="n"/>
      <c r="L123" s="422" t="n"/>
    </row>
    <row r="125">
      <c r="E125" s="174" t="inlineStr">
        <is>
          <t>Employee Name</t>
        </is>
      </c>
      <c r="F125" s="168" t="inlineStr">
        <is>
          <t>Env #</t>
        </is>
      </c>
      <c r="G125" s="39" t="inlineStr">
        <is>
          <t>Total</t>
        </is>
      </c>
      <c r="H125" s="170" t="inlineStr">
        <is>
          <t>Qualified Amount</t>
        </is>
      </c>
      <c r="I125" s="39" t="inlineStr">
        <is>
          <t>Ineligible Amount</t>
        </is>
      </c>
      <c r="J125" s="39" t="inlineStr">
        <is>
          <t>Category/Department</t>
        </is>
      </c>
      <c r="K125" s="39" t="inlineStr">
        <is>
          <t>Crew Position</t>
        </is>
      </c>
    </row>
    <row r="126">
      <c r="F126" s="422" t="n"/>
      <c r="G126" s="482">
        <f>SUMIFS($G$7:$G$107, $J$7:$J$107, E126, $D$7:$D$107, F126)</f>
        <v/>
      </c>
      <c r="H126" s="566">
        <f>SUMIFS($I$7:$I$107, $J$7:$J$107, E126, $D$7:$D$107, F126, $U$7:$U$107, "YES")</f>
        <v/>
      </c>
      <c r="I126" s="523">
        <f>G126-H126</f>
        <v/>
      </c>
      <c r="J126" s="422" t="n"/>
      <c r="K126" s="422" t="n"/>
    </row>
    <row r="127">
      <c r="F127" s="422" t="n"/>
      <c r="G127" s="482">
        <f>SUMIFS($G$7:$G$107, $J$7:$J$107, E127, $D$7:$D$107, F127)</f>
        <v/>
      </c>
      <c r="H127" s="567">
        <f>SUMIFS($I$7:$I$107, $J$7:$J$107, E127, $D$7:$D$107, F127, $U$7:$U$107, "YES")</f>
        <v/>
      </c>
      <c r="I127" s="456">
        <f>G127-H127</f>
        <v/>
      </c>
      <c r="J127" s="422" t="n"/>
      <c r="K127" s="422" t="n"/>
    </row>
    <row r="128">
      <c r="F128" s="422" t="n"/>
      <c r="G128" s="482">
        <f>SUMIFS($G$7:$G$107, $J$7:$J$107, E128, $D$7:$D$107, F128)</f>
        <v/>
      </c>
      <c r="H128" s="567">
        <f>SUMIFS($I$7:$I$107, $J$7:$J$107, E128, $D$7:$D$107, F128, $U$7:$U$107, "YES")</f>
        <v/>
      </c>
      <c r="I128" s="456">
        <f>G128-H128</f>
        <v/>
      </c>
      <c r="J128" s="422" t="n"/>
      <c r="K128" s="422" t="n"/>
    </row>
    <row r="129">
      <c r="F129" s="422" t="n"/>
      <c r="G129" s="482">
        <f>SUMIFS($G$7:$G$107, $J$7:$J$107, E129, $D$7:$D$107, F129)</f>
        <v/>
      </c>
      <c r="H129" s="567">
        <f>SUMIFS($I$7:$I$107, $J$7:$J$107, E129, $D$7:$D$107, F129, $U$7:$U$107, "YES")</f>
        <v/>
      </c>
      <c r="I129" s="456">
        <f>G129-H129</f>
        <v/>
      </c>
      <c r="J129" s="422" t="n"/>
      <c r="K129" s="422" t="n"/>
    </row>
    <row r="130">
      <c r="F130" s="422" t="n"/>
      <c r="G130" s="482">
        <f>SUMIFS($G$7:$G$107, $J$7:$J$107, E130, $D$7:$D$107, F130)</f>
        <v/>
      </c>
      <c r="H130" s="567">
        <f>SUMIFS($I$7:$I$107, $J$7:$J$107, E130, $D$7:$D$107, F130, $U$7:$U$107, "YES")</f>
        <v/>
      </c>
      <c r="I130" s="456">
        <f>G130-H130</f>
        <v/>
      </c>
      <c r="J130" s="422" t="n"/>
      <c r="K130" s="422" t="n"/>
    </row>
    <row r="131">
      <c r="F131" s="422" t="n"/>
      <c r="G131" s="482">
        <f>SUMIFS($G$7:$G$107, $J$7:$J$107, E131, $D$7:$D$107, F131)</f>
        <v/>
      </c>
      <c r="H131" s="567">
        <f>SUMIFS($I$7:$I$107, $J$7:$J$107, E131, $D$7:$D$107, F131, $U$7:$U$107, "YES")</f>
        <v/>
      </c>
      <c r="I131" s="456">
        <f>G131-H131</f>
        <v/>
      </c>
      <c r="J131" s="422" t="n"/>
      <c r="K131" s="422" t="n"/>
    </row>
    <row r="132">
      <c r="F132" s="422" t="n"/>
      <c r="G132" s="482">
        <f>SUMIFS($G$7:$G$107, $J$7:$J$107, E132, $D$7:$D$107, F132)</f>
        <v/>
      </c>
      <c r="H132" s="567">
        <f>SUMIFS($I$7:$I$107, $J$7:$J$107, E132, $D$7:$D$107, F132, $U$7:$U$107, "YES")</f>
        <v/>
      </c>
      <c r="I132" s="456">
        <f>G132-H132</f>
        <v/>
      </c>
      <c r="J132" s="422" t="n"/>
      <c r="K132" s="422" t="n"/>
    </row>
    <row r="133">
      <c r="F133" s="422" t="n"/>
      <c r="G133" s="482">
        <f>SUMIFS($G$7:$G$107, $J$7:$J$107, E133, $D$7:$D$107, F133)</f>
        <v/>
      </c>
      <c r="H133" s="567">
        <f>SUMIFS($I$7:$I$107, $J$7:$J$107, E133, $D$7:$D$107, F133, $U$7:$U$107, "YES")</f>
        <v/>
      </c>
      <c r="I133" s="456">
        <f>G133-H133</f>
        <v/>
      </c>
      <c r="J133" s="422" t="n"/>
      <c r="K133" s="422" t="n"/>
    </row>
    <row r="134" ht="15.75" customHeight="1" s="358" thickBot="1">
      <c r="E134" s="179" t="n"/>
      <c r="F134" s="172" t="n"/>
      <c r="G134" s="490">
        <f>SUMIFS($G$7:$G$107, $J$7:$J$107, E134, $D$7:$D$107, F134)</f>
        <v/>
      </c>
      <c r="H134" s="568">
        <f>SUMIFS($I$7:$I$107, $J$7:$J$107, E134, $D$7:$D$107, F134, $U$7:$U$107, "YES")</f>
        <v/>
      </c>
      <c r="I134" s="569">
        <f>G134-H134</f>
        <v/>
      </c>
      <c r="J134" s="172" t="n"/>
      <c r="K134" s="172" t="n"/>
    </row>
    <row r="135" ht="15.75" customHeight="1" s="358" thickTop="1">
      <c r="F135" t="inlineStr">
        <is>
          <t>Total</t>
        </is>
      </c>
      <c r="G135" s="456">
        <f>SUM(G126:G134)</f>
        <v/>
      </c>
      <c r="H135" s="570">
        <f>SUM(H126:H134)</f>
        <v/>
      </c>
      <c r="I135" s="456">
        <f>SUM(I126:I134)</f>
        <v/>
      </c>
      <c r="J135" s="422" t="n"/>
    </row>
    <row r="136">
      <c r="G136" s="97">
        <f>G135-G111</f>
        <v/>
      </c>
      <c r="H136" s="97">
        <f>H135-I120</f>
        <v/>
      </c>
      <c r="I136" s="97">
        <f>I135-I121</f>
        <v/>
      </c>
      <c r="J136" s="422" t="n"/>
    </row>
  </sheetData>
  <autoFilter ref="B6:V439">
    <filterColumn colId="8" hiddenButton="0" showButton="1">
      <filters>
        <filter val="yes"/>
      </filters>
    </filterColumn>
    <filterColumn colId="19" hiddenButton="0" showButton="1">
      <filters>
        <filter val="yes"/>
      </filters>
    </filterColumn>
  </autoFilter>
  <mergeCells count="2">
    <mergeCell ref="E115:G115"/>
    <mergeCell ref="B1:W1"/>
  </mergeCells>
  <conditionalFormatting sqref="E116">
    <cfRule type="cellIs" priority="21" operator="equal" dxfId="2">
      <formula>"NO-OOS"</formula>
    </cfRule>
    <cfRule type="cellIs" priority="22" operator="equal" dxfId="1">
      <formula>"NO-CO"</formula>
    </cfRule>
    <cfRule type="cellIs" priority="23" operator="equal" dxfId="0">
      <formula>"YES"</formula>
    </cfRule>
    <cfRule type="cellIs" priority="24" operator="equal" dxfId="1">
      <formula>"NO"</formula>
    </cfRule>
  </conditionalFormatting>
  <conditionalFormatting sqref="J116">
    <cfRule type="cellIs" priority="16" operator="equal" dxfId="2">
      <formula>"NO-OOS"</formula>
    </cfRule>
    <cfRule type="cellIs" priority="17" operator="equal" dxfId="1">
      <formula>"NO-CO"</formula>
    </cfRule>
    <cfRule type="cellIs" priority="18" operator="equal" dxfId="0">
      <formula>"YES"</formula>
    </cfRule>
    <cfRule type="cellIs" priority="19" operator="equal" dxfId="1">
      <formula>"NO"</formula>
    </cfRule>
  </conditionalFormatting>
  <conditionalFormatting sqref="U7:U107">
    <cfRule type="cellIs" priority="1" operator="equal" dxfId="2">
      <formula>"NO-OOS"</formula>
    </cfRule>
    <cfRule type="cellIs" priority="2" operator="equal" dxfId="1">
      <formula>"NO-TX"</formula>
    </cfRule>
  </conditionalFormatting>
  <conditionalFormatting sqref="U7:U108">
    <cfRule type="cellIs" priority="3" operator="equal" dxfId="0">
      <formula>"YES"</formula>
    </cfRule>
  </conditionalFormatting>
  <conditionalFormatting sqref="U108">
    <cfRule type="cellIs" priority="547" operator="equal" dxfId="1">
      <formula>"NO"</formula>
    </cfRule>
  </conditionalFormatting>
  <dataValidations xWindow="624" yWindow="305" count="1">
    <dataValidation sqref="E116 J116 V2:V5" showDropDown="0" showInputMessage="1" showErrorMessage="1" allowBlank="1" type="list"/>
  </dataValidations>
  <pageMargins left="0.7" right="0.7" top="0.75" bottom="0.75" header="0.3" footer="0.3"/>
  <pageSetup orientation="portrait" scale="57"/>
</worksheet>
</file>

<file path=xl/worksheets/sheet11.xml><?xml version="1.0" encoding="utf-8"?>
<worksheet xmlns="http://schemas.openxmlformats.org/spreadsheetml/2006/main">
  <sheetPr>
    <tabColor theme="8"/>
    <outlinePr summaryBelow="1" summaryRight="1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baseColWidth="8" defaultColWidth="8.85546875" defaultRowHeight="15"/>
  <cols>
    <col width="2.5703125" customWidth="1" style="358" min="1" max="1"/>
    <col width="8.85546875" customWidth="1" style="9" min="2" max="2"/>
    <col width="16.5703125" customWidth="1" style="109" min="3" max="3"/>
    <col width="22" bestFit="1" customWidth="1" style="422" min="4" max="4"/>
    <col width="16.42578125" customWidth="1" style="27" min="5" max="5"/>
    <col width="20.140625" customWidth="1" style="479" min="6" max="6"/>
    <col width="18.140625" customWidth="1" style="479" min="7" max="7"/>
    <col width="18.5703125" customWidth="1" style="479" min="8" max="8"/>
    <col width="37" bestFit="1" customWidth="1" style="68" min="9" max="9"/>
    <col width="17.28515625" customWidth="1" style="422" min="10" max="10"/>
    <col width="12.7109375" customWidth="1" style="422" min="11" max="11"/>
    <col width="18.5703125" customWidth="1" style="422" min="12" max="12"/>
    <col width="19.5703125" customWidth="1" style="422" min="13" max="13"/>
    <col width="19.140625" customWidth="1" style="422" min="14" max="14"/>
    <col width="13.85546875" customWidth="1" style="422" min="15" max="15"/>
    <col width="51" customWidth="1" style="32" min="16" max="16"/>
    <col width="28.28515625" customWidth="1" style="422" min="17" max="17"/>
    <col width="18.140625" customWidth="1" style="422" min="18" max="18"/>
    <col width="9.28515625" customWidth="1" style="422" min="19" max="19"/>
    <col width="8.28515625" customWidth="1" style="422" min="20" max="20"/>
    <col width="19.28515625" customWidth="1" style="422" min="21" max="21"/>
    <col width="15.5703125" customWidth="1" style="358" min="22" max="22"/>
    <col width="55" customWidth="1" style="32" min="23" max="23"/>
    <col width="23.140625" customWidth="1" style="32" min="24" max="24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31" t="n"/>
      <c r="R2" s="431" t="n"/>
      <c r="S2" s="431" t="n"/>
      <c r="T2" s="431" t="n"/>
      <c r="U2" s="431" t="n"/>
      <c r="V2" s="31" t="n"/>
      <c r="W2" s="31" t="n"/>
      <c r="X2" s="31" t="n"/>
      <c r="Y2" s="431" t="n"/>
      <c r="Z2" s="31" t="n"/>
    </row>
    <row r="3">
      <c r="C3" s="9" t="n"/>
      <c r="D3" s="15" t="n"/>
      <c r="E3" s="23" t="n"/>
      <c r="Q3" s="32" t="n"/>
      <c r="V3" s="32" t="n"/>
      <c r="Z3" s="32" t="n"/>
    </row>
    <row r="4" ht="18.75" customHeight="1" s="358">
      <c r="C4" s="9" t="n"/>
      <c r="D4" s="15" t="n"/>
      <c r="E4" s="4" t="n"/>
      <c r="L4" s="420" t="n"/>
      <c r="M4" s="419" t="n"/>
      <c r="N4" s="419" t="n"/>
      <c r="P4" s="4" t="n"/>
      <c r="Q4" s="4" t="n"/>
      <c r="R4" s="420" t="n"/>
      <c r="S4" s="420" t="n"/>
      <c r="T4" s="420" t="n"/>
      <c r="U4" s="420" t="n"/>
      <c r="V4" s="4" t="n"/>
      <c r="W4" s="4" t="n"/>
      <c r="X4" s="4" t="n"/>
      <c r="Y4" s="4" t="n"/>
      <c r="Z4" s="4" t="n"/>
      <c r="AA4" s="4" t="n"/>
    </row>
    <row r="5" ht="18.75" customHeight="1" s="358">
      <c r="C5" s="9" t="n"/>
      <c r="D5" s="15" t="n"/>
      <c r="E5" s="4" t="n"/>
      <c r="L5" s="420" t="n"/>
      <c r="M5" s="419" t="n"/>
      <c r="N5" s="419" t="n"/>
      <c r="P5" s="4" t="n"/>
      <c r="Q5" s="4" t="n"/>
      <c r="R5" s="420" t="n"/>
      <c r="S5" s="420" t="n"/>
      <c r="T5" s="420" t="n"/>
      <c r="U5" s="420" t="n"/>
      <c r="V5" s="4" t="n"/>
      <c r="W5" s="4" t="n"/>
      <c r="X5" s="4" t="n"/>
      <c r="Y5" s="4" t="n"/>
      <c r="Z5" s="4" t="n"/>
      <c r="AA5" s="4" t="n"/>
    </row>
    <row r="7">
      <c r="D7" s="220" t="inlineStr">
        <is>
          <t>Include</t>
        </is>
      </c>
      <c r="E7" s="184" t="inlineStr">
        <is>
          <t>Include</t>
        </is>
      </c>
      <c r="H7" s="571" t="inlineStr">
        <is>
          <t>Include</t>
        </is>
      </c>
      <c r="I7" s="222" t="inlineStr">
        <is>
          <t>Include</t>
        </is>
      </c>
      <c r="K7" s="220" t="inlineStr">
        <is>
          <t>Include</t>
        </is>
      </c>
      <c r="L7" s="220" t="inlineStr">
        <is>
          <t>Include</t>
        </is>
      </c>
    </row>
    <row r="8" ht="18.75" customFormat="1" customHeight="1" s="7">
      <c r="B8" s="10" t="inlineStr">
        <is>
          <t>ITEM #</t>
        </is>
      </c>
      <c r="C8" s="81" t="inlineStr">
        <is>
          <t>PO #</t>
        </is>
      </c>
      <c r="D8" s="12" t="inlineStr">
        <is>
          <t>Invoice #</t>
        </is>
      </c>
      <c r="E8" s="26" t="inlineStr">
        <is>
          <t xml:space="preserve"> Invoice Date</t>
        </is>
      </c>
      <c r="F8" s="516" t="inlineStr">
        <is>
          <t>Invoice $</t>
        </is>
      </c>
      <c r="G8" s="538" t="inlineStr">
        <is>
          <t>Total Ineligible</t>
        </is>
      </c>
      <c r="H8" s="516" t="inlineStr">
        <is>
          <t>Submitted Amount$</t>
        </is>
      </c>
      <c r="I8" s="69" t="inlineStr">
        <is>
          <t>Vendor Name</t>
        </is>
      </c>
      <c r="J8" s="12" t="inlineStr">
        <is>
          <t>Pymt Method</t>
        </is>
      </c>
      <c r="K8" s="12" t="inlineStr">
        <is>
          <t>Pymt #</t>
        </is>
      </c>
      <c r="L8" s="12" t="inlineStr">
        <is>
          <t>Pay Date</t>
        </is>
      </c>
      <c r="M8" s="12" t="inlineStr">
        <is>
          <t>Proof of Payment?</t>
        </is>
      </c>
      <c r="N8" s="12" t="inlineStr">
        <is>
          <t>Payment Entity</t>
        </is>
      </c>
      <c r="O8" s="12" t="inlineStr">
        <is>
          <t>Type</t>
        </is>
      </c>
      <c r="P8" s="12" t="inlineStr">
        <is>
          <t>Description</t>
        </is>
      </c>
      <c r="Q8" s="12" t="inlineStr">
        <is>
          <t>Address</t>
        </is>
      </c>
      <c r="R8" s="12" t="inlineStr">
        <is>
          <t xml:space="preserve">City </t>
        </is>
      </c>
      <c r="S8" s="12" t="inlineStr">
        <is>
          <t>State</t>
        </is>
      </c>
      <c r="T8" s="12" t="inlineStr">
        <is>
          <t>Zip</t>
        </is>
      </c>
      <c r="U8" s="12" t="inlineStr">
        <is>
          <t>Contact #</t>
        </is>
      </c>
      <c r="V8" s="12" t="inlineStr">
        <is>
          <t>Qualify?</t>
        </is>
      </c>
      <c r="W8" s="33" t="inlineStr">
        <is>
          <t>Notes:</t>
        </is>
      </c>
      <c r="X8" s="12" t="inlineStr">
        <is>
          <t>Job Number</t>
        </is>
      </c>
    </row>
    <row r="9">
      <c r="B9" s="11" t="n">
        <v>1</v>
      </c>
      <c r="C9" s="158" t="n"/>
      <c r="E9" s="454" t="n"/>
      <c r="F9" s="466" t="n">
        <v>0</v>
      </c>
      <c r="G9" s="467" t="n">
        <v>0</v>
      </c>
      <c r="H9" s="466">
        <f>F9-G9</f>
        <v/>
      </c>
      <c r="I9" s="36" t="n"/>
      <c r="J9" s="29" t="n"/>
      <c r="K9" s="29" t="n"/>
      <c r="L9" s="152" t="n"/>
      <c r="M9" s="268" t="n"/>
      <c r="N9" s="29" t="n"/>
      <c r="O9" s="29" t="n"/>
      <c r="P9" s="36" t="n"/>
      <c r="Q9" s="36" t="n"/>
      <c r="R9" s="29" t="n"/>
      <c r="S9" s="29" t="n"/>
      <c r="T9" s="29" t="n"/>
      <c r="U9" s="543" t="n"/>
      <c r="V9" s="43" t="n"/>
      <c r="W9" s="36" t="n"/>
      <c r="X9" s="29" t="n"/>
    </row>
    <row r="10" ht="15" customHeight="1" s="358">
      <c r="B10" s="11" t="n">
        <v>2</v>
      </c>
      <c r="C10" s="158" t="n"/>
      <c r="D10" s="190" t="n"/>
      <c r="E10" s="454" t="n"/>
      <c r="F10" s="466" t="n">
        <v>0</v>
      </c>
      <c r="G10" s="467" t="n">
        <v>0</v>
      </c>
      <c r="H10" s="466">
        <f>F10-G10</f>
        <v/>
      </c>
      <c r="I10" s="36" t="n"/>
      <c r="J10" s="29" t="n"/>
      <c r="K10" s="29" t="n"/>
      <c r="L10" s="152" t="n"/>
      <c r="M10" s="268" t="n"/>
      <c r="N10" s="29" t="n"/>
      <c r="O10" s="29" t="n"/>
      <c r="P10" s="36" t="n"/>
      <c r="Q10" s="36" t="n"/>
      <c r="R10" s="29" t="n"/>
      <c r="S10" s="29" t="n"/>
      <c r="T10" s="29" t="n"/>
      <c r="U10" s="543" t="n"/>
      <c r="V10" s="43" t="n"/>
      <c r="W10" s="36" t="n"/>
      <c r="X10" s="29" t="n"/>
    </row>
    <row r="11" ht="15" customHeight="1" s="358">
      <c r="B11" s="11" t="n">
        <v>3</v>
      </c>
      <c r="C11" s="158" t="n"/>
      <c r="D11" s="189" t="n"/>
      <c r="E11" s="454" t="n"/>
      <c r="F11" s="466" t="n">
        <v>0</v>
      </c>
      <c r="G11" s="467" t="n">
        <v>0</v>
      </c>
      <c r="H11" s="466">
        <f>F11-G11</f>
        <v/>
      </c>
      <c r="I11" s="36" t="n"/>
      <c r="J11" s="29" t="n"/>
      <c r="K11" s="29" t="n"/>
      <c r="L11" s="152" t="n"/>
      <c r="M11" s="268" t="n"/>
      <c r="N11" s="29" t="n"/>
      <c r="O11" s="29" t="n"/>
      <c r="P11" s="36" t="n"/>
      <c r="Q11" s="36" t="n"/>
      <c r="R11" s="29" t="n"/>
      <c r="S11" s="29" t="n"/>
      <c r="T11" s="29" t="n"/>
      <c r="U11" s="543" t="n"/>
      <c r="V11" s="43" t="n"/>
      <c r="W11" s="36" t="n"/>
      <c r="X11" s="29" t="n"/>
    </row>
    <row r="12">
      <c r="B12" s="11" t="n">
        <v>4</v>
      </c>
      <c r="C12" s="158" t="n"/>
      <c r="D12" s="86" t="n"/>
      <c r="E12" s="454" t="n"/>
      <c r="F12" s="466" t="n">
        <v>0</v>
      </c>
      <c r="G12" s="467" t="n">
        <v>0</v>
      </c>
      <c r="H12" s="466">
        <f>F12-G12</f>
        <v/>
      </c>
      <c r="I12" s="36" t="n"/>
      <c r="J12" s="29" t="n"/>
      <c r="K12" s="29" t="n"/>
      <c r="L12" s="152" t="n"/>
      <c r="M12" s="268" t="n"/>
      <c r="N12" s="29" t="n"/>
      <c r="O12" s="29" t="n"/>
      <c r="P12" s="36" t="n"/>
      <c r="Q12" s="36" t="n"/>
      <c r="R12" s="29" t="n"/>
      <c r="S12" s="29" t="n"/>
      <c r="T12" s="29" t="n"/>
      <c r="U12" s="543" t="n"/>
      <c r="V12" s="43" t="n"/>
      <c r="W12" s="36" t="n"/>
      <c r="X12" s="36" t="n"/>
    </row>
    <row r="13" ht="15" customHeight="1" s="358">
      <c r="B13" s="11" t="n">
        <v>5</v>
      </c>
      <c r="C13" s="158" t="n"/>
      <c r="D13" s="86" t="n"/>
      <c r="E13" s="454" t="n"/>
      <c r="F13" s="466" t="n">
        <v>0</v>
      </c>
      <c r="G13" s="467" t="n">
        <v>0</v>
      </c>
      <c r="H13" s="466">
        <f>F13-G13</f>
        <v/>
      </c>
      <c r="I13" s="36" t="n"/>
      <c r="J13" s="29" t="n"/>
      <c r="K13" s="29" t="n"/>
      <c r="L13" s="152" t="n"/>
      <c r="M13" s="268" t="n"/>
      <c r="N13" s="29" t="n"/>
      <c r="O13" s="29" t="n"/>
      <c r="P13" s="36" t="n"/>
      <c r="Q13" s="36" t="n"/>
      <c r="R13" s="29" t="n"/>
      <c r="S13" s="29" t="n"/>
      <c r="T13" s="29" t="n"/>
      <c r="U13" s="543" t="n"/>
      <c r="V13" s="43" t="n"/>
      <c r="W13" s="36" t="n"/>
      <c r="X13" s="36" t="n"/>
    </row>
    <row r="14">
      <c r="B14" s="11" t="n">
        <v>6</v>
      </c>
      <c r="C14" s="158" t="n"/>
      <c r="D14" s="84" t="n"/>
      <c r="E14" s="454" t="n"/>
      <c r="F14" s="466" t="n">
        <v>0</v>
      </c>
      <c r="G14" s="467" t="n">
        <v>0</v>
      </c>
      <c r="H14" s="466">
        <f>F14-G14</f>
        <v/>
      </c>
      <c r="I14" s="36" t="n"/>
      <c r="J14" s="29" t="n"/>
      <c r="K14" s="29" t="n"/>
      <c r="L14" s="152" t="n"/>
      <c r="M14" s="268" t="n"/>
      <c r="N14" s="29" t="n"/>
      <c r="O14" s="29" t="n"/>
      <c r="P14" s="36" t="n"/>
      <c r="Q14" s="36" t="n"/>
      <c r="R14" s="29" t="n"/>
      <c r="S14" s="29" t="n"/>
      <c r="T14" s="29" t="n"/>
      <c r="U14" s="543" t="n"/>
      <c r="V14" s="43" t="n"/>
      <c r="W14" s="36" t="n"/>
      <c r="X14" s="36" t="n"/>
    </row>
    <row r="15">
      <c r="B15" s="11" t="n">
        <v>7</v>
      </c>
      <c r="C15" s="158" t="n"/>
      <c r="D15" s="84" t="n"/>
      <c r="E15" s="454" t="n"/>
      <c r="F15" s="466" t="n">
        <v>0</v>
      </c>
      <c r="G15" s="467" t="n">
        <v>0</v>
      </c>
      <c r="H15" s="466">
        <f>F15-G15</f>
        <v/>
      </c>
      <c r="I15" s="36" t="n"/>
      <c r="J15" s="29" t="n"/>
      <c r="K15" s="29" t="n"/>
      <c r="L15" s="152" t="n"/>
      <c r="M15" s="268" t="n"/>
      <c r="N15" s="29" t="n"/>
      <c r="O15" s="29" t="n"/>
      <c r="P15" s="36" t="n"/>
      <c r="Q15" s="36" t="n"/>
      <c r="R15" s="29" t="n"/>
      <c r="S15" s="29" t="n"/>
      <c r="T15" s="29" t="n"/>
      <c r="U15" s="543" t="n"/>
      <c r="V15" s="43" t="n"/>
      <c r="W15" s="36" t="n"/>
      <c r="X15" s="36" t="n"/>
    </row>
    <row r="16" ht="15" customHeight="1" s="358">
      <c r="B16" s="11" t="n">
        <v>8</v>
      </c>
      <c r="C16" s="158" t="n"/>
      <c r="D16" s="85" t="n"/>
      <c r="E16" s="454" t="n"/>
      <c r="F16" s="466" t="n">
        <v>0</v>
      </c>
      <c r="G16" s="467" t="n">
        <v>0</v>
      </c>
      <c r="H16" s="466">
        <f>F16-G16</f>
        <v/>
      </c>
      <c r="I16" s="36" t="n"/>
      <c r="J16" s="29" t="n"/>
      <c r="K16" s="29" t="n"/>
      <c r="L16" s="152" t="n"/>
      <c r="M16" s="268" t="n"/>
      <c r="N16" s="29" t="n"/>
      <c r="O16" s="29" t="n"/>
      <c r="P16" s="36" t="n"/>
      <c r="Q16" s="36" t="n"/>
      <c r="R16" s="29" t="n"/>
      <c r="S16" s="29" t="n"/>
      <c r="T16" s="29" t="n"/>
      <c r="U16" s="543" t="n"/>
      <c r="V16" s="43" t="n"/>
      <c r="W16" s="36" t="n"/>
      <c r="X16" s="36" t="n"/>
    </row>
    <row r="17">
      <c r="B17" s="11" t="n">
        <v>9</v>
      </c>
      <c r="C17" s="158" t="n"/>
      <c r="D17" s="85" t="n"/>
      <c r="E17" s="454" t="n"/>
      <c r="F17" s="466" t="n">
        <v>0</v>
      </c>
      <c r="G17" s="467" t="n">
        <v>0</v>
      </c>
      <c r="H17" s="466">
        <f>F17-G17</f>
        <v/>
      </c>
      <c r="I17" s="36" t="n"/>
      <c r="J17" s="29" t="n"/>
      <c r="K17" s="29" t="n"/>
      <c r="L17" s="152" t="n"/>
      <c r="M17" s="268" t="n"/>
      <c r="N17" s="29" t="n"/>
      <c r="O17" s="29" t="n"/>
      <c r="P17" s="36" t="n"/>
      <c r="Q17" s="36" t="n"/>
      <c r="R17" s="29" t="n"/>
      <c r="S17" s="29" t="n"/>
      <c r="T17" s="29" t="n"/>
      <c r="U17" s="543" t="n"/>
      <c r="V17" s="43" t="n"/>
      <c r="W17" s="36" t="n"/>
      <c r="X17" s="36" t="n"/>
    </row>
    <row r="18">
      <c r="B18" s="11" t="n">
        <v>10</v>
      </c>
      <c r="C18" s="158" t="n"/>
      <c r="D18" s="85" t="n"/>
      <c r="E18" s="454" t="n"/>
      <c r="F18" s="466" t="n">
        <v>0</v>
      </c>
      <c r="G18" s="467" t="n">
        <v>0</v>
      </c>
      <c r="H18" s="466">
        <f>F18-G18</f>
        <v/>
      </c>
      <c r="I18" s="36" t="n"/>
      <c r="J18" s="29" t="n"/>
      <c r="K18" s="29" t="n"/>
      <c r="L18" s="152" t="n"/>
      <c r="M18" s="268" t="n"/>
      <c r="N18" s="29" t="n"/>
      <c r="O18" s="29" t="n"/>
      <c r="P18" s="36" t="n"/>
      <c r="Q18" s="36" t="n"/>
      <c r="R18" s="29" t="n"/>
      <c r="S18" s="29" t="n"/>
      <c r="T18" s="73" t="n"/>
      <c r="U18" s="543" t="n"/>
      <c r="V18" s="43" t="n"/>
      <c r="W18" s="36" t="n"/>
      <c r="X18" s="36" t="n"/>
    </row>
    <row r="19" ht="15" customHeight="1" s="358">
      <c r="B19" s="11" t="n">
        <v>11</v>
      </c>
      <c r="C19" s="158" t="n"/>
      <c r="D19" s="85" t="n"/>
      <c r="E19" s="454" t="n"/>
      <c r="F19" s="466" t="n">
        <v>0</v>
      </c>
      <c r="G19" s="467" t="n">
        <v>0</v>
      </c>
      <c r="H19" s="466">
        <f>F19-G19</f>
        <v/>
      </c>
      <c r="I19" s="36" t="n"/>
      <c r="J19" s="29" t="n"/>
      <c r="K19" s="29" t="n"/>
      <c r="L19" s="152" t="n"/>
      <c r="M19" s="268" t="n"/>
      <c r="N19" s="29" t="n"/>
      <c r="O19" s="29" t="n"/>
      <c r="P19" s="36" t="n"/>
      <c r="Q19" s="36" t="n"/>
      <c r="R19" s="29" t="n"/>
      <c r="S19" s="29" t="n"/>
      <c r="T19" s="73" t="n"/>
      <c r="U19" s="543" t="n"/>
      <c r="V19" s="43" t="n"/>
      <c r="W19" s="36" t="n"/>
      <c r="X19" s="36" t="n"/>
    </row>
    <row r="20" ht="15" customHeight="1" s="358">
      <c r="B20" s="11" t="n">
        <v>12</v>
      </c>
      <c r="C20" s="158" t="n"/>
      <c r="D20" s="72" t="n"/>
      <c r="E20" s="454" t="n"/>
      <c r="F20" s="466" t="n">
        <v>0</v>
      </c>
      <c r="G20" s="467" t="n">
        <v>0</v>
      </c>
      <c r="H20" s="466">
        <f>F20-G20</f>
        <v/>
      </c>
      <c r="I20" s="36" t="n"/>
      <c r="J20" s="29" t="n"/>
      <c r="K20" s="29" t="n"/>
      <c r="L20" s="152" t="n"/>
      <c r="M20" s="268" t="n"/>
      <c r="N20" s="29" t="n"/>
      <c r="O20" s="29" t="n"/>
      <c r="P20" s="36" t="n"/>
      <c r="Q20" s="36" t="n"/>
      <c r="R20" s="29" t="n"/>
      <c r="S20" s="29" t="n"/>
      <c r="T20" s="73" t="n"/>
      <c r="U20" s="543" t="n"/>
      <c r="V20" s="43" t="n"/>
      <c r="W20" s="36" t="n"/>
      <c r="X20" s="36" t="n"/>
    </row>
    <row r="21" ht="15" customHeight="1" s="358">
      <c r="B21" s="11" t="n">
        <v>13</v>
      </c>
      <c r="C21" s="158" t="n"/>
      <c r="D21" s="85" t="n"/>
      <c r="E21" s="454" t="n"/>
      <c r="F21" s="466" t="n">
        <v>0</v>
      </c>
      <c r="G21" s="467" t="n">
        <v>0</v>
      </c>
      <c r="H21" s="466">
        <f>F21-G21</f>
        <v/>
      </c>
      <c r="I21" s="36" t="n"/>
      <c r="J21" s="29" t="n"/>
      <c r="K21" s="29" t="n"/>
      <c r="L21" s="152" t="n"/>
      <c r="M21" s="268" t="n"/>
      <c r="N21" s="29" t="n"/>
      <c r="O21" s="29" t="n"/>
      <c r="P21" s="36" t="n"/>
      <c r="Q21" s="36" t="n"/>
      <c r="R21" s="29" t="n"/>
      <c r="S21" s="29" t="n"/>
      <c r="T21" s="73" t="n"/>
      <c r="U21" s="543" t="n"/>
      <c r="V21" s="43" t="n"/>
      <c r="W21" s="36" t="n"/>
      <c r="X21" s="36" t="n"/>
    </row>
    <row r="22" ht="15" customHeight="1" s="358">
      <c r="B22" s="11" t="n">
        <v>14</v>
      </c>
      <c r="C22" s="158" t="n"/>
      <c r="D22" s="85" t="n"/>
      <c r="E22" s="454" t="n"/>
      <c r="F22" s="466" t="n">
        <v>0</v>
      </c>
      <c r="G22" s="467" t="n">
        <v>0</v>
      </c>
      <c r="H22" s="466">
        <f>F22-G22</f>
        <v/>
      </c>
      <c r="I22" s="36" t="n"/>
      <c r="J22" s="29" t="n"/>
      <c r="K22" s="29" t="n"/>
      <c r="L22" s="152" t="n"/>
      <c r="M22" s="268" t="n"/>
      <c r="N22" s="29" t="n"/>
      <c r="O22" s="29" t="n"/>
      <c r="P22" s="36" t="n"/>
      <c r="Q22" s="36" t="n"/>
      <c r="R22" s="29" t="n"/>
      <c r="S22" s="29" t="n"/>
      <c r="T22" s="73" t="n"/>
      <c r="U22" s="543" t="n"/>
      <c r="V22" s="43" t="n"/>
      <c r="W22" s="36" t="n"/>
      <c r="X22" s="36" t="n"/>
    </row>
    <row r="23" ht="15" customHeight="1" s="358">
      <c r="B23" s="11" t="n">
        <v>15</v>
      </c>
      <c r="C23" s="158" t="n"/>
      <c r="D23" s="85" t="n"/>
      <c r="E23" s="454" t="n"/>
      <c r="F23" s="466" t="n">
        <v>0</v>
      </c>
      <c r="G23" s="467" t="n">
        <v>0</v>
      </c>
      <c r="H23" s="466">
        <f>F23-G23</f>
        <v/>
      </c>
      <c r="I23" s="36" t="n"/>
      <c r="J23" s="29" t="n"/>
      <c r="K23" s="29" t="n"/>
      <c r="L23" s="152" t="n"/>
      <c r="M23" s="268" t="n"/>
      <c r="N23" s="29" t="n"/>
      <c r="O23" s="29" t="n"/>
      <c r="P23" s="36" t="n"/>
      <c r="Q23" s="36" t="n"/>
      <c r="R23" s="29" t="n"/>
      <c r="S23" s="29" t="n"/>
      <c r="T23" s="73" t="n"/>
      <c r="U23" s="543" t="n"/>
      <c r="V23" s="43" t="n"/>
      <c r="W23" s="36" t="n"/>
      <c r="X23" s="36" t="n"/>
    </row>
    <row r="24" ht="15" customHeight="1" s="358">
      <c r="B24" s="11" t="n">
        <v>16</v>
      </c>
      <c r="C24" s="158" t="n"/>
      <c r="D24" s="85" t="n"/>
      <c r="E24" s="454" t="n"/>
      <c r="F24" s="466" t="n">
        <v>0</v>
      </c>
      <c r="G24" s="467" t="n">
        <v>0</v>
      </c>
      <c r="H24" s="466">
        <f>F24-G24</f>
        <v/>
      </c>
      <c r="I24" s="36" t="n"/>
      <c r="J24" s="29" t="n"/>
      <c r="K24" s="29" t="n"/>
      <c r="L24" s="152" t="n"/>
      <c r="M24" s="268" t="n"/>
      <c r="N24" s="29" t="n"/>
      <c r="O24" s="29" t="n"/>
      <c r="P24" s="36" t="n"/>
      <c r="Q24" s="36" t="n"/>
      <c r="R24" s="29" t="n"/>
      <c r="S24" s="29" t="n"/>
      <c r="T24" s="73" t="n"/>
      <c r="U24" s="543" t="n"/>
      <c r="V24" s="43" t="n"/>
      <c r="W24" s="36" t="n"/>
      <c r="X24" s="36" t="n"/>
    </row>
    <row r="25" ht="15" customHeight="1" s="358">
      <c r="B25" s="11" t="n">
        <v>17</v>
      </c>
      <c r="C25" s="158" t="n"/>
      <c r="D25" s="85" t="n"/>
      <c r="E25" s="454" t="n"/>
      <c r="F25" s="466" t="n">
        <v>0</v>
      </c>
      <c r="G25" s="467" t="n">
        <v>0</v>
      </c>
      <c r="H25" s="466">
        <f>F25-G25</f>
        <v/>
      </c>
      <c r="I25" s="36" t="n"/>
      <c r="J25" s="29" t="n"/>
      <c r="K25" s="29" t="n"/>
      <c r="L25" s="152" t="n"/>
      <c r="M25" s="268" t="n"/>
      <c r="N25" s="29" t="n"/>
      <c r="O25" s="29" t="n"/>
      <c r="P25" s="36" t="n"/>
      <c r="Q25" s="36" t="n"/>
      <c r="R25" s="29" t="n"/>
      <c r="S25" s="29" t="n"/>
      <c r="T25" s="73" t="n"/>
      <c r="U25" s="543" t="n"/>
      <c r="V25" s="43" t="n"/>
      <c r="W25" s="36" t="n"/>
      <c r="X25" s="36" t="n"/>
    </row>
    <row r="26" ht="15" customHeight="1" s="358">
      <c r="B26" s="11" t="n">
        <v>18</v>
      </c>
      <c r="C26" s="158" t="n"/>
      <c r="D26" s="85" t="n"/>
      <c r="E26" s="454" t="n"/>
      <c r="F26" s="466" t="n">
        <v>0</v>
      </c>
      <c r="G26" s="467" t="n">
        <v>0</v>
      </c>
      <c r="H26" s="466">
        <f>F26-G26</f>
        <v/>
      </c>
      <c r="I26" s="36" t="n"/>
      <c r="J26" s="29" t="n"/>
      <c r="K26" s="29" t="n"/>
      <c r="L26" s="152" t="n"/>
      <c r="M26" s="268" t="n"/>
      <c r="N26" s="29" t="n"/>
      <c r="O26" s="29" t="n"/>
      <c r="P26" s="36" t="n"/>
      <c r="Q26" s="36" t="n"/>
      <c r="R26" s="29" t="n"/>
      <c r="S26" s="29" t="n"/>
      <c r="T26" s="73" t="n"/>
      <c r="U26" s="543" t="n"/>
      <c r="V26" s="43" t="n"/>
      <c r="W26" s="36" t="n"/>
      <c r="X26" s="36" t="n"/>
    </row>
    <row r="27" ht="15" customHeight="1" s="358">
      <c r="B27" s="11" t="n">
        <v>19</v>
      </c>
      <c r="C27" s="158" t="n"/>
      <c r="D27" s="85" t="n"/>
      <c r="E27" s="454" t="n"/>
      <c r="F27" s="466" t="n">
        <v>0</v>
      </c>
      <c r="G27" s="467" t="n">
        <v>0</v>
      </c>
      <c r="H27" s="466">
        <f>F27-G27</f>
        <v/>
      </c>
      <c r="I27" s="36" t="n"/>
      <c r="J27" s="29" t="n"/>
      <c r="K27" s="29" t="n"/>
      <c r="L27" s="152" t="n"/>
      <c r="M27" s="268" t="n"/>
      <c r="N27" s="29" t="n"/>
      <c r="O27" s="29" t="n"/>
      <c r="P27" s="36" t="n"/>
      <c r="Q27" s="36" t="n"/>
      <c r="R27" s="29" t="n"/>
      <c r="S27" s="29" t="n"/>
      <c r="T27" s="73" t="n"/>
      <c r="U27" s="543" t="n"/>
      <c r="V27" s="43" t="n"/>
      <c r="W27" s="36" t="n"/>
      <c r="X27" s="36" t="n"/>
    </row>
    <row r="28" ht="15" customHeight="1" s="358">
      <c r="B28" s="11" t="n">
        <v>20</v>
      </c>
      <c r="C28" s="158" t="n"/>
      <c r="D28" s="85" t="n"/>
      <c r="E28" s="454" t="n"/>
      <c r="F28" s="466" t="n">
        <v>0</v>
      </c>
      <c r="G28" s="467" t="n">
        <v>0</v>
      </c>
      <c r="H28" s="466">
        <f>F28-G28</f>
        <v/>
      </c>
      <c r="I28" s="36" t="n"/>
      <c r="J28" s="29" t="n"/>
      <c r="K28" s="29" t="n"/>
      <c r="L28" s="152" t="n"/>
      <c r="M28" s="268" t="n"/>
      <c r="N28" s="29" t="n"/>
      <c r="O28" s="29" t="n"/>
      <c r="P28" s="36" t="n"/>
      <c r="Q28" s="36" t="n"/>
      <c r="R28" s="29" t="n"/>
      <c r="S28" s="29" t="n"/>
      <c r="T28" s="73" t="n"/>
      <c r="U28" s="543" t="n"/>
      <c r="V28" s="43" t="n"/>
      <c r="W28" s="36" t="n"/>
      <c r="X28" s="36" t="n"/>
    </row>
    <row r="29">
      <c r="B29" s="11" t="n"/>
      <c r="C29" s="108" t="n"/>
      <c r="D29" s="43" t="n"/>
      <c r="E29" s="454" t="n"/>
      <c r="F29" s="466" t="n">
        <v>0</v>
      </c>
      <c r="G29" s="467" t="n">
        <v>0</v>
      </c>
      <c r="H29" s="466">
        <f>F29-G29</f>
        <v/>
      </c>
      <c r="I29" s="36" t="n"/>
      <c r="J29" s="29" t="n"/>
      <c r="K29" s="29" t="n"/>
      <c r="L29" s="29" t="n"/>
      <c r="M29" s="268" t="n"/>
      <c r="N29" s="29" t="n"/>
      <c r="O29" s="29" t="n"/>
      <c r="P29" s="36" t="n"/>
      <c r="Q29" s="36" t="n"/>
      <c r="R29" s="29" t="n"/>
      <c r="S29" s="29" t="n"/>
      <c r="T29" s="29" t="n"/>
      <c r="U29" s="543" t="n"/>
      <c r="V29" s="43" t="n"/>
      <c r="W29" s="36" t="n"/>
      <c r="X29" s="36" t="n"/>
    </row>
    <row r="30">
      <c r="C30" s="104" t="n"/>
      <c r="D30" s="61" t="n"/>
      <c r="E30" s="80" t="n"/>
      <c r="F30" s="501">
        <f>SUBTOTAL(9,F9:F29)</f>
        <v/>
      </c>
      <c r="G30" s="545">
        <f>SUBTOTAL(9,G9:G29)</f>
        <v/>
      </c>
      <c r="H30" s="545">
        <f>SUBTOTAL(9,H9:H29)</f>
        <v/>
      </c>
      <c r="I30" s="70" t="n"/>
      <c r="J30" s="502" t="n"/>
      <c r="K30" s="30">
        <f>SUBTOTAL(2,K9:K29)</f>
        <v/>
      </c>
      <c r="L30" s="504" t="n"/>
      <c r="M30" s="503" t="n"/>
      <c r="N30" s="504" t="n"/>
      <c r="O30" s="504" t="n"/>
      <c r="P30" s="505" t="n"/>
      <c r="Q30" s="504" t="n"/>
      <c r="R30" s="504" t="n"/>
      <c r="S30" s="504" t="n"/>
      <c r="T30" s="504" t="n"/>
      <c r="U30" s="504" t="n"/>
      <c r="V30" s="506" t="n"/>
      <c r="W30" s="37" t="n"/>
      <c r="X30" s="37" t="n"/>
    </row>
    <row r="31">
      <c r="F31" s="482" t="n"/>
      <c r="G31" s="482" t="n"/>
      <c r="H31" s="482" t="n"/>
    </row>
    <row r="32">
      <c r="F32" s="482" t="n"/>
      <c r="G32" s="482" t="n"/>
      <c r="H32" s="482" t="n"/>
    </row>
    <row r="33" ht="15.75" customHeight="1" s="358" thickBot="1">
      <c r="C33" s="507" t="n"/>
      <c r="D33" s="508" t="n"/>
      <c r="E33" s="28" t="n"/>
      <c r="F33" s="510">
        <f>SUM(F9:F29)</f>
        <v/>
      </c>
      <c r="G33" s="510">
        <f>SUM(G9:G29)</f>
        <v/>
      </c>
      <c r="H33" s="510">
        <f>SUM(H9:H29)</f>
        <v/>
      </c>
      <c r="I33" s="75" t="n"/>
      <c r="J33" s="477" t="n"/>
      <c r="L33" s="477" t="n"/>
      <c r="M33" s="477" t="n"/>
      <c r="N33" s="477" t="n"/>
      <c r="O33" s="477" t="n"/>
      <c r="P33" s="511" t="n"/>
      <c r="Q33" s="477" t="n"/>
      <c r="R33" s="477" t="n"/>
      <c r="S33" s="477" t="n"/>
      <c r="T33" s="477" t="n"/>
      <c r="U33" s="477" t="n"/>
      <c r="V33" s="476" t="n"/>
    </row>
    <row r="34" ht="15.75" customHeight="1" s="358" thickTop="1">
      <c r="M34" s="477" t="n"/>
    </row>
    <row r="37">
      <c r="D37" s="29" t="inlineStr">
        <is>
          <t>ELIGIBLE TOTAL</t>
        </is>
      </c>
      <c r="E37" s="459" t="n"/>
      <c r="F37" s="460" t="n"/>
      <c r="G37" s="422" t="n"/>
      <c r="J37" s="29" t="inlineStr">
        <is>
          <t>INELIGIBLE TOTAL</t>
        </is>
      </c>
      <c r="K37" s="459" t="n"/>
      <c r="L37" s="460" t="n"/>
    </row>
    <row r="38">
      <c r="D38" s="43" t="inlineStr">
        <is>
          <t>NO-OOS</t>
        </is>
      </c>
      <c r="E38" s="92" t="inlineStr">
        <is>
          <t>NO-TX</t>
        </is>
      </c>
      <c r="F38" s="93" t="inlineStr">
        <is>
          <t>YES</t>
        </is>
      </c>
      <c r="G38" s="487" t="n"/>
      <c r="J38" s="43" t="inlineStr">
        <is>
          <t>NO-OOS</t>
        </is>
      </c>
      <c r="K38" s="92" t="inlineStr">
        <is>
          <t>NO-TX</t>
        </is>
      </c>
      <c r="L38" s="93" t="inlineStr">
        <is>
          <t>YES</t>
        </is>
      </c>
    </row>
    <row r="39">
      <c r="D39" s="492">
        <f>SUMIF($V$9:$V$29,D$38,$H$9:$H$29)</f>
        <v/>
      </c>
      <c r="E39" s="492">
        <f>SUMIF($V$9:$V$29,E$38,$H$9:$H$29)</f>
        <v/>
      </c>
      <c r="F39" s="492">
        <f>SUMIF($V$9:$V$29,F$38,$H$9:$H$29)</f>
        <v/>
      </c>
      <c r="G39" s="474">
        <f>SUM(D39:F39)</f>
        <v/>
      </c>
      <c r="J39" s="492">
        <f>SUMIF($V$9:$V$27,J$38,$G$9:$G$27)</f>
        <v/>
      </c>
      <c r="K39" s="492">
        <f>SUMIF($V$9:$V$27,K$38,$G$9:$G$27)</f>
        <v/>
      </c>
      <c r="L39" s="492">
        <f>SUMIF($V$9:$V$27,L$38,$G$9:$G$27)</f>
        <v/>
      </c>
      <c r="M39" s="475">
        <f>SUM(J39:L39)</f>
        <v/>
      </c>
    </row>
    <row r="40">
      <c r="G40" s="97">
        <f>H33-G39</f>
        <v/>
      </c>
      <c r="J40" s="32" t="n"/>
      <c r="L40" s="512" t="n"/>
      <c r="M40" s="97">
        <f>G33-M39</f>
        <v/>
      </c>
    </row>
    <row r="41">
      <c r="D41" s="479" t="n"/>
      <c r="E41" s="479" t="n"/>
      <c r="G41" s="68" t="n"/>
    </row>
    <row r="42">
      <c r="G42" s="480" t="inlineStr">
        <is>
          <t>Total Eligible</t>
        </is>
      </c>
      <c r="H42" s="479">
        <f>F39</f>
        <v/>
      </c>
      <c r="I42" s="479" t="n"/>
      <c r="J42" s="119" t="n"/>
    </row>
    <row r="43" ht="15.75" customHeight="1" s="358" thickBot="1">
      <c r="G43" s="513" t="inlineStr">
        <is>
          <t>Total Ineligible</t>
        </is>
      </c>
      <c r="H43" s="494">
        <f>D39+E39+J39+K39+L39</f>
        <v/>
      </c>
      <c r="I43" s="479" t="n"/>
      <c r="J43" s="119" t="n"/>
    </row>
    <row r="44" ht="15.75" customHeight="1" s="358" thickTop="1">
      <c r="G44" s="480" t="inlineStr">
        <is>
          <t>Total Expenses</t>
        </is>
      </c>
      <c r="H44" s="479">
        <f>SUM(H42:H43)</f>
        <v/>
      </c>
      <c r="I44" s="479" t="n"/>
      <c r="J44" s="119" t="n"/>
    </row>
    <row r="45">
      <c r="H45" s="97">
        <f>F33-H44</f>
        <v/>
      </c>
      <c r="I45" s="479" t="n"/>
    </row>
    <row r="46">
      <c r="H46" s="97" t="n"/>
      <c r="I46" s="479" t="n"/>
    </row>
    <row r="48">
      <c r="G48" s="547" t="inlineStr">
        <is>
          <t>Pymt Method</t>
        </is>
      </c>
      <c r="H48" s="547" t="inlineStr">
        <is>
          <t>Total</t>
        </is>
      </c>
      <c r="I48" s="223" t="inlineStr">
        <is>
          <t>Qualified</t>
        </is>
      </c>
      <c r="J48" s="39" t="inlineStr">
        <is>
          <t>Ineligible</t>
        </is>
      </c>
    </row>
    <row r="49">
      <c r="G49" s="479" t="inlineStr">
        <is>
          <t>Check</t>
        </is>
      </c>
      <c r="H49" s="479">
        <f>SUMIF($J$9:$J$29,G49,$F$9:$F$29)</f>
        <v/>
      </c>
      <c r="I49" s="548">
        <f>SUMIFS($H$9:$H$29,$J$9:$J$29,G49,$V$9:$V$29,"YES")</f>
        <v/>
      </c>
      <c r="J49" s="458">
        <f>H49-I49</f>
        <v/>
      </c>
    </row>
    <row r="50">
      <c r="G50" s="479" t="inlineStr">
        <is>
          <t>Credit Card</t>
        </is>
      </c>
      <c r="H50" s="479">
        <f>SUMIF($J$9:$J$29,G50,$F$9:$F$29)</f>
        <v/>
      </c>
      <c r="I50" s="548">
        <f>SUMIFS($H$9:$H$29,$J$9:$J$29,G50,$V$9:$V$29,"YES")</f>
        <v/>
      </c>
      <c r="J50" s="458">
        <f>H50-I50</f>
        <v/>
      </c>
    </row>
    <row r="51" ht="15.75" customHeight="1" s="358" thickBot="1">
      <c r="G51" s="494" t="inlineStr">
        <is>
          <t>Unknown</t>
        </is>
      </c>
      <c r="H51" s="494">
        <f>SUMIF($J$9:$J$29,G51,$F$9:$F$29)</f>
        <v/>
      </c>
      <c r="I51" s="549">
        <f>SUMIFS($H$9:$H$29,$J$9:$J$29,G51,$V$9:$V$29,"YES")</f>
        <v/>
      </c>
      <c r="J51" s="550">
        <f>H51-I51</f>
        <v/>
      </c>
    </row>
    <row r="52" ht="15.75" customHeight="1" s="358" thickTop="1">
      <c r="H52" s="479">
        <f>SUM(H49:H51)</f>
        <v/>
      </c>
      <c r="I52" s="551">
        <f>SUM(I49:I51)</f>
        <v/>
      </c>
      <c r="J52" s="479">
        <f>SUM(J49:J51)</f>
        <v/>
      </c>
    </row>
    <row r="53">
      <c r="H53" s="96">
        <f>H52-H44</f>
        <v/>
      </c>
      <c r="I53" s="96">
        <f>I52-H42</f>
        <v/>
      </c>
      <c r="J53" s="96">
        <f>J52-H43</f>
        <v/>
      </c>
    </row>
  </sheetData>
  <autoFilter ref="B8:X29"/>
  <mergeCells count="3">
    <mergeCell ref="D37:F37"/>
    <mergeCell ref="B1:Z1"/>
    <mergeCell ref="J37:L37"/>
  </mergeCells>
  <conditionalFormatting sqref="D38">
    <cfRule type="cellIs" priority="12" operator="equal" dxfId="2">
      <formula>"NO-OOS"</formula>
    </cfRule>
    <cfRule type="cellIs" priority="13" operator="equal" dxfId="1">
      <formula>"NO-CO"</formula>
    </cfRule>
    <cfRule type="cellIs" priority="14" operator="equal" dxfId="0">
      <formula>"YES"</formula>
    </cfRule>
    <cfRule type="cellIs" priority="15" operator="equal" dxfId="1">
      <formula>"NO"</formula>
    </cfRule>
  </conditionalFormatting>
  <conditionalFormatting sqref="J38">
    <cfRule type="cellIs" priority="7" operator="equal" dxfId="2">
      <formula>"NO-OOS"</formula>
    </cfRule>
    <cfRule type="cellIs" priority="8" operator="equal" dxfId="1">
      <formula>"NO-CO"</formula>
    </cfRule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M9:M29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29">
    <cfRule type="cellIs" priority="1" operator="equal" dxfId="2">
      <formula>"NO-OOS"</formula>
    </cfRule>
    <cfRule type="cellIs" priority="2" operator="equal" dxfId="1">
      <formula>"NO-TX"</formula>
    </cfRule>
    <cfRule type="cellIs" priority="3" operator="equal" dxfId="0">
      <formula>"YES"</formula>
    </cfRule>
  </conditionalFormatting>
  <hyperlinks>
    <hyperlink ref="F3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12.xml><?xml version="1.0" encoding="utf-8"?>
<worksheet xmlns="http://schemas.openxmlformats.org/spreadsheetml/2006/main">
  <sheetPr>
    <tabColor theme="8"/>
    <outlinePr summaryBelow="1" summaryRight="1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baseColWidth="8" defaultColWidth="8.85546875" defaultRowHeight="15"/>
  <cols>
    <col width="2.5703125" customWidth="1" style="358" min="1" max="1"/>
    <col width="8.85546875" customWidth="1" style="9" min="2" max="2"/>
    <col width="16.5703125" customWidth="1" style="109" min="3" max="3"/>
    <col width="22" bestFit="1" customWidth="1" style="422" min="4" max="4"/>
    <col width="16.42578125" customWidth="1" style="27" min="5" max="5"/>
    <col width="20.140625" customWidth="1" style="479" min="6" max="6"/>
    <col width="18.140625" customWidth="1" style="479" min="7" max="7"/>
    <col width="18.5703125" customWidth="1" style="479" min="8" max="8"/>
    <col width="37" bestFit="1" customWidth="1" style="68" min="9" max="9"/>
    <col width="17.28515625" customWidth="1" style="422" min="10" max="10"/>
    <col width="12.7109375" customWidth="1" style="422" min="11" max="11"/>
    <col width="18.5703125" customWidth="1" style="422" min="12" max="12"/>
    <col width="19.5703125" customWidth="1" style="422" min="13" max="13"/>
    <col width="19.140625" customWidth="1" style="422" min="14" max="14"/>
    <col width="13.85546875" customWidth="1" style="422" min="15" max="15"/>
    <col width="51" customWidth="1" style="32" min="16" max="16"/>
    <col width="28.28515625" customWidth="1" style="422" min="17" max="17"/>
    <col width="18.140625" customWidth="1" style="422" min="18" max="18"/>
    <col width="9.28515625" customWidth="1" style="422" min="19" max="19"/>
    <col width="8.28515625" customWidth="1" style="422" min="20" max="20"/>
    <col width="19.28515625" customWidth="1" style="422" min="21" max="21"/>
    <col width="15.5703125" customWidth="1" style="358" min="22" max="22"/>
    <col width="55" customWidth="1" style="32" min="23" max="23"/>
    <col width="23.140625" customWidth="1" style="32" min="24" max="24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31" t="n"/>
      <c r="R2" s="431" t="n"/>
      <c r="S2" s="431" t="n"/>
      <c r="T2" s="431" t="n"/>
      <c r="U2" s="431" t="n"/>
      <c r="V2" s="31" t="n"/>
      <c r="W2" s="31" t="n"/>
      <c r="X2" s="31" t="n"/>
      <c r="Y2" s="431" t="n"/>
      <c r="Z2" s="31" t="n"/>
    </row>
    <row r="3">
      <c r="C3" s="9" t="n"/>
      <c r="D3" s="15" t="n"/>
      <c r="E3" s="23" t="n"/>
      <c r="Q3" s="32" t="n"/>
      <c r="V3" s="32" t="n"/>
      <c r="Z3" s="32" t="n"/>
    </row>
    <row r="4" ht="18.75" customHeight="1" s="358">
      <c r="C4" s="9" t="n"/>
      <c r="D4" s="15" t="n"/>
      <c r="E4" s="4" t="n"/>
      <c r="L4" s="420" t="n"/>
      <c r="M4" s="419" t="n"/>
      <c r="N4" s="419" t="n"/>
      <c r="P4" s="4" t="n"/>
      <c r="Q4" s="4" t="n"/>
      <c r="R4" s="420" t="n"/>
      <c r="S4" s="420" t="n"/>
      <c r="T4" s="420" t="n"/>
      <c r="U4" s="420" t="n"/>
      <c r="V4" s="4" t="n"/>
      <c r="W4" s="4" t="n"/>
      <c r="X4" s="4" t="n"/>
      <c r="Y4" s="4" t="n"/>
      <c r="Z4" s="4" t="n"/>
      <c r="AA4" s="4" t="n"/>
    </row>
    <row r="5" ht="18.75" customHeight="1" s="358">
      <c r="C5" s="9" t="n"/>
      <c r="D5" s="15" t="n"/>
      <c r="E5" s="4" t="n"/>
      <c r="L5" s="420" t="n"/>
      <c r="M5" s="419" t="n"/>
      <c r="N5" s="419" t="n"/>
      <c r="P5" s="4" t="n"/>
      <c r="Q5" s="4" t="n"/>
      <c r="R5" s="420" t="n"/>
      <c r="S5" s="420" t="n"/>
      <c r="T5" s="420" t="n"/>
      <c r="U5" s="420" t="n"/>
      <c r="V5" s="4" t="n"/>
      <c r="W5" s="4" t="n"/>
      <c r="X5" s="4" t="n"/>
      <c r="Y5" s="4" t="n"/>
      <c r="Z5" s="4" t="n"/>
      <c r="AA5" s="4" t="n"/>
    </row>
    <row r="7">
      <c r="D7" s="220" t="inlineStr">
        <is>
          <t>Include</t>
        </is>
      </c>
      <c r="E7" s="184" t="inlineStr">
        <is>
          <t>Include</t>
        </is>
      </c>
      <c r="H7" s="571" t="inlineStr">
        <is>
          <t>Include</t>
        </is>
      </c>
      <c r="I7" s="222" t="inlineStr">
        <is>
          <t>Include</t>
        </is>
      </c>
      <c r="K7" s="220" t="inlineStr">
        <is>
          <t>Include</t>
        </is>
      </c>
      <c r="L7" s="220" t="inlineStr">
        <is>
          <t>Include</t>
        </is>
      </c>
    </row>
    <row r="8" ht="18.75" customFormat="1" customHeight="1" s="7">
      <c r="B8" s="10" t="inlineStr">
        <is>
          <t>ITEM #</t>
        </is>
      </c>
      <c r="C8" s="81" t="inlineStr">
        <is>
          <t>PO #</t>
        </is>
      </c>
      <c r="D8" s="12" t="inlineStr">
        <is>
          <t>Invoice #</t>
        </is>
      </c>
      <c r="E8" s="26" t="inlineStr">
        <is>
          <t xml:space="preserve"> Invoice Date</t>
        </is>
      </c>
      <c r="F8" s="516" t="inlineStr">
        <is>
          <t>Invoice $</t>
        </is>
      </c>
      <c r="G8" s="538" t="inlineStr">
        <is>
          <t>Total Ineligible</t>
        </is>
      </c>
      <c r="H8" s="516" t="inlineStr">
        <is>
          <t>Submitted Amount$</t>
        </is>
      </c>
      <c r="I8" s="69" t="inlineStr">
        <is>
          <t>Vendor Name</t>
        </is>
      </c>
      <c r="J8" s="12" t="inlineStr">
        <is>
          <t>Pymt Method</t>
        </is>
      </c>
      <c r="K8" s="12" t="inlineStr">
        <is>
          <t>Pymt #</t>
        </is>
      </c>
      <c r="L8" s="12" t="inlineStr">
        <is>
          <t>Pay Date</t>
        </is>
      </c>
      <c r="M8" s="12" t="inlineStr">
        <is>
          <t>Proof of Payment?</t>
        </is>
      </c>
      <c r="N8" s="12" t="inlineStr">
        <is>
          <t>Payment Entity</t>
        </is>
      </c>
      <c r="O8" s="12" t="inlineStr">
        <is>
          <t>Type</t>
        </is>
      </c>
      <c r="P8" s="12" t="inlineStr">
        <is>
          <t>Description</t>
        </is>
      </c>
      <c r="Q8" s="12" t="inlineStr">
        <is>
          <t>Address</t>
        </is>
      </c>
      <c r="R8" s="12" t="inlineStr">
        <is>
          <t xml:space="preserve">City </t>
        </is>
      </c>
      <c r="S8" s="12" t="inlineStr">
        <is>
          <t>State</t>
        </is>
      </c>
      <c r="T8" s="12" t="inlineStr">
        <is>
          <t>Zip</t>
        </is>
      </c>
      <c r="U8" s="12" t="inlineStr">
        <is>
          <t>Contact #</t>
        </is>
      </c>
      <c r="V8" s="12" t="inlineStr">
        <is>
          <t>Qualify?</t>
        </is>
      </c>
      <c r="W8" s="33" t="inlineStr">
        <is>
          <t>Notes:</t>
        </is>
      </c>
      <c r="X8" s="12" t="inlineStr">
        <is>
          <t>Job Number</t>
        </is>
      </c>
    </row>
    <row r="9">
      <c r="B9" s="11" t="n">
        <v>1</v>
      </c>
      <c r="C9" s="158" t="n"/>
      <c r="E9" s="454" t="n"/>
      <c r="F9" s="466" t="n">
        <v>0</v>
      </c>
      <c r="G9" s="467" t="n">
        <v>0</v>
      </c>
      <c r="H9" s="466">
        <f>F9-G9</f>
        <v/>
      </c>
      <c r="I9" s="36" t="n"/>
      <c r="J9" s="29" t="n"/>
      <c r="K9" s="29" t="n"/>
      <c r="L9" s="152" t="n"/>
      <c r="M9" s="268" t="n"/>
      <c r="N9" s="29" t="n"/>
      <c r="O9" s="29" t="n"/>
      <c r="P9" s="36" t="n"/>
      <c r="Q9" s="36" t="n"/>
      <c r="R9" s="29" t="n"/>
      <c r="S9" s="29" t="n"/>
      <c r="T9" s="29" t="n"/>
      <c r="U9" s="543" t="n"/>
      <c r="V9" s="43" t="n"/>
      <c r="W9" s="36" t="n"/>
      <c r="X9" s="29" t="n"/>
    </row>
    <row r="10" ht="15" customHeight="1" s="358">
      <c r="B10" s="11" t="n">
        <v>2</v>
      </c>
      <c r="C10" s="158" t="n"/>
      <c r="D10" s="190" t="n"/>
      <c r="E10" s="454" t="n"/>
      <c r="F10" s="466" t="n">
        <v>0</v>
      </c>
      <c r="G10" s="467" t="n">
        <v>0</v>
      </c>
      <c r="H10" s="466">
        <f>F10-G10</f>
        <v/>
      </c>
      <c r="I10" s="36" t="n"/>
      <c r="J10" s="29" t="n"/>
      <c r="K10" s="29" t="n"/>
      <c r="L10" s="152" t="n"/>
      <c r="M10" s="268" t="n"/>
      <c r="N10" s="29" t="n"/>
      <c r="O10" s="29" t="n"/>
      <c r="P10" s="36" t="n"/>
      <c r="Q10" s="36" t="n"/>
      <c r="R10" s="29" t="n"/>
      <c r="S10" s="29" t="n"/>
      <c r="T10" s="29" t="n"/>
      <c r="U10" s="543" t="n"/>
      <c r="V10" s="43" t="n"/>
      <c r="W10" s="36" t="n"/>
      <c r="X10" s="29" t="n"/>
    </row>
    <row r="11" ht="15" customHeight="1" s="358">
      <c r="B11" s="11" t="n">
        <v>3</v>
      </c>
      <c r="C11" s="158" t="n"/>
      <c r="D11" s="189" t="n"/>
      <c r="E11" s="454" t="n"/>
      <c r="F11" s="466" t="n">
        <v>0</v>
      </c>
      <c r="G11" s="467" t="n">
        <v>0</v>
      </c>
      <c r="H11" s="466">
        <f>F11-G11</f>
        <v/>
      </c>
      <c r="I11" s="36" t="n"/>
      <c r="J11" s="29" t="n"/>
      <c r="K11" s="29" t="n"/>
      <c r="L11" s="152" t="n"/>
      <c r="M11" s="268" t="n"/>
      <c r="N11" s="29" t="n"/>
      <c r="O11" s="29" t="n"/>
      <c r="P11" s="36" t="n"/>
      <c r="Q11" s="36" t="n"/>
      <c r="R11" s="29" t="n"/>
      <c r="S11" s="29" t="n"/>
      <c r="T11" s="29" t="n"/>
      <c r="U11" s="543" t="n"/>
      <c r="V11" s="43" t="n"/>
      <c r="W11" s="36" t="n"/>
      <c r="X11" s="29" t="n"/>
    </row>
    <row r="12">
      <c r="B12" s="11" t="n">
        <v>4</v>
      </c>
      <c r="C12" s="158" t="n"/>
      <c r="D12" s="86" t="n"/>
      <c r="E12" s="454" t="n"/>
      <c r="F12" s="466" t="n">
        <v>0</v>
      </c>
      <c r="G12" s="467" t="n">
        <v>0</v>
      </c>
      <c r="H12" s="466">
        <f>F12-G12</f>
        <v/>
      </c>
      <c r="I12" s="36" t="n"/>
      <c r="J12" s="29" t="n"/>
      <c r="K12" s="29" t="n"/>
      <c r="L12" s="152" t="n"/>
      <c r="M12" s="268" t="n"/>
      <c r="N12" s="29" t="n"/>
      <c r="O12" s="29" t="n"/>
      <c r="P12" s="36" t="n"/>
      <c r="Q12" s="36" t="n"/>
      <c r="R12" s="29" t="n"/>
      <c r="S12" s="29" t="n"/>
      <c r="T12" s="29" t="n"/>
      <c r="U12" s="543" t="n"/>
      <c r="V12" s="43" t="n"/>
      <c r="W12" s="36" t="n"/>
      <c r="X12" s="36" t="n"/>
    </row>
    <row r="13" ht="15" customHeight="1" s="358">
      <c r="B13" s="11" t="n">
        <v>5</v>
      </c>
      <c r="C13" s="158" t="n"/>
      <c r="D13" s="86" t="n"/>
      <c r="E13" s="454" t="n"/>
      <c r="F13" s="466" t="n">
        <v>0</v>
      </c>
      <c r="G13" s="467" t="n">
        <v>0</v>
      </c>
      <c r="H13" s="466">
        <f>F13-G13</f>
        <v/>
      </c>
      <c r="I13" s="36" t="n"/>
      <c r="J13" s="29" t="n"/>
      <c r="K13" s="29" t="n"/>
      <c r="L13" s="152" t="n"/>
      <c r="M13" s="268" t="n"/>
      <c r="N13" s="29" t="n"/>
      <c r="O13" s="29" t="n"/>
      <c r="P13" s="36" t="n"/>
      <c r="Q13" s="36" t="n"/>
      <c r="R13" s="29" t="n"/>
      <c r="S13" s="29" t="n"/>
      <c r="T13" s="29" t="n"/>
      <c r="U13" s="543" t="n"/>
      <c r="V13" s="43" t="n"/>
      <c r="W13" s="36" t="n"/>
      <c r="X13" s="36" t="n"/>
    </row>
    <row r="14">
      <c r="B14" s="11" t="n">
        <v>6</v>
      </c>
      <c r="C14" s="158" t="n"/>
      <c r="D14" s="84" t="n"/>
      <c r="E14" s="454" t="n"/>
      <c r="F14" s="466" t="n">
        <v>0</v>
      </c>
      <c r="G14" s="467" t="n">
        <v>0</v>
      </c>
      <c r="H14" s="466">
        <f>F14-G14</f>
        <v/>
      </c>
      <c r="I14" s="36" t="n"/>
      <c r="J14" s="29" t="n"/>
      <c r="K14" s="29" t="n"/>
      <c r="L14" s="152" t="n"/>
      <c r="M14" s="268" t="n"/>
      <c r="N14" s="29" t="n"/>
      <c r="O14" s="29" t="n"/>
      <c r="P14" s="36" t="n"/>
      <c r="Q14" s="36" t="n"/>
      <c r="R14" s="29" t="n"/>
      <c r="S14" s="29" t="n"/>
      <c r="T14" s="29" t="n"/>
      <c r="U14" s="543" t="n"/>
      <c r="V14" s="43" t="n"/>
      <c r="W14" s="36" t="n"/>
      <c r="X14" s="36" t="n"/>
    </row>
    <row r="15">
      <c r="B15" s="11" t="n">
        <v>7</v>
      </c>
      <c r="C15" s="158" t="n"/>
      <c r="D15" s="84" t="n"/>
      <c r="E15" s="454" t="n"/>
      <c r="F15" s="466" t="n">
        <v>0</v>
      </c>
      <c r="G15" s="467" t="n">
        <v>0</v>
      </c>
      <c r="H15" s="466">
        <f>F15-G15</f>
        <v/>
      </c>
      <c r="I15" s="36" t="n"/>
      <c r="J15" s="29" t="n"/>
      <c r="K15" s="29" t="n"/>
      <c r="L15" s="152" t="n"/>
      <c r="M15" s="268" t="n"/>
      <c r="N15" s="29" t="n"/>
      <c r="O15" s="29" t="n"/>
      <c r="P15" s="36" t="n"/>
      <c r="Q15" s="36" t="n"/>
      <c r="R15" s="29" t="n"/>
      <c r="S15" s="29" t="n"/>
      <c r="T15" s="29" t="n"/>
      <c r="U15" s="543" t="n"/>
      <c r="V15" s="43" t="n"/>
      <c r="W15" s="36" t="n"/>
      <c r="X15" s="36" t="n"/>
    </row>
    <row r="16" ht="15" customHeight="1" s="358">
      <c r="B16" s="11" t="n">
        <v>8</v>
      </c>
      <c r="C16" s="158" t="n"/>
      <c r="D16" s="85" t="n"/>
      <c r="E16" s="454" t="n"/>
      <c r="F16" s="466" t="n">
        <v>0</v>
      </c>
      <c r="G16" s="467" t="n">
        <v>0</v>
      </c>
      <c r="H16" s="466">
        <f>F16-G16</f>
        <v/>
      </c>
      <c r="I16" s="36" t="n"/>
      <c r="J16" s="29" t="n"/>
      <c r="K16" s="29" t="n"/>
      <c r="L16" s="152" t="n"/>
      <c r="M16" s="268" t="n"/>
      <c r="N16" s="29" t="n"/>
      <c r="O16" s="29" t="n"/>
      <c r="P16" s="36" t="n"/>
      <c r="Q16" s="36" t="n"/>
      <c r="R16" s="29" t="n"/>
      <c r="S16" s="29" t="n"/>
      <c r="T16" s="29" t="n"/>
      <c r="U16" s="543" t="n"/>
      <c r="V16" s="43" t="n"/>
      <c r="W16" s="36" t="n"/>
      <c r="X16" s="36" t="n"/>
    </row>
    <row r="17">
      <c r="B17" s="11" t="n">
        <v>9</v>
      </c>
      <c r="C17" s="158" t="n"/>
      <c r="D17" s="85" t="n"/>
      <c r="E17" s="454" t="n"/>
      <c r="F17" s="466" t="n">
        <v>0</v>
      </c>
      <c r="G17" s="467" t="n">
        <v>0</v>
      </c>
      <c r="H17" s="466">
        <f>F17-G17</f>
        <v/>
      </c>
      <c r="I17" s="36" t="n"/>
      <c r="J17" s="29" t="n"/>
      <c r="K17" s="29" t="n"/>
      <c r="L17" s="152" t="n"/>
      <c r="M17" s="268" t="n"/>
      <c r="N17" s="29" t="n"/>
      <c r="O17" s="29" t="n"/>
      <c r="P17" s="36" t="n"/>
      <c r="Q17" s="36" t="n"/>
      <c r="R17" s="29" t="n"/>
      <c r="S17" s="29" t="n"/>
      <c r="T17" s="29" t="n"/>
      <c r="U17" s="543" t="n"/>
      <c r="V17" s="43" t="n"/>
      <c r="W17" s="36" t="n"/>
      <c r="X17" s="36" t="n"/>
    </row>
    <row r="18">
      <c r="B18" s="11" t="n">
        <v>10</v>
      </c>
      <c r="C18" s="158" t="n"/>
      <c r="D18" s="85" t="n"/>
      <c r="E18" s="454" t="n"/>
      <c r="F18" s="466" t="n">
        <v>0</v>
      </c>
      <c r="G18" s="467" t="n">
        <v>0</v>
      </c>
      <c r="H18" s="466">
        <f>F18-G18</f>
        <v/>
      </c>
      <c r="I18" s="36" t="n"/>
      <c r="J18" s="29" t="n"/>
      <c r="K18" s="29" t="n"/>
      <c r="L18" s="152" t="n"/>
      <c r="M18" s="268" t="n"/>
      <c r="N18" s="29" t="n"/>
      <c r="O18" s="29" t="n"/>
      <c r="P18" s="36" t="n"/>
      <c r="Q18" s="36" t="n"/>
      <c r="R18" s="29" t="n"/>
      <c r="S18" s="29" t="n"/>
      <c r="T18" s="73" t="n"/>
      <c r="U18" s="543" t="n"/>
      <c r="V18" s="43" t="n"/>
      <c r="W18" s="36" t="n"/>
      <c r="X18" s="36" t="n"/>
    </row>
    <row r="19" ht="15" customHeight="1" s="358">
      <c r="B19" s="11" t="n">
        <v>11</v>
      </c>
      <c r="C19" s="158" t="n"/>
      <c r="D19" s="85" t="n"/>
      <c r="E19" s="454" t="n"/>
      <c r="F19" s="466" t="n">
        <v>0</v>
      </c>
      <c r="G19" s="467" t="n">
        <v>0</v>
      </c>
      <c r="H19" s="466">
        <f>F19-G19</f>
        <v/>
      </c>
      <c r="I19" s="36" t="n"/>
      <c r="J19" s="29" t="n"/>
      <c r="K19" s="29" t="n"/>
      <c r="L19" s="152" t="n"/>
      <c r="M19" s="268" t="n"/>
      <c r="N19" s="29" t="n"/>
      <c r="O19" s="29" t="n"/>
      <c r="P19" s="36" t="n"/>
      <c r="Q19" s="36" t="n"/>
      <c r="R19" s="29" t="n"/>
      <c r="S19" s="29" t="n"/>
      <c r="T19" s="73" t="n"/>
      <c r="U19" s="543" t="n"/>
      <c r="V19" s="43" t="n"/>
      <c r="W19" s="36" t="n"/>
      <c r="X19" s="36" t="n"/>
    </row>
    <row r="20" ht="15" customHeight="1" s="358">
      <c r="B20" s="11" t="n">
        <v>12</v>
      </c>
      <c r="C20" s="158" t="n"/>
      <c r="D20" s="72" t="n"/>
      <c r="E20" s="454" t="n"/>
      <c r="F20" s="466" t="n">
        <v>0</v>
      </c>
      <c r="G20" s="467" t="n">
        <v>0</v>
      </c>
      <c r="H20" s="466">
        <f>F20-G20</f>
        <v/>
      </c>
      <c r="I20" s="36" t="n"/>
      <c r="J20" s="29" t="n"/>
      <c r="K20" s="29" t="n"/>
      <c r="L20" s="152" t="n"/>
      <c r="M20" s="268" t="n"/>
      <c r="N20" s="29" t="n"/>
      <c r="O20" s="29" t="n"/>
      <c r="P20" s="36" t="n"/>
      <c r="Q20" s="36" t="n"/>
      <c r="R20" s="29" t="n"/>
      <c r="S20" s="29" t="n"/>
      <c r="T20" s="73" t="n"/>
      <c r="U20" s="543" t="n"/>
      <c r="V20" s="43" t="n"/>
      <c r="W20" s="36" t="n"/>
      <c r="X20" s="36" t="n"/>
    </row>
    <row r="21" ht="15" customHeight="1" s="358">
      <c r="B21" s="11" t="n">
        <v>13</v>
      </c>
      <c r="C21" s="158" t="n"/>
      <c r="D21" s="85" t="n"/>
      <c r="E21" s="454" t="n"/>
      <c r="F21" s="466" t="n">
        <v>0</v>
      </c>
      <c r="G21" s="467" t="n">
        <v>0</v>
      </c>
      <c r="H21" s="466">
        <f>F21-G21</f>
        <v/>
      </c>
      <c r="I21" s="36" t="n"/>
      <c r="J21" s="29" t="n"/>
      <c r="K21" s="29" t="n"/>
      <c r="L21" s="152" t="n"/>
      <c r="M21" s="268" t="n"/>
      <c r="N21" s="29" t="n"/>
      <c r="O21" s="29" t="n"/>
      <c r="P21" s="36" t="n"/>
      <c r="Q21" s="36" t="n"/>
      <c r="R21" s="29" t="n"/>
      <c r="S21" s="29" t="n"/>
      <c r="T21" s="73" t="n"/>
      <c r="U21" s="543" t="n"/>
      <c r="V21" s="43" t="n"/>
      <c r="W21" s="36" t="n"/>
      <c r="X21" s="36" t="n"/>
    </row>
    <row r="22" ht="15" customHeight="1" s="358">
      <c r="B22" s="11" t="n">
        <v>14</v>
      </c>
      <c r="C22" s="158" t="n"/>
      <c r="D22" s="85" t="n"/>
      <c r="E22" s="454" t="n"/>
      <c r="F22" s="466" t="n">
        <v>0</v>
      </c>
      <c r="G22" s="467" t="n">
        <v>0</v>
      </c>
      <c r="H22" s="466">
        <f>F22-G22</f>
        <v/>
      </c>
      <c r="I22" s="36" t="n"/>
      <c r="J22" s="29" t="n"/>
      <c r="K22" s="29" t="n"/>
      <c r="L22" s="152" t="n"/>
      <c r="M22" s="268" t="n"/>
      <c r="N22" s="29" t="n"/>
      <c r="O22" s="29" t="n"/>
      <c r="P22" s="36" t="n"/>
      <c r="Q22" s="36" t="n"/>
      <c r="R22" s="29" t="n"/>
      <c r="S22" s="29" t="n"/>
      <c r="T22" s="73" t="n"/>
      <c r="U22" s="543" t="n"/>
      <c r="V22" s="43" t="n"/>
      <c r="W22" s="36" t="n"/>
      <c r="X22" s="36" t="n"/>
    </row>
    <row r="23" ht="15" customHeight="1" s="358">
      <c r="B23" s="11" t="n">
        <v>15</v>
      </c>
      <c r="C23" s="158" t="n"/>
      <c r="D23" s="85" t="n"/>
      <c r="E23" s="454" t="n"/>
      <c r="F23" s="466" t="n">
        <v>0</v>
      </c>
      <c r="G23" s="467" t="n">
        <v>0</v>
      </c>
      <c r="H23" s="466">
        <f>F23-G23</f>
        <v/>
      </c>
      <c r="I23" s="36" t="n"/>
      <c r="J23" s="29" t="n"/>
      <c r="K23" s="29" t="n"/>
      <c r="L23" s="152" t="n"/>
      <c r="M23" s="268" t="n"/>
      <c r="N23" s="29" t="n"/>
      <c r="O23" s="29" t="n"/>
      <c r="P23" s="36" t="n"/>
      <c r="Q23" s="36" t="n"/>
      <c r="R23" s="29" t="n"/>
      <c r="S23" s="29" t="n"/>
      <c r="T23" s="73" t="n"/>
      <c r="U23" s="543" t="n"/>
      <c r="V23" s="43" t="n"/>
      <c r="W23" s="36" t="n"/>
      <c r="X23" s="36" t="n"/>
    </row>
    <row r="24" ht="15" customHeight="1" s="358">
      <c r="B24" s="11" t="n">
        <v>16</v>
      </c>
      <c r="C24" s="158" t="n"/>
      <c r="D24" s="85" t="n"/>
      <c r="E24" s="454" t="n"/>
      <c r="F24" s="466" t="n">
        <v>0</v>
      </c>
      <c r="G24" s="467" t="n">
        <v>0</v>
      </c>
      <c r="H24" s="466">
        <f>F24-G24</f>
        <v/>
      </c>
      <c r="I24" s="36" t="n"/>
      <c r="J24" s="29" t="n"/>
      <c r="K24" s="29" t="n"/>
      <c r="L24" s="152" t="n"/>
      <c r="M24" s="268" t="n"/>
      <c r="N24" s="29" t="n"/>
      <c r="O24" s="29" t="n"/>
      <c r="P24" s="36" t="n"/>
      <c r="Q24" s="36" t="n"/>
      <c r="R24" s="29" t="n"/>
      <c r="S24" s="29" t="n"/>
      <c r="T24" s="73" t="n"/>
      <c r="U24" s="543" t="n"/>
      <c r="V24" s="43" t="n"/>
      <c r="W24" s="36" t="n"/>
      <c r="X24" s="36" t="n"/>
    </row>
    <row r="25" ht="15" customHeight="1" s="358">
      <c r="B25" s="11" t="n">
        <v>17</v>
      </c>
      <c r="C25" s="158" t="n"/>
      <c r="D25" s="85" t="n"/>
      <c r="E25" s="454" t="n"/>
      <c r="F25" s="466" t="n">
        <v>0</v>
      </c>
      <c r="G25" s="467" t="n">
        <v>0</v>
      </c>
      <c r="H25" s="466">
        <f>F25-G25</f>
        <v/>
      </c>
      <c r="I25" s="36" t="n"/>
      <c r="J25" s="29" t="n"/>
      <c r="K25" s="29" t="n"/>
      <c r="L25" s="152" t="n"/>
      <c r="M25" s="268" t="n"/>
      <c r="N25" s="29" t="n"/>
      <c r="O25" s="29" t="n"/>
      <c r="P25" s="36" t="n"/>
      <c r="Q25" s="36" t="n"/>
      <c r="R25" s="29" t="n"/>
      <c r="S25" s="29" t="n"/>
      <c r="T25" s="73" t="n"/>
      <c r="U25" s="543" t="n"/>
      <c r="V25" s="43" t="n"/>
      <c r="W25" s="36" t="n"/>
      <c r="X25" s="36" t="n"/>
    </row>
    <row r="26" ht="15" customHeight="1" s="358">
      <c r="B26" s="11" t="n">
        <v>18</v>
      </c>
      <c r="C26" s="158" t="n"/>
      <c r="D26" s="85" t="n"/>
      <c r="E26" s="454" t="n"/>
      <c r="F26" s="466" t="n">
        <v>0</v>
      </c>
      <c r="G26" s="467" t="n">
        <v>0</v>
      </c>
      <c r="H26" s="466">
        <f>F26-G26</f>
        <v/>
      </c>
      <c r="I26" s="36" t="n"/>
      <c r="J26" s="29" t="n"/>
      <c r="K26" s="29" t="n"/>
      <c r="L26" s="152" t="n"/>
      <c r="M26" s="268" t="n"/>
      <c r="N26" s="29" t="n"/>
      <c r="O26" s="29" t="n"/>
      <c r="P26" s="36" t="n"/>
      <c r="Q26" s="36" t="n"/>
      <c r="R26" s="29" t="n"/>
      <c r="S26" s="29" t="n"/>
      <c r="T26" s="73" t="n"/>
      <c r="U26" s="543" t="n"/>
      <c r="V26" s="43" t="n"/>
      <c r="W26" s="36" t="n"/>
      <c r="X26" s="36" t="n"/>
    </row>
    <row r="27" ht="15" customHeight="1" s="358">
      <c r="B27" s="11" t="n">
        <v>19</v>
      </c>
      <c r="C27" s="158" t="n"/>
      <c r="D27" s="85" t="n"/>
      <c r="E27" s="454" t="n"/>
      <c r="F27" s="466" t="n">
        <v>0</v>
      </c>
      <c r="G27" s="467" t="n">
        <v>0</v>
      </c>
      <c r="H27" s="466">
        <f>F27-G27</f>
        <v/>
      </c>
      <c r="I27" s="36" t="n"/>
      <c r="J27" s="29" t="n"/>
      <c r="K27" s="29" t="n"/>
      <c r="L27" s="152" t="n"/>
      <c r="M27" s="268" t="n"/>
      <c r="N27" s="29" t="n"/>
      <c r="O27" s="29" t="n"/>
      <c r="P27" s="36" t="n"/>
      <c r="Q27" s="36" t="n"/>
      <c r="R27" s="29" t="n"/>
      <c r="S27" s="29" t="n"/>
      <c r="T27" s="73" t="n"/>
      <c r="U27" s="543" t="n"/>
      <c r="V27" s="43" t="n"/>
      <c r="W27" s="36" t="n"/>
      <c r="X27" s="36" t="n"/>
    </row>
    <row r="28" ht="15" customHeight="1" s="358">
      <c r="B28" s="11" t="n">
        <v>20</v>
      </c>
      <c r="C28" s="158" t="n"/>
      <c r="D28" s="85" t="n"/>
      <c r="E28" s="454" t="n"/>
      <c r="F28" s="466" t="n">
        <v>0</v>
      </c>
      <c r="G28" s="467" t="n">
        <v>0</v>
      </c>
      <c r="H28" s="466">
        <f>F28-G28</f>
        <v/>
      </c>
      <c r="I28" s="36" t="n"/>
      <c r="J28" s="29" t="n"/>
      <c r="K28" s="29" t="n"/>
      <c r="L28" s="152" t="n"/>
      <c r="M28" s="268" t="n"/>
      <c r="N28" s="29" t="n"/>
      <c r="O28" s="29" t="n"/>
      <c r="P28" s="36" t="n"/>
      <c r="Q28" s="36" t="n"/>
      <c r="R28" s="29" t="n"/>
      <c r="S28" s="29" t="n"/>
      <c r="T28" s="73" t="n"/>
      <c r="U28" s="543" t="n"/>
      <c r="V28" s="43" t="n"/>
      <c r="W28" s="36" t="n"/>
      <c r="X28" s="36" t="n"/>
    </row>
    <row r="29">
      <c r="B29" s="11" t="n"/>
      <c r="C29" s="108" t="n"/>
      <c r="D29" s="43" t="n"/>
      <c r="E29" s="454" t="n"/>
      <c r="F29" s="466" t="n">
        <v>0</v>
      </c>
      <c r="G29" s="467" t="n">
        <v>0</v>
      </c>
      <c r="H29" s="466">
        <f>F29-G29</f>
        <v/>
      </c>
      <c r="I29" s="36" t="n"/>
      <c r="J29" s="29" t="n"/>
      <c r="K29" s="29" t="n"/>
      <c r="L29" s="29" t="n"/>
      <c r="M29" s="268" t="n"/>
      <c r="N29" s="29" t="n"/>
      <c r="O29" s="29" t="n"/>
      <c r="P29" s="36" t="n"/>
      <c r="Q29" s="36" t="n"/>
      <c r="R29" s="29" t="n"/>
      <c r="S29" s="29" t="n"/>
      <c r="T29" s="29" t="n"/>
      <c r="U29" s="543" t="n"/>
      <c r="V29" s="43" t="n"/>
      <c r="W29" s="36" t="n"/>
      <c r="X29" s="36" t="n"/>
    </row>
    <row r="30">
      <c r="C30" s="104" t="n"/>
      <c r="D30" s="61" t="n"/>
      <c r="E30" s="80" t="n"/>
      <c r="F30" s="501">
        <f>SUBTOTAL(9,F9:F29)</f>
        <v/>
      </c>
      <c r="G30" s="545">
        <f>SUBTOTAL(9,G9:G29)</f>
        <v/>
      </c>
      <c r="H30" s="545">
        <f>SUBTOTAL(9,H9:H29)</f>
        <v/>
      </c>
      <c r="I30" s="70" t="n"/>
      <c r="J30" s="502" t="n"/>
      <c r="K30" s="30">
        <f>SUBTOTAL(2,K9:K29)</f>
        <v/>
      </c>
      <c r="L30" s="504" t="n"/>
      <c r="M30" s="503" t="n"/>
      <c r="N30" s="504" t="n"/>
      <c r="O30" s="504" t="n"/>
      <c r="P30" s="505" t="n"/>
      <c r="Q30" s="504" t="n"/>
      <c r="R30" s="504" t="n"/>
      <c r="S30" s="504" t="n"/>
      <c r="T30" s="504" t="n"/>
      <c r="U30" s="504" t="n"/>
      <c r="V30" s="506" t="n"/>
      <c r="W30" s="37" t="n"/>
      <c r="X30" s="37" t="n"/>
    </row>
    <row r="31">
      <c r="F31" s="482" t="n"/>
      <c r="G31" s="482" t="n"/>
      <c r="H31" s="482" t="n"/>
    </row>
    <row r="32">
      <c r="F32" s="482" t="n"/>
      <c r="G32" s="482" t="n"/>
      <c r="H32" s="482" t="n"/>
    </row>
    <row r="33" ht="15.75" customHeight="1" s="358" thickBot="1">
      <c r="C33" s="507" t="n"/>
      <c r="D33" s="508" t="n"/>
      <c r="E33" s="28" t="n"/>
      <c r="F33" s="510">
        <f>SUM(F9:F29)</f>
        <v/>
      </c>
      <c r="G33" s="510">
        <f>SUM(G9:G29)</f>
        <v/>
      </c>
      <c r="H33" s="510">
        <f>SUM(H9:H29)</f>
        <v/>
      </c>
      <c r="I33" s="75" t="n"/>
      <c r="J33" s="477" t="n"/>
      <c r="L33" s="477" t="n"/>
      <c r="M33" s="477" t="n"/>
      <c r="N33" s="477" t="n"/>
      <c r="O33" s="477" t="n"/>
      <c r="P33" s="511" t="n"/>
      <c r="Q33" s="477" t="n"/>
      <c r="R33" s="477" t="n"/>
      <c r="S33" s="477" t="n"/>
      <c r="T33" s="477" t="n"/>
      <c r="U33" s="477" t="n"/>
      <c r="V33" s="476" t="n"/>
    </row>
    <row r="34" ht="15.75" customHeight="1" s="358" thickTop="1">
      <c r="M34" s="477" t="n"/>
    </row>
    <row r="37">
      <c r="D37" s="29" t="inlineStr">
        <is>
          <t>ELIGIBLE TOTAL</t>
        </is>
      </c>
      <c r="E37" s="459" t="n"/>
      <c r="F37" s="460" t="n"/>
      <c r="G37" s="422" t="n"/>
      <c r="J37" s="29" t="inlineStr">
        <is>
          <t>INELIGIBLE TOTAL</t>
        </is>
      </c>
      <c r="K37" s="459" t="n"/>
      <c r="L37" s="460" t="n"/>
    </row>
    <row r="38">
      <c r="D38" s="43" t="inlineStr">
        <is>
          <t>NO-OOS</t>
        </is>
      </c>
      <c r="E38" s="92" t="inlineStr">
        <is>
          <t>NO-TX</t>
        </is>
      </c>
      <c r="F38" s="93" t="inlineStr">
        <is>
          <t>YES</t>
        </is>
      </c>
      <c r="G38" s="487" t="n"/>
      <c r="J38" s="43" t="inlineStr">
        <is>
          <t>NO-OOS</t>
        </is>
      </c>
      <c r="K38" s="92" t="inlineStr">
        <is>
          <t>NO-TX</t>
        </is>
      </c>
      <c r="L38" s="93" t="inlineStr">
        <is>
          <t>YES</t>
        </is>
      </c>
    </row>
    <row r="39">
      <c r="D39" s="492">
        <f>SUMIF($V$9:$V$29,D$38,$H$9:$H$29)</f>
        <v/>
      </c>
      <c r="E39" s="492">
        <f>SUMIF($V$9:$V$29,E$38,$H$9:$H$29)</f>
        <v/>
      </c>
      <c r="F39" s="492">
        <f>SUMIF($V$9:$V$29,F$38,$H$9:$H$29)</f>
        <v/>
      </c>
      <c r="G39" s="474">
        <f>SUM(D39:F39)</f>
        <v/>
      </c>
      <c r="J39" s="492">
        <f>SUMIF($V$9:$V$27,J$38,$G$9:$G$27)</f>
        <v/>
      </c>
      <c r="K39" s="492">
        <f>SUMIF($V$9:$V$27,K$38,$G$9:$G$27)</f>
        <v/>
      </c>
      <c r="L39" s="492">
        <f>SUMIF($V$9:$V$27,L$38,$G$9:$G$27)</f>
        <v/>
      </c>
      <c r="M39" s="475">
        <f>SUM(J39:L39)</f>
        <v/>
      </c>
    </row>
    <row r="40">
      <c r="G40" s="97">
        <f>H33-G39</f>
        <v/>
      </c>
      <c r="J40" s="32" t="n"/>
      <c r="L40" s="512" t="n"/>
      <c r="M40" s="97">
        <f>G33-M39</f>
        <v/>
      </c>
    </row>
    <row r="41">
      <c r="D41" s="479" t="n"/>
      <c r="E41" s="479" t="n"/>
      <c r="G41" s="68" t="n"/>
    </row>
    <row r="42">
      <c r="G42" s="480" t="inlineStr">
        <is>
          <t>Total Eligible</t>
        </is>
      </c>
      <c r="H42" s="479">
        <f>F39</f>
        <v/>
      </c>
      <c r="I42" s="479" t="n"/>
      <c r="J42" s="119" t="n"/>
    </row>
    <row r="43" ht="15.75" customHeight="1" s="358" thickBot="1">
      <c r="G43" s="513" t="inlineStr">
        <is>
          <t>Total Ineligible</t>
        </is>
      </c>
      <c r="H43" s="494">
        <f>D39+E39+J39+K39+L39</f>
        <v/>
      </c>
      <c r="I43" s="479" t="n"/>
      <c r="J43" s="119" t="n"/>
    </row>
    <row r="44" ht="15.75" customHeight="1" s="358" thickTop="1">
      <c r="G44" s="480" t="inlineStr">
        <is>
          <t>Total Expenses</t>
        </is>
      </c>
      <c r="H44" s="479">
        <f>SUM(H42:H43)</f>
        <v/>
      </c>
      <c r="I44" s="479" t="n"/>
      <c r="J44" s="119" t="n"/>
    </row>
    <row r="45">
      <c r="H45" s="97">
        <f>F33-H44</f>
        <v/>
      </c>
      <c r="I45" s="479" t="n"/>
    </row>
    <row r="46">
      <c r="H46" s="97" t="n"/>
      <c r="I46" s="479" t="n"/>
    </row>
    <row r="48">
      <c r="G48" s="547" t="inlineStr">
        <is>
          <t>Pymt Method</t>
        </is>
      </c>
      <c r="H48" s="547" t="inlineStr">
        <is>
          <t>Total</t>
        </is>
      </c>
      <c r="I48" s="223" t="inlineStr">
        <is>
          <t>Qualified</t>
        </is>
      </c>
      <c r="J48" s="39" t="inlineStr">
        <is>
          <t>Ineligible</t>
        </is>
      </c>
    </row>
    <row r="49">
      <c r="G49" s="479" t="inlineStr">
        <is>
          <t>Check</t>
        </is>
      </c>
      <c r="H49" s="479">
        <f>SUMIF($J$9:$J$29,G49,$F$9:$F$29)</f>
        <v/>
      </c>
      <c r="I49" s="548">
        <f>SUMIFS($H$9:$H$29,$J$9:$J$29,G49,$V$9:$V$29,"YES")</f>
        <v/>
      </c>
      <c r="J49" s="458">
        <f>H49-I49</f>
        <v/>
      </c>
    </row>
    <row r="50">
      <c r="G50" s="479" t="inlineStr">
        <is>
          <t>Credit Card</t>
        </is>
      </c>
      <c r="H50" s="479">
        <f>SUMIF($J$9:$J$29,G50,$F$9:$F$29)</f>
        <v/>
      </c>
      <c r="I50" s="548">
        <f>SUMIFS($H$9:$H$29,$J$9:$J$29,G50,$V$9:$V$29,"YES")</f>
        <v/>
      </c>
      <c r="J50" s="458">
        <f>H50-I50</f>
        <v/>
      </c>
    </row>
    <row r="51" ht="15.75" customHeight="1" s="358" thickBot="1">
      <c r="G51" s="494" t="inlineStr">
        <is>
          <t>Unknown</t>
        </is>
      </c>
      <c r="H51" s="494">
        <f>SUMIF($J$9:$J$29,G51,$F$9:$F$29)</f>
        <v/>
      </c>
      <c r="I51" s="549">
        <f>SUMIFS($H$9:$H$29,$J$9:$J$29,G51,$V$9:$V$29,"YES")</f>
        <v/>
      </c>
      <c r="J51" s="550">
        <f>H51-I51</f>
        <v/>
      </c>
    </row>
    <row r="52" ht="15.75" customHeight="1" s="358" thickTop="1">
      <c r="H52" s="479">
        <f>SUM(H49:H51)</f>
        <v/>
      </c>
      <c r="I52" s="551">
        <f>SUM(I49:I51)</f>
        <v/>
      </c>
      <c r="J52" s="479">
        <f>SUM(J49:J51)</f>
        <v/>
      </c>
    </row>
    <row r="53">
      <c r="H53" s="96">
        <f>H52-H44</f>
        <v/>
      </c>
      <c r="I53" s="96">
        <f>I52-H42</f>
        <v/>
      </c>
      <c r="J53" s="96">
        <f>J52-H43</f>
        <v/>
      </c>
    </row>
  </sheetData>
  <autoFilter ref="B8:X29"/>
  <mergeCells count="3">
    <mergeCell ref="D37:F37"/>
    <mergeCell ref="B1:Z1"/>
    <mergeCell ref="J37:L37"/>
  </mergeCells>
  <conditionalFormatting sqref="D38">
    <cfRule type="cellIs" priority="11" operator="equal" dxfId="2">
      <formula>"NO-OOS"</formula>
    </cfRule>
    <cfRule type="cellIs" priority="12" operator="equal" dxfId="1">
      <formula>"NO-CO"</formula>
    </cfRule>
    <cfRule type="cellIs" priority="13" operator="equal" dxfId="0">
      <formula>"YES"</formula>
    </cfRule>
    <cfRule type="cellIs" priority="14" operator="equal" dxfId="1">
      <formula>"NO"</formula>
    </cfRule>
  </conditionalFormatting>
  <conditionalFormatting sqref="J38">
    <cfRule type="cellIs" priority="7" operator="equal" dxfId="2">
      <formula>"NO-OOS"</formula>
    </cfRule>
    <cfRule type="cellIs" priority="8" operator="equal" dxfId="1">
      <formula>"NO-CO"</formula>
    </cfRule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M9:M29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29">
    <cfRule type="cellIs" priority="1" operator="equal" dxfId="2">
      <formula>"NO-OOS"</formula>
    </cfRule>
    <cfRule type="cellIs" priority="2" operator="equal" dxfId="1">
      <formula>"NO-TX"</formula>
    </cfRule>
    <cfRule type="cellIs" priority="3" operator="equal" dxfId="0">
      <formula>"YES"</formula>
    </cfRule>
  </conditionalFormatting>
  <hyperlinks>
    <hyperlink ref="F3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13.xml><?xml version="1.0" encoding="utf-8"?>
<worksheet xmlns="http://schemas.openxmlformats.org/spreadsheetml/2006/main">
  <sheetPr>
    <tabColor theme="1"/>
    <outlinePr summaryBelow="1" summaryRight="1"/>
    <pageSetUpPr/>
  </sheetPr>
  <dimension ref="A1:AB12"/>
  <sheetViews>
    <sheetView workbookViewId="0">
      <selection activeCell="H3" sqref="H3"/>
    </sheetView>
  </sheetViews>
  <sheetFormatPr baseColWidth="8" defaultRowHeight="15"/>
  <cols>
    <col width="16" bestFit="1" customWidth="1" style="358" min="1" max="1"/>
    <col width="11.85546875" customWidth="1" style="358" min="4" max="4"/>
    <col width="20.28515625" customWidth="1" style="358" min="7" max="7"/>
    <col width="27.5703125" bestFit="1" customWidth="1" style="358" min="8" max="8"/>
    <col width="27.5703125" customWidth="1" style="422" min="9" max="9"/>
    <col width="28.7109375" bestFit="1" customWidth="1" style="358" min="22" max="22"/>
    <col width="16.7109375" customWidth="1" style="358" min="28" max="28"/>
  </cols>
  <sheetData>
    <row r="1" customFormat="1" s="21">
      <c r="A1" s="21" t="inlineStr">
        <is>
          <t>Ptype</t>
        </is>
      </c>
      <c r="B1" s="21" t="inlineStr">
        <is>
          <t>Entity</t>
        </is>
      </c>
      <c r="C1" s="21" t="inlineStr">
        <is>
          <t>Value</t>
        </is>
      </c>
      <c r="D1" s="21" t="inlineStr">
        <is>
          <t>Payroll Value</t>
        </is>
      </c>
      <c r="E1" s="21" t="inlineStr">
        <is>
          <t>Qualify</t>
        </is>
      </c>
      <c r="F1" s="21" t="inlineStr">
        <is>
          <t>Description</t>
        </is>
      </c>
      <c r="G1" s="21" t="inlineStr">
        <is>
          <t>Comp Description</t>
        </is>
      </c>
      <c r="H1" s="21" t="inlineStr">
        <is>
          <t>Payment Entity</t>
        </is>
      </c>
      <c r="I1" s="39" t="inlineStr">
        <is>
          <t>Title</t>
        </is>
      </c>
      <c r="AB1" s="39" t="inlineStr">
        <is>
          <t>Diversity</t>
        </is>
      </c>
    </row>
    <row r="2">
      <c r="A2" t="inlineStr">
        <is>
          <t>Check</t>
        </is>
      </c>
      <c r="B2" t="inlineStr">
        <is>
          <t>ECIS LA</t>
        </is>
      </c>
      <c r="C2" t="inlineStr">
        <is>
          <t>YES</t>
        </is>
      </c>
      <c r="D2" t="inlineStr">
        <is>
          <t>YES</t>
        </is>
      </c>
      <c r="E2" t="inlineStr">
        <is>
          <t>YES</t>
        </is>
      </c>
      <c r="F2" t="inlineStr">
        <is>
          <t>Goods</t>
        </is>
      </c>
      <c r="G2" t="inlineStr">
        <is>
          <t>Session Fee</t>
        </is>
      </c>
      <c r="H2" s="32" t="inlineStr">
        <is>
          <t>Elite CIS</t>
        </is>
      </c>
      <c r="I2" s="422" t="inlineStr">
        <is>
          <t>Principal</t>
        </is>
      </c>
      <c r="V2" s="422" t="inlineStr">
        <is>
          <t>YES</t>
        </is>
      </c>
      <c r="AB2" s="422" t="inlineStr">
        <is>
          <t>African American</t>
        </is>
      </c>
    </row>
    <row r="3">
      <c r="A3" t="inlineStr">
        <is>
          <t>P-Card</t>
        </is>
      </c>
      <c r="B3" t="inlineStr">
        <is>
          <t>ECIS NC</t>
        </is>
      </c>
      <c r="C3" t="inlineStr">
        <is>
          <t>NO</t>
        </is>
      </c>
      <c r="D3" t="inlineStr">
        <is>
          <t>NO</t>
        </is>
      </c>
      <c r="E3" t="inlineStr">
        <is>
          <t>NO-TX</t>
        </is>
      </c>
      <c r="F3" t="inlineStr">
        <is>
          <t>Services</t>
        </is>
      </c>
      <c r="G3" t="inlineStr">
        <is>
          <t>Holding Fee</t>
        </is>
      </c>
      <c r="H3">
        <f>Overview!C13</f>
        <v/>
      </c>
      <c r="I3" s="422" t="inlineStr">
        <is>
          <t>Extra</t>
        </is>
      </c>
      <c r="V3" s="422" t="inlineStr">
        <is>
          <t>NO</t>
        </is>
      </c>
      <c r="AB3" s="422" t="inlineStr">
        <is>
          <t>Asian American</t>
        </is>
      </c>
    </row>
    <row r="4">
      <c r="A4" t="inlineStr">
        <is>
          <t>Credit Card</t>
        </is>
      </c>
      <c r="B4" t="inlineStr">
        <is>
          <t>ECIS LA</t>
        </is>
      </c>
      <c r="C4" t="inlineStr">
        <is>
          <t>N/A</t>
        </is>
      </c>
      <c r="D4" t="inlineStr">
        <is>
          <t>N/A - (P/R)</t>
        </is>
      </c>
      <c r="E4" t="inlineStr">
        <is>
          <t>NO-OOS</t>
        </is>
      </c>
      <c r="F4" t="inlineStr">
        <is>
          <t>Compensation</t>
        </is>
      </c>
      <c r="G4" t="inlineStr">
        <is>
          <t>Re-use Fee</t>
        </is>
      </c>
      <c r="H4" s="32">
        <f>Overview!C16</f>
        <v/>
      </c>
      <c r="I4" s="422" t="inlineStr">
        <is>
          <t>Agent</t>
        </is>
      </c>
      <c r="V4" s="422" t="inlineStr">
        <is>
          <t>Incomplete - expired ID</t>
        </is>
      </c>
      <c r="AB4" s="422" t="inlineStr">
        <is>
          <t>Caucasian (White) American</t>
        </is>
      </c>
    </row>
    <row r="5">
      <c r="A5" t="inlineStr">
        <is>
          <t>Petty Cash</t>
        </is>
      </c>
      <c r="D5" t="inlineStr">
        <is>
          <t>N/A - (OOS)</t>
        </is>
      </c>
      <c r="F5" t="inlineStr">
        <is>
          <t>Other</t>
        </is>
      </c>
      <c r="G5" t="inlineStr">
        <is>
          <t>Cancellation Fee</t>
        </is>
      </c>
      <c r="H5" s="32">
        <f>Overview!C17</f>
        <v/>
      </c>
      <c r="I5" s="422" t="n">
        <v>0</v>
      </c>
      <c r="V5" s="422" t="inlineStr">
        <is>
          <t>Incomplete - Missing signature</t>
        </is>
      </c>
      <c r="AB5" s="422" t="inlineStr">
        <is>
          <t>Hispanic American</t>
        </is>
      </c>
    </row>
    <row r="6">
      <c r="A6" t="inlineStr">
        <is>
          <t>EFT/WIRE</t>
        </is>
      </c>
      <c r="H6" s="32">
        <f>Overview!C18</f>
        <v/>
      </c>
      <c r="AB6" s="422" t="inlineStr">
        <is>
          <t>Native American</t>
        </is>
      </c>
    </row>
    <row r="7">
      <c r="A7" t="inlineStr">
        <is>
          <t>Payroll Company</t>
        </is>
      </c>
      <c r="H7" s="32">
        <f>Overview!C19</f>
        <v/>
      </c>
      <c r="AB7" s="422" t="inlineStr">
        <is>
          <t>Prefer not to Answer</t>
        </is>
      </c>
    </row>
    <row r="8">
      <c r="A8" t="inlineStr">
        <is>
          <t>Internal</t>
        </is>
      </c>
      <c r="H8" s="32">
        <f>Overview!C20</f>
        <v/>
      </c>
      <c r="AB8" s="422" t="inlineStr">
        <is>
          <t>n/a</t>
        </is>
      </c>
    </row>
    <row r="9">
      <c r="A9" t="inlineStr">
        <is>
          <t>Unknown</t>
        </is>
      </c>
      <c r="H9" s="32">
        <f>Overview!C21</f>
        <v/>
      </c>
    </row>
    <row r="10">
      <c r="H10" s="32">
        <f>Overview!C22</f>
        <v/>
      </c>
    </row>
    <row r="11">
      <c r="H11" s="32">
        <f>Overview!C23</f>
        <v/>
      </c>
    </row>
    <row r="12">
      <c r="H12" s="32" t="n"/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4A511723502843AC0584E68EC60535" ma:contentTypeVersion="11" ma:contentTypeDescription="Create a new document." ma:contentTypeScope="" ma:versionID="fbd80a4f17478eeb58df59f7f6ca8f1e">
  <xsd:schema xmlns:xsd="http://www.w3.org/2001/XMLSchema" xmlns:xs="http://www.w3.org/2001/XMLSchema" xmlns:p="http://schemas.microsoft.com/office/2006/metadata/properties" xmlns:ns2="f4e7d37e-1dcc-4436-a729-076bff741eab" xmlns:ns3="7ff3518b-2e3d-4dfb-a834-48e552d5b5bf" targetNamespace="http://schemas.microsoft.com/office/2006/metadata/properties" ma:root="true" ma:fieldsID="88c3fc8cee6a1370bae988e1d6c9e850" ns2:_="" ns3:_="">
    <xsd:import namespace="f4e7d37e-1dcc-4436-a729-076bff741eab"/>
    <xsd:import namespace="7ff3518b-2e3d-4dfb-a834-48e552d5b5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e7d37e-1dcc-4436-a729-076bff741e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be8b6ea-d13c-4d71-97d6-b0474eec2a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f3518b-2e3d-4dfb-a834-48e552d5b5b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8a67d3-72a2-4d67-a918-656f717b250f}" ma:internalName="TaxCatchAll" ma:showField="CatchAllData" ma:web="7ff3518b-2e3d-4dfb-a834-48e552d5b5b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4e7d37e-1dcc-4436-a729-076bff741eab">
      <Terms xmlns="http://schemas.microsoft.com/office/infopath/2007/PartnerControls"/>
    </lcf76f155ced4ddcb4097134ff3c332f>
    <TaxCatchAll xmlns="7ff3518b-2e3d-4dfb-a834-48e552d5b5bf" xsi:nil="true"/>
  </documentManagement>
</p:properties>
</file>

<file path=customXml/itemProps1.xml><?xml version="1.0" encoding="utf-8"?>
<ds:datastoreItem xmlns:ds="http://schemas.openxmlformats.org/officeDocument/2006/customXml" ds:itemID="{C8C149EF-4D58-42FA-A514-F3E2FCF18756}"/>
</file>

<file path=customXml/itemProps2.xml><?xml version="1.0" encoding="utf-8"?>
<ds:datastoreItem xmlns:ds="http://schemas.openxmlformats.org/officeDocument/2006/customXml" ds:itemID="{2AABC933-89DB-42D6-83D5-BA650FDE688C}"/>
</file>

<file path=customXml/itemProps3.xml><?xml version="1.0" encoding="utf-8"?>
<ds:datastoreItem xmlns:ds="http://schemas.openxmlformats.org/officeDocument/2006/customXml" ds:itemID="{C701E90E-199F-4E9F-A699-13568B741A66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Tina Dankova</dc:creator>
  <cp:lastModifiedBy>Steven Ward</cp:lastModifiedBy>
  <dcterms:created xsi:type="dcterms:W3CDTF">2013-07-17T19:19:18Z</dcterms:created>
  <dcterms:modified xsi:type="dcterms:W3CDTF">2026-09-11T23:48:20Z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0x010100504A511723502843AC0584E68EC60535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GUID">
    <vt:lpwstr>0d493ac3-61b0-4197-ba83-137a2f7459b8</vt:lpwstr>
  </property>
  <property fmtid="{D5CDD505-2E9C-101B-9397-08002B2CF9AE}" pid="10" name="xd_Signature">
    <vt:bool>false</vt:bool>
  </property>
  <property fmtid="{D5CDD505-2E9C-101B-9397-08002B2CF9AE}" pid="11" name="lcf76f155ced4ddcb4097134ff3c332f">
    <vt:lpwstr/>
  </property>
  <property fmtid="{D5CDD505-2E9C-101B-9397-08002B2CF9AE}" pid="12" name="TaxCatchAll">
    <vt:lpwstr/>
  </property>
</Properties>
</file>